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poste-my.sharepoint.com/personal/nathan_papet_laposte_fr/Documents/Documents/Autre/"/>
    </mc:Choice>
  </mc:AlternateContent>
  <xr:revisionPtr revIDLastSave="0" documentId="8_{C5054FB3-22A2-43D3-A6C6-1A7789E7ABC8}" xr6:coauthVersionLast="47" xr6:coauthVersionMax="47" xr10:uidLastSave="{00000000-0000-0000-0000-000000000000}"/>
  <bookViews>
    <workbookView xWindow="-110" yWindow="-110" windowWidth="19420" windowHeight="10300" xr2:uid="{000AEC70-9BEF-4A5B-A53F-78681FAC2BCF}"/>
  </bookViews>
  <sheets>
    <sheet name="SAISIE" sheetId="1" r:id="rId1"/>
    <sheet name="INTEG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2" i="2"/>
  <c r="E2" i="2"/>
  <c r="H2" i="2"/>
  <c r="A2" i="2" s="1"/>
  <c r="F2" i="2" s="1"/>
  <c r="J2" i="2"/>
  <c r="M2" i="2"/>
  <c r="C2" i="2" s="1"/>
  <c r="A3" i="2"/>
  <c r="B3" i="2"/>
  <c r="C3" i="2"/>
  <c r="D3" i="2"/>
  <c r="E3" i="2"/>
  <c r="F3" i="2"/>
  <c r="G3" i="2"/>
  <c r="I3" i="2"/>
  <c r="J3" i="2"/>
  <c r="A4" i="2"/>
  <c r="B4" i="2"/>
  <c r="C4" i="2"/>
  <c r="D4" i="2"/>
  <c r="E4" i="2"/>
  <c r="F4" i="2"/>
  <c r="G4" i="2"/>
  <c r="I4" i="2"/>
  <c r="J4" i="2"/>
  <c r="B5" i="2"/>
  <c r="C5" i="2"/>
  <c r="D5" i="2"/>
  <c r="E5" i="2"/>
  <c r="F5" i="2"/>
  <c r="G5" i="2"/>
  <c r="A5" i="2" s="1"/>
  <c r="I5" i="2"/>
  <c r="J5" i="2"/>
  <c r="B6" i="2"/>
  <c r="C6" i="2"/>
  <c r="D6" i="2"/>
  <c r="E6" i="2"/>
  <c r="F6" i="2"/>
  <c r="G6" i="2"/>
  <c r="A6" i="2" s="1"/>
  <c r="I6" i="2"/>
  <c r="J6" i="2"/>
  <c r="A7" i="2"/>
  <c r="B7" i="2"/>
  <c r="C7" i="2"/>
  <c r="D7" i="2"/>
  <c r="E7" i="2"/>
  <c r="F7" i="2"/>
  <c r="G7" i="2"/>
  <c r="I7" i="2"/>
  <c r="J7" i="2"/>
  <c r="A8" i="2"/>
  <c r="B8" i="2"/>
  <c r="C8" i="2"/>
  <c r="D8" i="2"/>
  <c r="E8" i="2"/>
  <c r="F8" i="2"/>
  <c r="G8" i="2"/>
  <c r="I8" i="2"/>
  <c r="J8" i="2"/>
  <c r="B9" i="2"/>
  <c r="C9" i="2"/>
  <c r="D9" i="2"/>
  <c r="E9" i="2"/>
  <c r="F9" i="2"/>
  <c r="G9" i="2"/>
  <c r="A9" i="2" s="1"/>
  <c r="I9" i="2"/>
  <c r="J9" i="2"/>
  <c r="B10" i="2"/>
  <c r="C10" i="2"/>
  <c r="D10" i="2"/>
  <c r="E10" i="2"/>
  <c r="F10" i="2"/>
  <c r="G10" i="2"/>
  <c r="A10" i="2" s="1"/>
  <c r="I10" i="2"/>
  <c r="J10" i="2"/>
  <c r="A11" i="2"/>
  <c r="B11" i="2"/>
  <c r="C11" i="2"/>
  <c r="D11" i="2"/>
  <c r="E11" i="2"/>
  <c r="F11" i="2"/>
  <c r="G11" i="2"/>
  <c r="I11" i="2"/>
  <c r="J11" i="2"/>
  <c r="A12" i="2"/>
  <c r="B12" i="2"/>
  <c r="C12" i="2"/>
  <c r="D12" i="2"/>
  <c r="E12" i="2"/>
  <c r="F12" i="2"/>
  <c r="G12" i="2"/>
  <c r="I12" i="2"/>
  <c r="J12" i="2"/>
  <c r="B13" i="2"/>
  <c r="C13" i="2"/>
  <c r="D13" i="2"/>
  <c r="E13" i="2"/>
  <c r="F13" i="2"/>
  <c r="G13" i="2"/>
  <c r="A13" i="2" s="1"/>
  <c r="I13" i="2"/>
  <c r="J13" i="2"/>
  <c r="B14" i="2"/>
  <c r="C14" i="2"/>
  <c r="D14" i="2"/>
  <c r="E14" i="2"/>
  <c r="F14" i="2"/>
  <c r="G14" i="2"/>
  <c r="A14" i="2" s="1"/>
  <c r="A15" i="2"/>
  <c r="B15" i="2"/>
  <c r="C15" i="2"/>
  <c r="D15" i="2"/>
  <c r="E15" i="2"/>
  <c r="F15" i="2"/>
  <c r="G15" i="2"/>
  <c r="B16" i="2"/>
  <c r="C16" i="2"/>
  <c r="D16" i="2"/>
  <c r="E16" i="2"/>
  <c r="F16" i="2"/>
  <c r="G16" i="2"/>
  <c r="A16" i="2" s="1"/>
  <c r="A17" i="2"/>
  <c r="B17" i="2"/>
  <c r="C17" i="2"/>
  <c r="D17" i="2"/>
  <c r="E17" i="2"/>
  <c r="F17" i="2"/>
  <c r="G17" i="2"/>
  <c r="B18" i="2"/>
  <c r="C18" i="2"/>
  <c r="D18" i="2"/>
  <c r="E18" i="2"/>
  <c r="H18" i="2"/>
  <c r="A18" i="2" s="1"/>
  <c r="F18" i="2" s="1"/>
  <c r="J18" i="2"/>
  <c r="O18" i="2"/>
  <c r="A19" i="2"/>
  <c r="B19" i="2"/>
  <c r="C19" i="2"/>
  <c r="D19" i="2"/>
  <c r="E19" i="2"/>
  <c r="F19" i="2"/>
  <c r="G19" i="2"/>
  <c r="I19" i="2"/>
  <c r="J19" i="2"/>
  <c r="A20" i="2"/>
  <c r="B20" i="2"/>
  <c r="C20" i="2"/>
  <c r="D20" i="2"/>
  <c r="E20" i="2"/>
  <c r="F20" i="2"/>
  <c r="G20" i="2"/>
  <c r="I20" i="2"/>
  <c r="J20" i="2"/>
  <c r="B21" i="2"/>
  <c r="C21" i="2"/>
  <c r="D21" i="2"/>
  <c r="E21" i="2"/>
  <c r="F21" i="2"/>
  <c r="G21" i="2"/>
  <c r="A21" i="2" s="1"/>
  <c r="I21" i="2"/>
  <c r="J21" i="2"/>
  <c r="B22" i="2"/>
  <c r="C22" i="2"/>
  <c r="D22" i="2"/>
  <c r="E22" i="2"/>
  <c r="F22" i="2"/>
  <c r="G22" i="2"/>
  <c r="A22" i="2" s="1"/>
  <c r="I22" i="2"/>
  <c r="J22" i="2"/>
  <c r="A23" i="2"/>
  <c r="B23" i="2"/>
  <c r="C23" i="2"/>
  <c r="D23" i="2"/>
  <c r="E23" i="2"/>
  <c r="F23" i="2"/>
  <c r="G23" i="2"/>
  <c r="I23" i="2"/>
  <c r="J23" i="2"/>
  <c r="A24" i="2"/>
  <c r="B24" i="2"/>
  <c r="C24" i="2"/>
  <c r="D24" i="2"/>
  <c r="E24" i="2"/>
  <c r="F24" i="2"/>
  <c r="G24" i="2"/>
  <c r="I24" i="2"/>
  <c r="J24" i="2"/>
  <c r="B25" i="2"/>
  <c r="C25" i="2"/>
  <c r="D25" i="2"/>
  <c r="E25" i="2"/>
  <c r="F25" i="2"/>
  <c r="G25" i="2"/>
  <c r="A25" i="2" s="1"/>
  <c r="I25" i="2"/>
  <c r="J25" i="2"/>
  <c r="B26" i="2"/>
  <c r="C26" i="2"/>
  <c r="D26" i="2"/>
  <c r="E26" i="2"/>
  <c r="F26" i="2"/>
  <c r="G26" i="2"/>
  <c r="A26" i="2" s="1"/>
  <c r="I26" i="2"/>
  <c r="J26" i="2"/>
  <c r="A27" i="2"/>
  <c r="B27" i="2"/>
  <c r="C27" i="2"/>
  <c r="D27" i="2"/>
  <c r="E27" i="2"/>
  <c r="F27" i="2"/>
  <c r="G27" i="2"/>
  <c r="I27" i="2"/>
  <c r="J27" i="2"/>
  <c r="A28" i="2"/>
  <c r="B28" i="2"/>
  <c r="C28" i="2"/>
  <c r="D28" i="2"/>
  <c r="E28" i="2"/>
  <c r="F28" i="2"/>
  <c r="G28" i="2"/>
  <c r="I28" i="2"/>
  <c r="J28" i="2"/>
  <c r="B29" i="2"/>
  <c r="C29" i="2"/>
  <c r="D29" i="2"/>
  <c r="E29" i="2"/>
  <c r="F29" i="2"/>
  <c r="G29" i="2"/>
  <c r="A29" i="2" s="1"/>
  <c r="I29" i="2"/>
  <c r="J29" i="2"/>
  <c r="B30" i="2"/>
  <c r="C30" i="2"/>
  <c r="D30" i="2"/>
  <c r="E30" i="2"/>
  <c r="F30" i="2"/>
  <c r="G30" i="2"/>
  <c r="A30" i="2" s="1"/>
  <c r="B31" i="2"/>
  <c r="C31" i="2"/>
  <c r="D31" i="2"/>
  <c r="E31" i="2"/>
  <c r="F31" i="2"/>
  <c r="G31" i="2"/>
  <c r="A31" i="2" s="1"/>
  <c r="A32" i="2"/>
  <c r="B32" i="2"/>
  <c r="C32" i="2"/>
  <c r="D32" i="2"/>
  <c r="E32" i="2"/>
  <c r="F32" i="2"/>
  <c r="G32" i="2"/>
  <c r="A33" i="2"/>
  <c r="B33" i="2"/>
  <c r="C33" i="2"/>
  <c r="D33" i="2"/>
  <c r="E33" i="2"/>
  <c r="F33" i="2"/>
  <c r="G33" i="2"/>
  <c r="A34" i="2"/>
  <c r="B34" i="2"/>
  <c r="C34" i="2"/>
  <c r="D34" i="2"/>
  <c r="E34" i="2"/>
  <c r="F34" i="2"/>
  <c r="H34" i="2"/>
  <c r="J34" i="2"/>
  <c r="O34" i="2"/>
  <c r="A35" i="2"/>
  <c r="B35" i="2"/>
  <c r="C35" i="2"/>
  <c r="D35" i="2"/>
  <c r="E35" i="2"/>
  <c r="F35" i="2"/>
  <c r="G35" i="2"/>
  <c r="I35" i="2"/>
  <c r="J35" i="2"/>
  <c r="B36" i="2"/>
  <c r="C36" i="2"/>
  <c r="D36" i="2"/>
  <c r="E36" i="2"/>
  <c r="F36" i="2"/>
  <c r="G36" i="2"/>
  <c r="A36" i="2" s="1"/>
  <c r="I36" i="2"/>
  <c r="J36" i="2"/>
  <c r="B37" i="2"/>
  <c r="C37" i="2"/>
  <c r="D37" i="2"/>
  <c r="E37" i="2"/>
  <c r="F37" i="2"/>
  <c r="G37" i="2"/>
  <c r="A37" i="2" s="1"/>
  <c r="I37" i="2"/>
  <c r="J37" i="2"/>
  <c r="A38" i="2"/>
  <c r="B38" i="2"/>
  <c r="C38" i="2"/>
  <c r="D38" i="2"/>
  <c r="E38" i="2"/>
  <c r="F38" i="2"/>
  <c r="G38" i="2"/>
  <c r="I38" i="2"/>
  <c r="J38" i="2"/>
  <c r="A39" i="2"/>
  <c r="B39" i="2"/>
  <c r="C39" i="2"/>
  <c r="D39" i="2"/>
  <c r="E39" i="2"/>
  <c r="F39" i="2"/>
  <c r="G39" i="2"/>
  <c r="I39" i="2"/>
  <c r="J39" i="2"/>
  <c r="B40" i="2"/>
  <c r="C40" i="2"/>
  <c r="D40" i="2"/>
  <c r="E40" i="2"/>
  <c r="F40" i="2"/>
  <c r="G40" i="2"/>
  <c r="A40" i="2" s="1"/>
  <c r="I40" i="2"/>
  <c r="J40" i="2"/>
  <c r="B41" i="2"/>
  <c r="C41" i="2"/>
  <c r="D41" i="2"/>
  <c r="E41" i="2"/>
  <c r="F41" i="2"/>
  <c r="G41" i="2"/>
  <c r="A41" i="2" s="1"/>
  <c r="I41" i="2"/>
  <c r="J41" i="2"/>
  <c r="A42" i="2"/>
  <c r="B42" i="2"/>
  <c r="C42" i="2"/>
  <c r="D42" i="2"/>
  <c r="E42" i="2"/>
  <c r="F42" i="2"/>
  <c r="G42" i="2"/>
  <c r="I42" i="2"/>
  <c r="J42" i="2"/>
  <c r="A43" i="2"/>
  <c r="B43" i="2"/>
  <c r="C43" i="2"/>
  <c r="D43" i="2"/>
  <c r="E43" i="2"/>
  <c r="F43" i="2"/>
  <c r="G43" i="2"/>
  <c r="I43" i="2"/>
  <c r="J43" i="2"/>
  <c r="B44" i="2"/>
  <c r="C44" i="2"/>
  <c r="D44" i="2"/>
  <c r="E44" i="2"/>
  <c r="F44" i="2"/>
  <c r="G44" i="2"/>
  <c r="A44" i="2" s="1"/>
  <c r="I44" i="2"/>
  <c r="J44" i="2"/>
  <c r="A45" i="2"/>
  <c r="B45" i="2"/>
  <c r="C45" i="2"/>
  <c r="D45" i="2"/>
  <c r="E45" i="2"/>
  <c r="F45" i="2"/>
  <c r="G45" i="2"/>
  <c r="I45" i="2"/>
  <c r="J45" i="2"/>
  <c r="A46" i="2"/>
  <c r="B46" i="2"/>
  <c r="C46" i="2"/>
  <c r="D46" i="2"/>
  <c r="E46" i="2"/>
  <c r="F46" i="2"/>
  <c r="G46" i="2"/>
  <c r="B47" i="2"/>
  <c r="C47" i="2"/>
  <c r="D47" i="2"/>
  <c r="E47" i="2"/>
  <c r="F47" i="2"/>
  <c r="G47" i="2"/>
  <c r="A47" i="2" s="1"/>
  <c r="A48" i="2"/>
  <c r="B48" i="2"/>
  <c r="C48" i="2"/>
  <c r="D48" i="2"/>
  <c r="E48" i="2"/>
  <c r="F48" i="2"/>
  <c r="G48" i="2"/>
  <c r="B49" i="2"/>
  <c r="C49" i="2"/>
  <c r="D49" i="2"/>
  <c r="E49" i="2"/>
  <c r="F49" i="2"/>
  <c r="G49" i="2"/>
  <c r="A49" i="2" s="1"/>
  <c r="B50" i="2"/>
  <c r="C50" i="2"/>
  <c r="D50" i="2"/>
  <c r="E50" i="2"/>
  <c r="H50" i="2"/>
  <c r="A50" i="2" s="1"/>
  <c r="F50" i="2" s="1"/>
  <c r="J50" i="2"/>
  <c r="O50" i="2"/>
  <c r="O66" i="2" s="1"/>
  <c r="O82" i="2" s="1"/>
  <c r="O98" i="2" s="1"/>
  <c r="O114" i="2" s="1"/>
  <c r="O130" i="2" s="1"/>
  <c r="O146" i="2" s="1"/>
  <c r="O162" i="2" s="1"/>
  <c r="O178" i="2" s="1"/>
  <c r="O194" i="2" s="1"/>
  <c r="O210" i="2" s="1"/>
  <c r="O226" i="2" s="1"/>
  <c r="O242" i="2" s="1"/>
  <c r="O258" i="2" s="1"/>
  <c r="O274" i="2" s="1"/>
  <c r="O290" i="2" s="1"/>
  <c r="O306" i="2" s="1"/>
  <c r="O322" i="2" s="1"/>
  <c r="O338" i="2" s="1"/>
  <c r="O354" i="2" s="1"/>
  <c r="O370" i="2" s="1"/>
  <c r="O386" i="2" s="1"/>
  <c r="O402" i="2" s="1"/>
  <c r="O418" i="2" s="1"/>
  <c r="O434" i="2" s="1"/>
  <c r="O450" i="2" s="1"/>
  <c r="O466" i="2" s="1"/>
  <c r="O482" i="2" s="1"/>
  <c r="O498" i="2" s="1"/>
  <c r="O514" i="2" s="1"/>
  <c r="O530" i="2" s="1"/>
  <c r="O546" i="2" s="1"/>
  <c r="O562" i="2" s="1"/>
  <c r="O578" i="2" s="1"/>
  <c r="O594" i="2" s="1"/>
  <c r="O610" i="2" s="1"/>
  <c r="A51" i="2"/>
  <c r="B51" i="2"/>
  <c r="C51" i="2"/>
  <c r="D51" i="2"/>
  <c r="E51" i="2"/>
  <c r="F51" i="2"/>
  <c r="G51" i="2"/>
  <c r="I51" i="2"/>
  <c r="J51" i="2"/>
  <c r="A52" i="2"/>
  <c r="B52" i="2"/>
  <c r="C52" i="2"/>
  <c r="D52" i="2"/>
  <c r="E52" i="2"/>
  <c r="F52" i="2"/>
  <c r="G52" i="2"/>
  <c r="I52" i="2"/>
  <c r="J52" i="2"/>
  <c r="B53" i="2"/>
  <c r="C53" i="2"/>
  <c r="D53" i="2"/>
  <c r="E53" i="2"/>
  <c r="F53" i="2"/>
  <c r="G53" i="2"/>
  <c r="A53" i="2" s="1"/>
  <c r="I53" i="2"/>
  <c r="J53" i="2"/>
  <c r="B54" i="2"/>
  <c r="C54" i="2"/>
  <c r="D54" i="2"/>
  <c r="E54" i="2"/>
  <c r="F54" i="2"/>
  <c r="G54" i="2"/>
  <c r="A54" i="2" s="1"/>
  <c r="I54" i="2"/>
  <c r="J54" i="2"/>
  <c r="A55" i="2"/>
  <c r="B55" i="2"/>
  <c r="C55" i="2"/>
  <c r="D55" i="2"/>
  <c r="E55" i="2"/>
  <c r="F55" i="2"/>
  <c r="G55" i="2"/>
  <c r="I55" i="2"/>
  <c r="J55" i="2"/>
  <c r="A56" i="2"/>
  <c r="B56" i="2"/>
  <c r="C56" i="2"/>
  <c r="D56" i="2"/>
  <c r="E56" i="2"/>
  <c r="F56" i="2"/>
  <c r="G56" i="2"/>
  <c r="I56" i="2"/>
  <c r="J56" i="2"/>
  <c r="B57" i="2"/>
  <c r="C57" i="2"/>
  <c r="D57" i="2"/>
  <c r="E57" i="2"/>
  <c r="F57" i="2"/>
  <c r="G57" i="2"/>
  <c r="A57" i="2" s="1"/>
  <c r="I57" i="2"/>
  <c r="J57" i="2"/>
  <c r="B58" i="2"/>
  <c r="C58" i="2"/>
  <c r="D58" i="2"/>
  <c r="E58" i="2"/>
  <c r="F58" i="2"/>
  <c r="G58" i="2"/>
  <c r="A58" i="2" s="1"/>
  <c r="I58" i="2"/>
  <c r="J58" i="2"/>
  <c r="A59" i="2"/>
  <c r="B59" i="2"/>
  <c r="C59" i="2"/>
  <c r="D59" i="2"/>
  <c r="E59" i="2"/>
  <c r="F59" i="2"/>
  <c r="G59" i="2"/>
  <c r="I59" i="2"/>
  <c r="J59" i="2"/>
  <c r="A60" i="2"/>
  <c r="B60" i="2"/>
  <c r="C60" i="2"/>
  <c r="D60" i="2"/>
  <c r="E60" i="2"/>
  <c r="F60" i="2"/>
  <c r="G60" i="2"/>
  <c r="I60" i="2"/>
  <c r="J60" i="2"/>
  <c r="B61" i="2"/>
  <c r="C61" i="2"/>
  <c r="D61" i="2"/>
  <c r="E61" i="2"/>
  <c r="F61" i="2"/>
  <c r="G61" i="2"/>
  <c r="A61" i="2" s="1"/>
  <c r="I61" i="2"/>
  <c r="J61" i="2"/>
  <c r="B62" i="2"/>
  <c r="C62" i="2"/>
  <c r="D62" i="2"/>
  <c r="E62" i="2"/>
  <c r="F62" i="2"/>
  <c r="G62" i="2"/>
  <c r="A62" i="2" s="1"/>
  <c r="A63" i="2"/>
  <c r="B63" i="2"/>
  <c r="C63" i="2"/>
  <c r="D63" i="2"/>
  <c r="E63" i="2"/>
  <c r="F63" i="2"/>
  <c r="G63" i="2"/>
  <c r="B64" i="2"/>
  <c r="C64" i="2"/>
  <c r="D64" i="2"/>
  <c r="E64" i="2"/>
  <c r="F64" i="2"/>
  <c r="G64" i="2"/>
  <c r="A64" i="2" s="1"/>
  <c r="A65" i="2"/>
  <c r="B65" i="2"/>
  <c r="C65" i="2"/>
  <c r="D65" i="2"/>
  <c r="E65" i="2"/>
  <c r="F65" i="2"/>
  <c r="G65" i="2"/>
  <c r="B66" i="2"/>
  <c r="C66" i="2"/>
  <c r="D66" i="2"/>
  <c r="E66" i="2"/>
  <c r="F66" i="2"/>
  <c r="H66" i="2"/>
  <c r="A66" i="2" s="1"/>
  <c r="J66" i="2"/>
  <c r="B67" i="2"/>
  <c r="C67" i="2"/>
  <c r="D67" i="2"/>
  <c r="E67" i="2"/>
  <c r="F67" i="2"/>
  <c r="G67" i="2"/>
  <c r="A67" i="2" s="1"/>
  <c r="I67" i="2"/>
  <c r="J67" i="2"/>
  <c r="A68" i="2"/>
  <c r="B68" i="2"/>
  <c r="C68" i="2"/>
  <c r="D68" i="2"/>
  <c r="E68" i="2"/>
  <c r="F68" i="2"/>
  <c r="G68" i="2"/>
  <c r="I68" i="2"/>
  <c r="J68" i="2"/>
  <c r="A69" i="2"/>
  <c r="B69" i="2"/>
  <c r="C69" i="2"/>
  <c r="D69" i="2"/>
  <c r="E69" i="2"/>
  <c r="F69" i="2"/>
  <c r="G69" i="2"/>
  <c r="I69" i="2"/>
  <c r="J69" i="2"/>
  <c r="B70" i="2"/>
  <c r="C70" i="2"/>
  <c r="D70" i="2"/>
  <c r="E70" i="2"/>
  <c r="F70" i="2"/>
  <c r="G70" i="2"/>
  <c r="A70" i="2" s="1"/>
  <c r="I70" i="2"/>
  <c r="J70" i="2"/>
  <c r="B71" i="2"/>
  <c r="C71" i="2"/>
  <c r="D71" i="2"/>
  <c r="E71" i="2"/>
  <c r="F71" i="2"/>
  <c r="G71" i="2"/>
  <c r="A71" i="2" s="1"/>
  <c r="I71" i="2"/>
  <c r="J71" i="2"/>
  <c r="A72" i="2"/>
  <c r="B72" i="2"/>
  <c r="C72" i="2"/>
  <c r="D72" i="2"/>
  <c r="E72" i="2"/>
  <c r="F72" i="2"/>
  <c r="G72" i="2"/>
  <c r="I72" i="2"/>
  <c r="J72" i="2"/>
  <c r="A73" i="2"/>
  <c r="B73" i="2"/>
  <c r="C73" i="2"/>
  <c r="D73" i="2"/>
  <c r="E73" i="2"/>
  <c r="F73" i="2"/>
  <c r="G73" i="2"/>
  <c r="I73" i="2"/>
  <c r="J73" i="2"/>
  <c r="B74" i="2"/>
  <c r="C74" i="2"/>
  <c r="D74" i="2"/>
  <c r="E74" i="2"/>
  <c r="F74" i="2"/>
  <c r="G74" i="2"/>
  <c r="A74" i="2" s="1"/>
  <c r="I74" i="2"/>
  <c r="J74" i="2"/>
  <c r="B75" i="2"/>
  <c r="C75" i="2"/>
  <c r="D75" i="2"/>
  <c r="E75" i="2"/>
  <c r="F75" i="2"/>
  <c r="G75" i="2"/>
  <c r="A75" i="2" s="1"/>
  <c r="I75" i="2"/>
  <c r="J75" i="2"/>
  <c r="A76" i="2"/>
  <c r="B76" i="2"/>
  <c r="C76" i="2"/>
  <c r="D76" i="2"/>
  <c r="E76" i="2"/>
  <c r="F76" i="2"/>
  <c r="G76" i="2"/>
  <c r="I76" i="2"/>
  <c r="J76" i="2"/>
  <c r="A77" i="2"/>
  <c r="B77" i="2"/>
  <c r="C77" i="2"/>
  <c r="D77" i="2"/>
  <c r="E77" i="2"/>
  <c r="F77" i="2"/>
  <c r="G77" i="2"/>
  <c r="I77" i="2"/>
  <c r="J77" i="2"/>
  <c r="B78" i="2"/>
  <c r="C78" i="2"/>
  <c r="D78" i="2"/>
  <c r="E78" i="2"/>
  <c r="F78" i="2"/>
  <c r="G78" i="2"/>
  <c r="A78" i="2" s="1"/>
  <c r="B79" i="2"/>
  <c r="C79" i="2"/>
  <c r="D79" i="2"/>
  <c r="E79" i="2"/>
  <c r="F79" i="2"/>
  <c r="G79" i="2"/>
  <c r="A79" i="2" s="1"/>
  <c r="A80" i="2"/>
  <c r="B80" i="2"/>
  <c r="C80" i="2"/>
  <c r="D80" i="2"/>
  <c r="E80" i="2"/>
  <c r="F80" i="2"/>
  <c r="G80" i="2"/>
  <c r="A81" i="2"/>
  <c r="B81" i="2"/>
  <c r="C81" i="2"/>
  <c r="D81" i="2"/>
  <c r="E81" i="2"/>
  <c r="F81" i="2"/>
  <c r="G81" i="2"/>
  <c r="A82" i="2"/>
  <c r="F82" i="2" s="1"/>
  <c r="B82" i="2"/>
  <c r="C82" i="2"/>
  <c r="D82" i="2"/>
  <c r="E82" i="2"/>
  <c r="H82" i="2"/>
  <c r="J82" i="2"/>
  <c r="B83" i="2"/>
  <c r="C83" i="2"/>
  <c r="D83" i="2"/>
  <c r="E83" i="2"/>
  <c r="F83" i="2"/>
  <c r="G83" i="2"/>
  <c r="A83" i="2" s="1"/>
  <c r="I83" i="2"/>
  <c r="J83" i="2"/>
  <c r="B84" i="2"/>
  <c r="C84" i="2"/>
  <c r="D84" i="2"/>
  <c r="E84" i="2"/>
  <c r="F84" i="2"/>
  <c r="G84" i="2"/>
  <c r="A84" i="2" s="1"/>
  <c r="I84" i="2"/>
  <c r="J84" i="2"/>
  <c r="A85" i="2"/>
  <c r="B85" i="2"/>
  <c r="C85" i="2"/>
  <c r="D85" i="2"/>
  <c r="E85" i="2"/>
  <c r="F85" i="2"/>
  <c r="G85" i="2"/>
  <c r="I85" i="2"/>
  <c r="J85" i="2"/>
  <c r="A86" i="2"/>
  <c r="B86" i="2"/>
  <c r="C86" i="2"/>
  <c r="D86" i="2"/>
  <c r="E86" i="2"/>
  <c r="F86" i="2"/>
  <c r="G86" i="2"/>
  <c r="I86" i="2"/>
  <c r="J86" i="2"/>
  <c r="B87" i="2"/>
  <c r="C87" i="2"/>
  <c r="D87" i="2"/>
  <c r="E87" i="2"/>
  <c r="F87" i="2"/>
  <c r="G87" i="2"/>
  <c r="A87" i="2" s="1"/>
  <c r="I87" i="2"/>
  <c r="J87" i="2"/>
  <c r="B88" i="2"/>
  <c r="C88" i="2"/>
  <c r="D88" i="2"/>
  <c r="E88" i="2"/>
  <c r="F88" i="2"/>
  <c r="G88" i="2"/>
  <c r="A88" i="2" s="1"/>
  <c r="I88" i="2"/>
  <c r="J88" i="2"/>
  <c r="A89" i="2"/>
  <c r="B89" i="2"/>
  <c r="C89" i="2"/>
  <c r="D89" i="2"/>
  <c r="E89" i="2"/>
  <c r="F89" i="2"/>
  <c r="G89" i="2"/>
  <c r="I89" i="2"/>
  <c r="J89" i="2"/>
  <c r="A90" i="2"/>
  <c r="B90" i="2"/>
  <c r="C90" i="2"/>
  <c r="D90" i="2"/>
  <c r="E90" i="2"/>
  <c r="F90" i="2"/>
  <c r="G90" i="2"/>
  <c r="I90" i="2"/>
  <c r="J90" i="2"/>
  <c r="B91" i="2"/>
  <c r="C91" i="2"/>
  <c r="D91" i="2"/>
  <c r="E91" i="2"/>
  <c r="F91" i="2"/>
  <c r="G91" i="2"/>
  <c r="A91" i="2" s="1"/>
  <c r="I91" i="2"/>
  <c r="J91" i="2"/>
  <c r="B92" i="2"/>
  <c r="C92" i="2"/>
  <c r="D92" i="2"/>
  <c r="E92" i="2"/>
  <c r="F92" i="2"/>
  <c r="G92" i="2"/>
  <c r="A92" i="2" s="1"/>
  <c r="I92" i="2"/>
  <c r="J92" i="2"/>
  <c r="B93" i="2"/>
  <c r="C93" i="2"/>
  <c r="D93" i="2"/>
  <c r="E93" i="2"/>
  <c r="F93" i="2"/>
  <c r="G93" i="2"/>
  <c r="A93" i="2" s="1"/>
  <c r="I93" i="2"/>
  <c r="J93" i="2"/>
  <c r="A94" i="2"/>
  <c r="B94" i="2"/>
  <c r="C94" i="2"/>
  <c r="D94" i="2"/>
  <c r="E94" i="2"/>
  <c r="F94" i="2"/>
  <c r="G94" i="2"/>
  <c r="B95" i="2"/>
  <c r="C95" i="2"/>
  <c r="D95" i="2"/>
  <c r="E95" i="2"/>
  <c r="F95" i="2"/>
  <c r="G95" i="2"/>
  <c r="A95" i="2" s="1"/>
  <c r="A96" i="2"/>
  <c r="B96" i="2"/>
  <c r="C96" i="2"/>
  <c r="D96" i="2"/>
  <c r="E96" i="2"/>
  <c r="F96" i="2"/>
  <c r="G96" i="2"/>
  <c r="A97" i="2"/>
  <c r="B97" i="2"/>
  <c r="C97" i="2"/>
  <c r="D97" i="2"/>
  <c r="E97" i="2"/>
  <c r="F97" i="2"/>
  <c r="G97" i="2"/>
  <c r="B98" i="2"/>
  <c r="C98" i="2"/>
  <c r="D98" i="2"/>
  <c r="E98" i="2"/>
  <c r="H98" i="2"/>
  <c r="A98" i="2" s="1"/>
  <c r="F98" i="2" s="1"/>
  <c r="J98" i="2"/>
  <c r="A99" i="2"/>
  <c r="B99" i="2"/>
  <c r="C99" i="2"/>
  <c r="D99" i="2"/>
  <c r="E99" i="2"/>
  <c r="F99" i="2"/>
  <c r="G99" i="2"/>
  <c r="I99" i="2"/>
  <c r="J99" i="2"/>
  <c r="A100" i="2"/>
  <c r="B100" i="2"/>
  <c r="C100" i="2"/>
  <c r="D100" i="2"/>
  <c r="E100" i="2"/>
  <c r="F100" i="2"/>
  <c r="G100" i="2"/>
  <c r="I100" i="2"/>
  <c r="J100" i="2"/>
  <c r="B101" i="2"/>
  <c r="C101" i="2"/>
  <c r="D101" i="2"/>
  <c r="E101" i="2"/>
  <c r="F101" i="2"/>
  <c r="G101" i="2"/>
  <c r="A101" i="2" s="1"/>
  <c r="I101" i="2"/>
  <c r="J101" i="2"/>
  <c r="B102" i="2"/>
  <c r="C102" i="2"/>
  <c r="D102" i="2"/>
  <c r="E102" i="2"/>
  <c r="F102" i="2"/>
  <c r="G102" i="2"/>
  <c r="A102" i="2" s="1"/>
  <c r="I102" i="2"/>
  <c r="J102" i="2"/>
  <c r="A103" i="2"/>
  <c r="B103" i="2"/>
  <c r="C103" i="2"/>
  <c r="D103" i="2"/>
  <c r="E103" i="2"/>
  <c r="F103" i="2"/>
  <c r="G103" i="2"/>
  <c r="I103" i="2"/>
  <c r="J103" i="2"/>
  <c r="A104" i="2"/>
  <c r="B104" i="2"/>
  <c r="C104" i="2"/>
  <c r="D104" i="2"/>
  <c r="E104" i="2"/>
  <c r="F104" i="2"/>
  <c r="G104" i="2"/>
  <c r="I104" i="2"/>
  <c r="J104" i="2"/>
  <c r="B105" i="2"/>
  <c r="C105" i="2"/>
  <c r="D105" i="2"/>
  <c r="E105" i="2"/>
  <c r="F105" i="2"/>
  <c r="G105" i="2"/>
  <c r="A105" i="2" s="1"/>
  <c r="I105" i="2"/>
  <c r="J105" i="2"/>
  <c r="B106" i="2"/>
  <c r="C106" i="2"/>
  <c r="D106" i="2"/>
  <c r="E106" i="2"/>
  <c r="F106" i="2"/>
  <c r="G106" i="2"/>
  <c r="A106" i="2" s="1"/>
  <c r="I106" i="2"/>
  <c r="J106" i="2"/>
  <c r="A107" i="2"/>
  <c r="B107" i="2"/>
  <c r="C107" i="2"/>
  <c r="D107" i="2"/>
  <c r="E107" i="2"/>
  <c r="F107" i="2"/>
  <c r="G107" i="2"/>
  <c r="I107" i="2"/>
  <c r="J107" i="2"/>
  <c r="A108" i="2"/>
  <c r="B108" i="2"/>
  <c r="C108" i="2"/>
  <c r="D108" i="2"/>
  <c r="E108" i="2"/>
  <c r="F108" i="2"/>
  <c r="G108" i="2"/>
  <c r="I108" i="2"/>
  <c r="J108" i="2"/>
  <c r="B109" i="2"/>
  <c r="C109" i="2"/>
  <c r="D109" i="2"/>
  <c r="E109" i="2"/>
  <c r="F109" i="2"/>
  <c r="G109" i="2"/>
  <c r="A109" i="2" s="1"/>
  <c r="I109" i="2"/>
  <c r="J109" i="2"/>
  <c r="B110" i="2"/>
  <c r="C110" i="2"/>
  <c r="D110" i="2"/>
  <c r="E110" i="2"/>
  <c r="F110" i="2"/>
  <c r="G110" i="2"/>
  <c r="A110" i="2" s="1"/>
  <c r="B111" i="2"/>
  <c r="C111" i="2"/>
  <c r="D111" i="2"/>
  <c r="E111" i="2"/>
  <c r="F111" i="2"/>
  <c r="G111" i="2"/>
  <c r="A111" i="2" s="1"/>
  <c r="B112" i="2"/>
  <c r="C112" i="2"/>
  <c r="D112" i="2"/>
  <c r="E112" i="2"/>
  <c r="F112" i="2"/>
  <c r="G112" i="2"/>
  <c r="A112" i="2" s="1"/>
  <c r="A113" i="2"/>
  <c r="B113" i="2"/>
  <c r="C113" i="2"/>
  <c r="D113" i="2"/>
  <c r="E113" i="2"/>
  <c r="F113" i="2"/>
  <c r="G113" i="2"/>
  <c r="B114" i="2"/>
  <c r="C114" i="2"/>
  <c r="D114" i="2"/>
  <c r="E114" i="2"/>
  <c r="H114" i="2"/>
  <c r="A114" i="2" s="1"/>
  <c r="F114" i="2" s="1"/>
  <c r="J114" i="2"/>
  <c r="A115" i="2"/>
  <c r="B115" i="2"/>
  <c r="C115" i="2"/>
  <c r="D115" i="2"/>
  <c r="E115" i="2"/>
  <c r="F115" i="2"/>
  <c r="G115" i="2"/>
  <c r="I115" i="2"/>
  <c r="J115" i="2"/>
  <c r="A116" i="2"/>
  <c r="B116" i="2"/>
  <c r="C116" i="2"/>
  <c r="D116" i="2"/>
  <c r="E116" i="2"/>
  <c r="F116" i="2"/>
  <c r="G116" i="2"/>
  <c r="I116" i="2"/>
  <c r="J116" i="2"/>
  <c r="B117" i="2"/>
  <c r="C117" i="2"/>
  <c r="D117" i="2"/>
  <c r="E117" i="2"/>
  <c r="F117" i="2"/>
  <c r="G117" i="2"/>
  <c r="A117" i="2" s="1"/>
  <c r="I117" i="2"/>
  <c r="J117" i="2"/>
  <c r="B118" i="2"/>
  <c r="C118" i="2"/>
  <c r="D118" i="2"/>
  <c r="E118" i="2"/>
  <c r="F118" i="2"/>
  <c r="G118" i="2"/>
  <c r="A118" i="2" s="1"/>
  <c r="I118" i="2"/>
  <c r="J118" i="2"/>
  <c r="A119" i="2"/>
  <c r="B119" i="2"/>
  <c r="C119" i="2"/>
  <c r="D119" i="2"/>
  <c r="E119" i="2"/>
  <c r="F119" i="2"/>
  <c r="G119" i="2"/>
  <c r="I119" i="2"/>
  <c r="J119" i="2"/>
  <c r="A120" i="2"/>
  <c r="B120" i="2"/>
  <c r="C120" i="2"/>
  <c r="D120" i="2"/>
  <c r="E120" i="2"/>
  <c r="F120" i="2"/>
  <c r="G120" i="2"/>
  <c r="I120" i="2"/>
  <c r="J120" i="2"/>
  <c r="B121" i="2"/>
  <c r="C121" i="2"/>
  <c r="D121" i="2"/>
  <c r="E121" i="2"/>
  <c r="F121" i="2"/>
  <c r="G121" i="2"/>
  <c r="A121" i="2" s="1"/>
  <c r="I121" i="2"/>
  <c r="J121" i="2"/>
  <c r="B122" i="2"/>
  <c r="C122" i="2"/>
  <c r="D122" i="2"/>
  <c r="E122" i="2"/>
  <c r="F122" i="2"/>
  <c r="G122" i="2"/>
  <c r="A122" i="2" s="1"/>
  <c r="I122" i="2"/>
  <c r="J122" i="2"/>
  <c r="A123" i="2"/>
  <c r="B123" i="2"/>
  <c r="C123" i="2"/>
  <c r="D123" i="2"/>
  <c r="E123" i="2"/>
  <c r="F123" i="2"/>
  <c r="G123" i="2"/>
  <c r="I123" i="2"/>
  <c r="J123" i="2"/>
  <c r="A124" i="2"/>
  <c r="B124" i="2"/>
  <c r="C124" i="2"/>
  <c r="D124" i="2"/>
  <c r="E124" i="2"/>
  <c r="F124" i="2"/>
  <c r="G124" i="2"/>
  <c r="I124" i="2"/>
  <c r="J124" i="2"/>
  <c r="B125" i="2"/>
  <c r="C125" i="2"/>
  <c r="D125" i="2"/>
  <c r="E125" i="2"/>
  <c r="F125" i="2"/>
  <c r="G125" i="2"/>
  <c r="A125" i="2" s="1"/>
  <c r="I125" i="2"/>
  <c r="J125" i="2"/>
  <c r="B126" i="2"/>
  <c r="C126" i="2"/>
  <c r="D126" i="2"/>
  <c r="E126" i="2"/>
  <c r="F126" i="2"/>
  <c r="G126" i="2"/>
  <c r="A126" i="2" s="1"/>
  <c r="A127" i="2"/>
  <c r="B127" i="2"/>
  <c r="C127" i="2"/>
  <c r="D127" i="2"/>
  <c r="E127" i="2"/>
  <c r="F127" i="2"/>
  <c r="G127" i="2"/>
  <c r="A128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A129" i="2" s="1"/>
  <c r="A130" i="2"/>
  <c r="F130" i="2" s="1"/>
  <c r="B130" i="2"/>
  <c r="C130" i="2"/>
  <c r="D130" i="2"/>
  <c r="E130" i="2"/>
  <c r="H130" i="2"/>
  <c r="J130" i="2"/>
  <c r="A131" i="2"/>
  <c r="B131" i="2"/>
  <c r="C131" i="2"/>
  <c r="D131" i="2"/>
  <c r="E131" i="2"/>
  <c r="F131" i="2"/>
  <c r="G131" i="2"/>
  <c r="I131" i="2"/>
  <c r="J131" i="2"/>
  <c r="B132" i="2"/>
  <c r="C132" i="2"/>
  <c r="D132" i="2"/>
  <c r="E132" i="2"/>
  <c r="F132" i="2"/>
  <c r="G132" i="2"/>
  <c r="A132" i="2" s="1"/>
  <c r="I132" i="2"/>
  <c r="J132" i="2"/>
  <c r="B133" i="2"/>
  <c r="C133" i="2"/>
  <c r="D133" i="2"/>
  <c r="E133" i="2"/>
  <c r="F133" i="2"/>
  <c r="G133" i="2"/>
  <c r="A133" i="2" s="1"/>
  <c r="I133" i="2"/>
  <c r="J133" i="2"/>
  <c r="A134" i="2"/>
  <c r="B134" i="2"/>
  <c r="C134" i="2"/>
  <c r="D134" i="2"/>
  <c r="E134" i="2"/>
  <c r="F134" i="2"/>
  <c r="G134" i="2"/>
  <c r="I134" i="2"/>
  <c r="J134" i="2"/>
  <c r="A135" i="2"/>
  <c r="B135" i="2"/>
  <c r="C135" i="2"/>
  <c r="D135" i="2"/>
  <c r="E135" i="2"/>
  <c r="F135" i="2"/>
  <c r="G135" i="2"/>
  <c r="I135" i="2"/>
  <c r="J135" i="2"/>
  <c r="B136" i="2"/>
  <c r="C136" i="2"/>
  <c r="D136" i="2"/>
  <c r="E136" i="2"/>
  <c r="F136" i="2"/>
  <c r="G136" i="2"/>
  <c r="A136" i="2" s="1"/>
  <c r="I136" i="2"/>
  <c r="J136" i="2"/>
  <c r="B137" i="2"/>
  <c r="C137" i="2"/>
  <c r="D137" i="2"/>
  <c r="E137" i="2"/>
  <c r="F137" i="2"/>
  <c r="G137" i="2"/>
  <c r="A137" i="2" s="1"/>
  <c r="I137" i="2"/>
  <c r="J137" i="2"/>
  <c r="A138" i="2"/>
  <c r="B138" i="2"/>
  <c r="C138" i="2"/>
  <c r="D138" i="2"/>
  <c r="E138" i="2"/>
  <c r="F138" i="2"/>
  <c r="G138" i="2"/>
  <c r="I138" i="2"/>
  <c r="J138" i="2"/>
  <c r="A139" i="2"/>
  <c r="B139" i="2"/>
  <c r="C139" i="2"/>
  <c r="D139" i="2"/>
  <c r="E139" i="2"/>
  <c r="F139" i="2"/>
  <c r="G139" i="2"/>
  <c r="I139" i="2"/>
  <c r="J139" i="2"/>
  <c r="B140" i="2"/>
  <c r="C140" i="2"/>
  <c r="D140" i="2"/>
  <c r="E140" i="2"/>
  <c r="F140" i="2"/>
  <c r="G140" i="2"/>
  <c r="A140" i="2" s="1"/>
  <c r="I140" i="2"/>
  <c r="J140" i="2"/>
  <c r="A141" i="2"/>
  <c r="B141" i="2"/>
  <c r="C141" i="2"/>
  <c r="D141" i="2"/>
  <c r="E141" i="2"/>
  <c r="F141" i="2"/>
  <c r="G141" i="2"/>
  <c r="I141" i="2"/>
  <c r="J141" i="2"/>
  <c r="A142" i="2"/>
  <c r="B142" i="2"/>
  <c r="C142" i="2"/>
  <c r="D142" i="2"/>
  <c r="E142" i="2"/>
  <c r="F142" i="2"/>
  <c r="G142" i="2"/>
  <c r="B143" i="2"/>
  <c r="C143" i="2"/>
  <c r="D143" i="2"/>
  <c r="E143" i="2"/>
  <c r="F143" i="2"/>
  <c r="G143" i="2"/>
  <c r="A143" i="2" s="1"/>
  <c r="A144" i="2"/>
  <c r="B144" i="2"/>
  <c r="C144" i="2"/>
  <c r="D144" i="2"/>
  <c r="E144" i="2"/>
  <c r="F144" i="2"/>
  <c r="G144" i="2"/>
  <c r="B145" i="2"/>
  <c r="C145" i="2"/>
  <c r="D145" i="2"/>
  <c r="E145" i="2"/>
  <c r="F145" i="2"/>
  <c r="G145" i="2"/>
  <c r="A145" i="2" s="1"/>
  <c r="B146" i="2"/>
  <c r="C146" i="2"/>
  <c r="D146" i="2"/>
  <c r="E146" i="2"/>
  <c r="H146" i="2"/>
  <c r="A146" i="2" s="1"/>
  <c r="F146" i="2" s="1"/>
  <c r="J146" i="2"/>
  <c r="A147" i="2"/>
  <c r="B147" i="2"/>
  <c r="C147" i="2"/>
  <c r="D147" i="2"/>
  <c r="E147" i="2"/>
  <c r="F147" i="2"/>
  <c r="G147" i="2"/>
  <c r="I147" i="2"/>
  <c r="J147" i="2"/>
  <c r="A148" i="2"/>
  <c r="B148" i="2"/>
  <c r="C148" i="2"/>
  <c r="D148" i="2"/>
  <c r="E148" i="2"/>
  <c r="F148" i="2"/>
  <c r="G148" i="2"/>
  <c r="I148" i="2"/>
  <c r="J148" i="2"/>
  <c r="B149" i="2"/>
  <c r="C149" i="2"/>
  <c r="D149" i="2"/>
  <c r="E149" i="2"/>
  <c r="F149" i="2"/>
  <c r="G149" i="2"/>
  <c r="A149" i="2" s="1"/>
  <c r="I149" i="2"/>
  <c r="J149" i="2"/>
  <c r="B150" i="2"/>
  <c r="C150" i="2"/>
  <c r="D150" i="2"/>
  <c r="E150" i="2"/>
  <c r="F150" i="2"/>
  <c r="G150" i="2"/>
  <c r="A150" i="2" s="1"/>
  <c r="I150" i="2"/>
  <c r="J150" i="2"/>
  <c r="A151" i="2"/>
  <c r="B151" i="2"/>
  <c r="C151" i="2"/>
  <c r="D151" i="2"/>
  <c r="E151" i="2"/>
  <c r="F151" i="2"/>
  <c r="G151" i="2"/>
  <c r="I151" i="2"/>
  <c r="J151" i="2"/>
  <c r="A152" i="2"/>
  <c r="B152" i="2"/>
  <c r="C152" i="2"/>
  <c r="D152" i="2"/>
  <c r="E152" i="2"/>
  <c r="F152" i="2"/>
  <c r="G152" i="2"/>
  <c r="I152" i="2"/>
  <c r="J152" i="2"/>
  <c r="B153" i="2"/>
  <c r="C153" i="2"/>
  <c r="D153" i="2"/>
  <c r="E153" i="2"/>
  <c r="F153" i="2"/>
  <c r="G153" i="2"/>
  <c r="A153" i="2" s="1"/>
  <c r="I153" i="2"/>
  <c r="J153" i="2"/>
  <c r="B154" i="2"/>
  <c r="C154" i="2"/>
  <c r="D154" i="2"/>
  <c r="E154" i="2"/>
  <c r="F154" i="2"/>
  <c r="G154" i="2"/>
  <c r="A154" i="2" s="1"/>
  <c r="I154" i="2"/>
  <c r="J154" i="2"/>
  <c r="A155" i="2"/>
  <c r="B155" i="2"/>
  <c r="C155" i="2"/>
  <c r="D155" i="2"/>
  <c r="E155" i="2"/>
  <c r="F155" i="2"/>
  <c r="G155" i="2"/>
  <c r="I155" i="2"/>
  <c r="J155" i="2"/>
  <c r="A156" i="2"/>
  <c r="B156" i="2"/>
  <c r="C156" i="2"/>
  <c r="D156" i="2"/>
  <c r="E156" i="2"/>
  <c r="F156" i="2"/>
  <c r="G156" i="2"/>
  <c r="I156" i="2"/>
  <c r="J156" i="2"/>
  <c r="B157" i="2"/>
  <c r="C157" i="2"/>
  <c r="D157" i="2"/>
  <c r="E157" i="2"/>
  <c r="F157" i="2"/>
  <c r="G157" i="2"/>
  <c r="A157" i="2" s="1"/>
  <c r="I157" i="2"/>
  <c r="J157" i="2"/>
  <c r="B158" i="2"/>
  <c r="C158" i="2"/>
  <c r="D158" i="2"/>
  <c r="E158" i="2"/>
  <c r="F158" i="2"/>
  <c r="G158" i="2"/>
  <c r="A158" i="2" s="1"/>
  <c r="A159" i="2"/>
  <c r="B159" i="2"/>
  <c r="C159" i="2"/>
  <c r="D159" i="2"/>
  <c r="E159" i="2"/>
  <c r="F159" i="2"/>
  <c r="G159" i="2"/>
  <c r="B160" i="2"/>
  <c r="C160" i="2"/>
  <c r="D160" i="2"/>
  <c r="E160" i="2"/>
  <c r="F160" i="2"/>
  <c r="G160" i="2"/>
  <c r="A160" i="2" s="1"/>
  <c r="A161" i="2"/>
  <c r="B161" i="2"/>
  <c r="C161" i="2"/>
  <c r="D161" i="2"/>
  <c r="E161" i="2"/>
  <c r="F161" i="2"/>
  <c r="G161" i="2"/>
  <c r="B162" i="2"/>
  <c r="C162" i="2"/>
  <c r="D162" i="2"/>
  <c r="E162" i="2"/>
  <c r="F162" i="2"/>
  <c r="H162" i="2"/>
  <c r="A162" i="2" s="1"/>
  <c r="J162" i="2"/>
  <c r="B163" i="2"/>
  <c r="C163" i="2"/>
  <c r="D163" i="2"/>
  <c r="E163" i="2"/>
  <c r="F163" i="2"/>
  <c r="G163" i="2"/>
  <c r="A163" i="2" s="1"/>
  <c r="I163" i="2"/>
  <c r="J163" i="2"/>
  <c r="A164" i="2"/>
  <c r="B164" i="2"/>
  <c r="C164" i="2"/>
  <c r="D164" i="2"/>
  <c r="E164" i="2"/>
  <c r="F164" i="2"/>
  <c r="G164" i="2"/>
  <c r="I164" i="2"/>
  <c r="J164" i="2"/>
  <c r="A165" i="2"/>
  <c r="B165" i="2"/>
  <c r="C165" i="2"/>
  <c r="D165" i="2"/>
  <c r="E165" i="2"/>
  <c r="F165" i="2"/>
  <c r="G165" i="2"/>
  <c r="I165" i="2"/>
  <c r="J165" i="2"/>
  <c r="B166" i="2"/>
  <c r="C166" i="2"/>
  <c r="D166" i="2"/>
  <c r="E166" i="2"/>
  <c r="F166" i="2"/>
  <c r="G166" i="2"/>
  <c r="A166" i="2" s="1"/>
  <c r="I166" i="2"/>
  <c r="J166" i="2"/>
  <c r="B167" i="2"/>
  <c r="C167" i="2"/>
  <c r="D167" i="2"/>
  <c r="E167" i="2"/>
  <c r="F167" i="2"/>
  <c r="G167" i="2"/>
  <c r="A167" i="2" s="1"/>
  <c r="I167" i="2"/>
  <c r="J167" i="2"/>
  <c r="A168" i="2"/>
  <c r="B168" i="2"/>
  <c r="C168" i="2"/>
  <c r="D168" i="2"/>
  <c r="E168" i="2"/>
  <c r="F168" i="2"/>
  <c r="G168" i="2"/>
  <c r="I168" i="2"/>
  <c r="J168" i="2"/>
  <c r="A169" i="2"/>
  <c r="B169" i="2"/>
  <c r="C169" i="2"/>
  <c r="D169" i="2"/>
  <c r="E169" i="2"/>
  <c r="F169" i="2"/>
  <c r="G169" i="2"/>
  <c r="I169" i="2"/>
  <c r="J169" i="2"/>
  <c r="B170" i="2"/>
  <c r="C170" i="2"/>
  <c r="D170" i="2"/>
  <c r="E170" i="2"/>
  <c r="F170" i="2"/>
  <c r="G170" i="2"/>
  <c r="A170" i="2" s="1"/>
  <c r="I170" i="2"/>
  <c r="J170" i="2"/>
  <c r="B171" i="2"/>
  <c r="C171" i="2"/>
  <c r="D171" i="2"/>
  <c r="E171" i="2"/>
  <c r="F171" i="2"/>
  <c r="G171" i="2"/>
  <c r="A171" i="2" s="1"/>
  <c r="I171" i="2"/>
  <c r="J171" i="2"/>
  <c r="A172" i="2"/>
  <c r="B172" i="2"/>
  <c r="C172" i="2"/>
  <c r="D172" i="2"/>
  <c r="E172" i="2"/>
  <c r="F172" i="2"/>
  <c r="G172" i="2"/>
  <c r="I172" i="2"/>
  <c r="J172" i="2"/>
  <c r="A173" i="2"/>
  <c r="B173" i="2"/>
  <c r="C173" i="2"/>
  <c r="D173" i="2"/>
  <c r="E173" i="2"/>
  <c r="F173" i="2"/>
  <c r="G173" i="2"/>
  <c r="I173" i="2"/>
  <c r="J173" i="2"/>
  <c r="B174" i="2"/>
  <c r="C174" i="2"/>
  <c r="D174" i="2"/>
  <c r="E174" i="2"/>
  <c r="F174" i="2"/>
  <c r="G174" i="2"/>
  <c r="A174" i="2" s="1"/>
  <c r="B175" i="2"/>
  <c r="C175" i="2"/>
  <c r="D175" i="2"/>
  <c r="E175" i="2"/>
  <c r="F175" i="2"/>
  <c r="G175" i="2"/>
  <c r="A175" i="2" s="1"/>
  <c r="A176" i="2"/>
  <c r="B176" i="2"/>
  <c r="C176" i="2"/>
  <c r="D176" i="2"/>
  <c r="E176" i="2"/>
  <c r="F176" i="2"/>
  <c r="G176" i="2"/>
  <c r="A177" i="2"/>
  <c r="B177" i="2"/>
  <c r="C177" i="2"/>
  <c r="D177" i="2"/>
  <c r="E177" i="2"/>
  <c r="F177" i="2"/>
  <c r="G177" i="2"/>
  <c r="A178" i="2"/>
  <c r="F178" i="2" s="1"/>
  <c r="B178" i="2"/>
  <c r="C178" i="2"/>
  <c r="D178" i="2"/>
  <c r="E178" i="2"/>
  <c r="H178" i="2"/>
  <c r="J178" i="2"/>
  <c r="B179" i="2"/>
  <c r="C179" i="2"/>
  <c r="D179" i="2"/>
  <c r="E179" i="2"/>
  <c r="F179" i="2"/>
  <c r="G179" i="2"/>
  <c r="A179" i="2" s="1"/>
  <c r="I179" i="2"/>
  <c r="J179" i="2"/>
  <c r="B180" i="2"/>
  <c r="C180" i="2"/>
  <c r="D180" i="2"/>
  <c r="E180" i="2"/>
  <c r="F180" i="2"/>
  <c r="G180" i="2"/>
  <c r="A180" i="2" s="1"/>
  <c r="I180" i="2"/>
  <c r="J180" i="2"/>
  <c r="A181" i="2"/>
  <c r="B181" i="2"/>
  <c r="C181" i="2"/>
  <c r="D181" i="2"/>
  <c r="E181" i="2"/>
  <c r="F181" i="2"/>
  <c r="G181" i="2"/>
  <c r="I181" i="2"/>
  <c r="J181" i="2"/>
  <c r="A182" i="2"/>
  <c r="B182" i="2"/>
  <c r="C182" i="2"/>
  <c r="D182" i="2"/>
  <c r="E182" i="2"/>
  <c r="F182" i="2"/>
  <c r="G182" i="2"/>
  <c r="I182" i="2"/>
  <c r="J182" i="2"/>
  <c r="B183" i="2"/>
  <c r="C183" i="2"/>
  <c r="D183" i="2"/>
  <c r="E183" i="2"/>
  <c r="F183" i="2"/>
  <c r="G183" i="2"/>
  <c r="A183" i="2" s="1"/>
  <c r="I183" i="2"/>
  <c r="J183" i="2"/>
  <c r="B184" i="2"/>
  <c r="C184" i="2"/>
  <c r="D184" i="2"/>
  <c r="E184" i="2"/>
  <c r="F184" i="2"/>
  <c r="G184" i="2"/>
  <c r="A184" i="2" s="1"/>
  <c r="I184" i="2"/>
  <c r="J184" i="2"/>
  <c r="A185" i="2"/>
  <c r="B185" i="2"/>
  <c r="C185" i="2"/>
  <c r="D185" i="2"/>
  <c r="E185" i="2"/>
  <c r="F185" i="2"/>
  <c r="G185" i="2"/>
  <c r="I185" i="2"/>
  <c r="J185" i="2"/>
  <c r="A186" i="2"/>
  <c r="B186" i="2"/>
  <c r="C186" i="2"/>
  <c r="D186" i="2"/>
  <c r="E186" i="2"/>
  <c r="F186" i="2"/>
  <c r="G186" i="2"/>
  <c r="I186" i="2"/>
  <c r="J186" i="2"/>
  <c r="B187" i="2"/>
  <c r="C187" i="2"/>
  <c r="D187" i="2"/>
  <c r="E187" i="2"/>
  <c r="F187" i="2"/>
  <c r="G187" i="2"/>
  <c r="A187" i="2" s="1"/>
  <c r="I187" i="2"/>
  <c r="J187" i="2"/>
  <c r="B188" i="2"/>
  <c r="C188" i="2"/>
  <c r="D188" i="2"/>
  <c r="E188" i="2"/>
  <c r="F188" i="2"/>
  <c r="G188" i="2"/>
  <c r="A188" i="2" s="1"/>
  <c r="I188" i="2"/>
  <c r="J188" i="2"/>
  <c r="B189" i="2"/>
  <c r="C189" i="2"/>
  <c r="D189" i="2"/>
  <c r="E189" i="2"/>
  <c r="F189" i="2"/>
  <c r="G189" i="2"/>
  <c r="A189" i="2" s="1"/>
  <c r="I189" i="2"/>
  <c r="J189" i="2"/>
  <c r="A190" i="2"/>
  <c r="B190" i="2"/>
  <c r="C190" i="2"/>
  <c r="D190" i="2"/>
  <c r="E190" i="2"/>
  <c r="F190" i="2"/>
  <c r="G190" i="2"/>
  <c r="B191" i="2"/>
  <c r="C191" i="2"/>
  <c r="D191" i="2"/>
  <c r="E191" i="2"/>
  <c r="F191" i="2"/>
  <c r="G191" i="2"/>
  <c r="A191" i="2" s="1"/>
  <c r="A192" i="2"/>
  <c r="B192" i="2"/>
  <c r="C192" i="2"/>
  <c r="D192" i="2"/>
  <c r="E192" i="2"/>
  <c r="F192" i="2"/>
  <c r="G192" i="2"/>
  <c r="A193" i="2"/>
  <c r="B193" i="2"/>
  <c r="C193" i="2"/>
  <c r="D193" i="2"/>
  <c r="E193" i="2"/>
  <c r="F193" i="2"/>
  <c r="G193" i="2"/>
  <c r="B194" i="2"/>
  <c r="C194" i="2"/>
  <c r="D194" i="2"/>
  <c r="E194" i="2"/>
  <c r="F194" i="2"/>
  <c r="H194" i="2"/>
  <c r="A194" i="2" s="1"/>
  <c r="J194" i="2"/>
  <c r="B195" i="2"/>
  <c r="C195" i="2"/>
  <c r="D195" i="2"/>
  <c r="E195" i="2"/>
  <c r="F195" i="2"/>
  <c r="G195" i="2"/>
  <c r="A195" i="2" s="1"/>
  <c r="I195" i="2"/>
  <c r="J195" i="2"/>
  <c r="A196" i="2"/>
  <c r="B196" i="2"/>
  <c r="C196" i="2"/>
  <c r="D196" i="2"/>
  <c r="E196" i="2"/>
  <c r="F196" i="2"/>
  <c r="G196" i="2"/>
  <c r="I196" i="2"/>
  <c r="J196" i="2"/>
  <c r="A197" i="2"/>
  <c r="B197" i="2"/>
  <c r="C197" i="2"/>
  <c r="D197" i="2"/>
  <c r="E197" i="2"/>
  <c r="F197" i="2"/>
  <c r="G197" i="2"/>
  <c r="I197" i="2"/>
  <c r="J197" i="2"/>
  <c r="B198" i="2"/>
  <c r="C198" i="2"/>
  <c r="D198" i="2"/>
  <c r="E198" i="2"/>
  <c r="F198" i="2"/>
  <c r="G198" i="2"/>
  <c r="A198" i="2" s="1"/>
  <c r="I198" i="2"/>
  <c r="J198" i="2"/>
  <c r="B199" i="2"/>
  <c r="C199" i="2"/>
  <c r="D199" i="2"/>
  <c r="E199" i="2"/>
  <c r="F199" i="2"/>
  <c r="G199" i="2"/>
  <c r="A199" i="2" s="1"/>
  <c r="I199" i="2"/>
  <c r="J199" i="2"/>
  <c r="A200" i="2"/>
  <c r="B200" i="2"/>
  <c r="C200" i="2"/>
  <c r="D200" i="2"/>
  <c r="E200" i="2"/>
  <c r="F200" i="2"/>
  <c r="G200" i="2"/>
  <c r="I200" i="2"/>
  <c r="J200" i="2"/>
  <c r="A201" i="2"/>
  <c r="B201" i="2"/>
  <c r="C201" i="2"/>
  <c r="D201" i="2"/>
  <c r="E201" i="2"/>
  <c r="F201" i="2"/>
  <c r="G201" i="2"/>
  <c r="I201" i="2"/>
  <c r="J201" i="2"/>
  <c r="B202" i="2"/>
  <c r="C202" i="2"/>
  <c r="D202" i="2"/>
  <c r="E202" i="2"/>
  <c r="F202" i="2"/>
  <c r="G202" i="2"/>
  <c r="A202" i="2" s="1"/>
  <c r="I202" i="2"/>
  <c r="J202" i="2"/>
  <c r="B203" i="2"/>
  <c r="C203" i="2"/>
  <c r="D203" i="2"/>
  <c r="E203" i="2"/>
  <c r="F203" i="2"/>
  <c r="G203" i="2"/>
  <c r="A203" i="2" s="1"/>
  <c r="I203" i="2"/>
  <c r="J203" i="2"/>
  <c r="A204" i="2"/>
  <c r="B204" i="2"/>
  <c r="C204" i="2"/>
  <c r="D204" i="2"/>
  <c r="E204" i="2"/>
  <c r="F204" i="2"/>
  <c r="G204" i="2"/>
  <c r="I204" i="2"/>
  <c r="J204" i="2"/>
  <c r="A205" i="2"/>
  <c r="B205" i="2"/>
  <c r="C205" i="2"/>
  <c r="D205" i="2"/>
  <c r="E205" i="2"/>
  <c r="F205" i="2"/>
  <c r="G205" i="2"/>
  <c r="I205" i="2"/>
  <c r="J205" i="2"/>
  <c r="B206" i="2"/>
  <c r="C206" i="2"/>
  <c r="D206" i="2"/>
  <c r="E206" i="2"/>
  <c r="F206" i="2"/>
  <c r="G206" i="2"/>
  <c r="A206" i="2" s="1"/>
  <c r="B207" i="2"/>
  <c r="C207" i="2"/>
  <c r="D207" i="2"/>
  <c r="E207" i="2"/>
  <c r="F207" i="2"/>
  <c r="G207" i="2"/>
  <c r="A207" i="2" s="1"/>
  <c r="B208" i="2"/>
  <c r="C208" i="2"/>
  <c r="D208" i="2"/>
  <c r="E208" i="2"/>
  <c r="F208" i="2"/>
  <c r="G208" i="2"/>
  <c r="A208" i="2" s="1"/>
  <c r="A209" i="2"/>
  <c r="B209" i="2"/>
  <c r="C209" i="2"/>
  <c r="D209" i="2"/>
  <c r="E209" i="2"/>
  <c r="F209" i="2"/>
  <c r="G209" i="2"/>
  <c r="B210" i="2"/>
  <c r="C210" i="2"/>
  <c r="D210" i="2"/>
  <c r="E210" i="2"/>
  <c r="H210" i="2"/>
  <c r="A210" i="2" s="1"/>
  <c r="F210" i="2" s="1"/>
  <c r="J210" i="2"/>
  <c r="B211" i="2"/>
  <c r="C211" i="2"/>
  <c r="D211" i="2"/>
  <c r="E211" i="2"/>
  <c r="F211" i="2"/>
  <c r="G211" i="2"/>
  <c r="A211" i="2" s="1"/>
  <c r="I211" i="2"/>
  <c r="J211" i="2"/>
  <c r="A212" i="2"/>
  <c r="B212" i="2"/>
  <c r="C212" i="2"/>
  <c r="D212" i="2"/>
  <c r="E212" i="2"/>
  <c r="F212" i="2"/>
  <c r="G212" i="2"/>
  <c r="I212" i="2"/>
  <c r="J212" i="2"/>
  <c r="A213" i="2"/>
  <c r="B213" i="2"/>
  <c r="C213" i="2"/>
  <c r="D213" i="2"/>
  <c r="E213" i="2"/>
  <c r="F213" i="2"/>
  <c r="G213" i="2"/>
  <c r="I213" i="2"/>
  <c r="J213" i="2"/>
  <c r="B214" i="2"/>
  <c r="C214" i="2"/>
  <c r="D214" i="2"/>
  <c r="E214" i="2"/>
  <c r="F214" i="2"/>
  <c r="G214" i="2"/>
  <c r="A214" i="2" s="1"/>
  <c r="I214" i="2"/>
  <c r="J214" i="2"/>
  <c r="A215" i="2"/>
  <c r="B215" i="2"/>
  <c r="C215" i="2"/>
  <c r="D215" i="2"/>
  <c r="E215" i="2"/>
  <c r="F215" i="2"/>
  <c r="G215" i="2"/>
  <c r="I215" i="2"/>
  <c r="J215" i="2"/>
  <c r="A216" i="2"/>
  <c r="B216" i="2"/>
  <c r="C216" i="2"/>
  <c r="D216" i="2"/>
  <c r="E216" i="2"/>
  <c r="F216" i="2"/>
  <c r="G216" i="2"/>
  <c r="I216" i="2"/>
  <c r="J216" i="2"/>
  <c r="B217" i="2"/>
  <c r="C217" i="2"/>
  <c r="D217" i="2"/>
  <c r="E217" i="2"/>
  <c r="F217" i="2"/>
  <c r="G217" i="2"/>
  <c r="A217" i="2" s="1"/>
  <c r="I217" i="2"/>
  <c r="J217" i="2"/>
  <c r="B218" i="2"/>
  <c r="C218" i="2"/>
  <c r="D218" i="2"/>
  <c r="E218" i="2"/>
  <c r="F218" i="2"/>
  <c r="G218" i="2"/>
  <c r="A218" i="2" s="1"/>
  <c r="I218" i="2"/>
  <c r="J218" i="2"/>
  <c r="A219" i="2"/>
  <c r="B219" i="2"/>
  <c r="C219" i="2"/>
  <c r="D219" i="2"/>
  <c r="E219" i="2"/>
  <c r="F219" i="2"/>
  <c r="G219" i="2"/>
  <c r="I219" i="2"/>
  <c r="J219" i="2"/>
  <c r="A220" i="2"/>
  <c r="B220" i="2"/>
  <c r="C220" i="2"/>
  <c r="D220" i="2"/>
  <c r="E220" i="2"/>
  <c r="F220" i="2"/>
  <c r="G220" i="2"/>
  <c r="I220" i="2"/>
  <c r="J220" i="2"/>
  <c r="B221" i="2"/>
  <c r="C221" i="2"/>
  <c r="D221" i="2"/>
  <c r="E221" i="2"/>
  <c r="F221" i="2"/>
  <c r="G221" i="2"/>
  <c r="A221" i="2" s="1"/>
  <c r="I221" i="2"/>
  <c r="J221" i="2"/>
  <c r="B222" i="2"/>
  <c r="C222" i="2"/>
  <c r="D222" i="2"/>
  <c r="E222" i="2"/>
  <c r="F222" i="2"/>
  <c r="G222" i="2"/>
  <c r="A222" i="2" s="1"/>
  <c r="A223" i="2"/>
  <c r="B223" i="2"/>
  <c r="C223" i="2"/>
  <c r="D223" i="2"/>
  <c r="E223" i="2"/>
  <c r="F223" i="2"/>
  <c r="G223" i="2"/>
  <c r="A224" i="2"/>
  <c r="B224" i="2"/>
  <c r="C224" i="2"/>
  <c r="D224" i="2"/>
  <c r="E224" i="2"/>
  <c r="F224" i="2"/>
  <c r="G224" i="2"/>
  <c r="B225" i="2"/>
  <c r="C225" i="2"/>
  <c r="D225" i="2"/>
  <c r="E225" i="2"/>
  <c r="F225" i="2"/>
  <c r="G225" i="2"/>
  <c r="A225" i="2" s="1"/>
  <c r="A226" i="2"/>
  <c r="F226" i="2" s="1"/>
  <c r="B226" i="2"/>
  <c r="C226" i="2"/>
  <c r="D226" i="2"/>
  <c r="E226" i="2"/>
  <c r="H226" i="2"/>
  <c r="J226" i="2"/>
  <c r="B227" i="2"/>
  <c r="C227" i="2"/>
  <c r="D227" i="2"/>
  <c r="E227" i="2"/>
  <c r="F227" i="2"/>
  <c r="G227" i="2"/>
  <c r="A227" i="2" s="1"/>
  <c r="I227" i="2"/>
  <c r="J227" i="2"/>
  <c r="B228" i="2"/>
  <c r="C228" i="2"/>
  <c r="D228" i="2"/>
  <c r="E228" i="2"/>
  <c r="F228" i="2"/>
  <c r="G228" i="2"/>
  <c r="A228" i="2" s="1"/>
  <c r="I228" i="2"/>
  <c r="J228" i="2"/>
  <c r="B229" i="2"/>
  <c r="C229" i="2"/>
  <c r="D229" i="2"/>
  <c r="E229" i="2"/>
  <c r="F229" i="2"/>
  <c r="G229" i="2"/>
  <c r="A229" i="2" s="1"/>
  <c r="I229" i="2"/>
  <c r="J229" i="2"/>
  <c r="A230" i="2"/>
  <c r="B230" i="2"/>
  <c r="C230" i="2"/>
  <c r="D230" i="2"/>
  <c r="E230" i="2"/>
  <c r="F230" i="2"/>
  <c r="G230" i="2"/>
  <c r="I230" i="2"/>
  <c r="J230" i="2"/>
  <c r="A231" i="2"/>
  <c r="B231" i="2"/>
  <c r="C231" i="2"/>
  <c r="D231" i="2"/>
  <c r="E231" i="2"/>
  <c r="F231" i="2"/>
  <c r="G231" i="2"/>
  <c r="I231" i="2"/>
  <c r="J231" i="2"/>
  <c r="B232" i="2"/>
  <c r="C232" i="2"/>
  <c r="D232" i="2"/>
  <c r="E232" i="2"/>
  <c r="F232" i="2"/>
  <c r="G232" i="2"/>
  <c r="A232" i="2" s="1"/>
  <c r="I232" i="2"/>
  <c r="J232" i="2"/>
  <c r="B233" i="2"/>
  <c r="C233" i="2"/>
  <c r="D233" i="2"/>
  <c r="E233" i="2"/>
  <c r="F233" i="2"/>
  <c r="G233" i="2"/>
  <c r="A233" i="2" s="1"/>
  <c r="I233" i="2"/>
  <c r="J233" i="2"/>
  <c r="A234" i="2"/>
  <c r="B234" i="2"/>
  <c r="C234" i="2"/>
  <c r="D234" i="2"/>
  <c r="E234" i="2"/>
  <c r="F234" i="2"/>
  <c r="G234" i="2"/>
  <c r="I234" i="2"/>
  <c r="J234" i="2"/>
  <c r="A235" i="2"/>
  <c r="B235" i="2"/>
  <c r="C235" i="2"/>
  <c r="D235" i="2"/>
  <c r="E235" i="2"/>
  <c r="F235" i="2"/>
  <c r="G235" i="2"/>
  <c r="I235" i="2"/>
  <c r="J235" i="2"/>
  <c r="B236" i="2"/>
  <c r="C236" i="2"/>
  <c r="D236" i="2"/>
  <c r="E236" i="2"/>
  <c r="F236" i="2"/>
  <c r="G236" i="2"/>
  <c r="A236" i="2" s="1"/>
  <c r="I236" i="2"/>
  <c r="J236" i="2"/>
  <c r="A237" i="2"/>
  <c r="B237" i="2"/>
  <c r="C237" i="2"/>
  <c r="D237" i="2"/>
  <c r="E237" i="2"/>
  <c r="F237" i="2"/>
  <c r="G237" i="2"/>
  <c r="I237" i="2"/>
  <c r="J237" i="2"/>
  <c r="A238" i="2"/>
  <c r="B238" i="2"/>
  <c r="C238" i="2"/>
  <c r="D238" i="2"/>
  <c r="E238" i="2"/>
  <c r="F238" i="2"/>
  <c r="G238" i="2"/>
  <c r="A239" i="2"/>
  <c r="B239" i="2"/>
  <c r="C239" i="2"/>
  <c r="D239" i="2"/>
  <c r="E239" i="2"/>
  <c r="F239" i="2"/>
  <c r="G239" i="2"/>
  <c r="A240" i="2"/>
  <c r="B240" i="2"/>
  <c r="C240" i="2"/>
  <c r="D240" i="2"/>
  <c r="E240" i="2"/>
  <c r="F240" i="2"/>
  <c r="G240" i="2"/>
  <c r="B241" i="2"/>
  <c r="C241" i="2"/>
  <c r="D241" i="2"/>
  <c r="E241" i="2"/>
  <c r="F241" i="2"/>
  <c r="G241" i="2"/>
  <c r="A241" i="2" s="1"/>
  <c r="B242" i="2"/>
  <c r="C242" i="2"/>
  <c r="D242" i="2"/>
  <c r="E242" i="2"/>
  <c r="F242" i="2"/>
  <c r="H242" i="2"/>
  <c r="A242" i="2" s="1"/>
  <c r="J242" i="2"/>
  <c r="B243" i="2"/>
  <c r="C243" i="2"/>
  <c r="D243" i="2"/>
  <c r="E243" i="2"/>
  <c r="F243" i="2"/>
  <c r="G243" i="2"/>
  <c r="A243" i="2" s="1"/>
  <c r="I243" i="2"/>
  <c r="J243" i="2"/>
  <c r="A244" i="2"/>
  <c r="B244" i="2"/>
  <c r="C244" i="2"/>
  <c r="D244" i="2"/>
  <c r="E244" i="2"/>
  <c r="F244" i="2"/>
  <c r="G244" i="2"/>
  <c r="I244" i="2"/>
  <c r="J244" i="2"/>
  <c r="A245" i="2"/>
  <c r="B245" i="2"/>
  <c r="C245" i="2"/>
  <c r="D245" i="2"/>
  <c r="E245" i="2"/>
  <c r="F245" i="2"/>
  <c r="G245" i="2"/>
  <c r="I245" i="2"/>
  <c r="J245" i="2"/>
  <c r="B246" i="2"/>
  <c r="C246" i="2"/>
  <c r="D246" i="2"/>
  <c r="E246" i="2"/>
  <c r="F246" i="2"/>
  <c r="G246" i="2"/>
  <c r="A246" i="2" s="1"/>
  <c r="I246" i="2"/>
  <c r="J246" i="2"/>
  <c r="A247" i="2"/>
  <c r="B247" i="2"/>
  <c r="C247" i="2"/>
  <c r="D247" i="2"/>
  <c r="E247" i="2"/>
  <c r="F247" i="2"/>
  <c r="G247" i="2"/>
  <c r="I247" i="2"/>
  <c r="J247" i="2"/>
  <c r="A248" i="2"/>
  <c r="B248" i="2"/>
  <c r="C248" i="2"/>
  <c r="D248" i="2"/>
  <c r="E248" i="2"/>
  <c r="F248" i="2"/>
  <c r="G248" i="2"/>
  <c r="I248" i="2"/>
  <c r="J248" i="2"/>
  <c r="B249" i="2"/>
  <c r="C249" i="2"/>
  <c r="D249" i="2"/>
  <c r="E249" i="2"/>
  <c r="F249" i="2"/>
  <c r="G249" i="2"/>
  <c r="A249" i="2" s="1"/>
  <c r="I249" i="2"/>
  <c r="J249" i="2"/>
  <c r="B250" i="2"/>
  <c r="C250" i="2"/>
  <c r="D250" i="2"/>
  <c r="E250" i="2"/>
  <c r="F250" i="2"/>
  <c r="G250" i="2"/>
  <c r="A250" i="2" s="1"/>
  <c r="I250" i="2"/>
  <c r="J250" i="2"/>
  <c r="A251" i="2"/>
  <c r="B251" i="2"/>
  <c r="C251" i="2"/>
  <c r="D251" i="2"/>
  <c r="E251" i="2"/>
  <c r="F251" i="2"/>
  <c r="G251" i="2"/>
  <c r="I251" i="2"/>
  <c r="J251" i="2"/>
  <c r="A252" i="2"/>
  <c r="B252" i="2"/>
  <c r="C252" i="2"/>
  <c r="D252" i="2"/>
  <c r="E252" i="2"/>
  <c r="F252" i="2"/>
  <c r="G252" i="2"/>
  <c r="I252" i="2"/>
  <c r="J252" i="2"/>
  <c r="B253" i="2"/>
  <c r="C253" i="2"/>
  <c r="D253" i="2"/>
  <c r="E253" i="2"/>
  <c r="F253" i="2"/>
  <c r="G253" i="2"/>
  <c r="A253" i="2" s="1"/>
  <c r="I253" i="2"/>
  <c r="J253" i="2"/>
  <c r="B254" i="2"/>
  <c r="C254" i="2"/>
  <c r="D254" i="2"/>
  <c r="E254" i="2"/>
  <c r="F254" i="2"/>
  <c r="G254" i="2"/>
  <c r="A254" i="2" s="1"/>
  <c r="A255" i="2"/>
  <c r="B255" i="2"/>
  <c r="C255" i="2"/>
  <c r="D255" i="2"/>
  <c r="E255" i="2"/>
  <c r="F255" i="2"/>
  <c r="G255" i="2"/>
  <c r="B256" i="2"/>
  <c r="C256" i="2"/>
  <c r="D256" i="2"/>
  <c r="E256" i="2"/>
  <c r="F256" i="2"/>
  <c r="G256" i="2"/>
  <c r="A256" i="2" s="1"/>
  <c r="A257" i="2"/>
  <c r="B257" i="2"/>
  <c r="C257" i="2"/>
  <c r="D257" i="2"/>
  <c r="E257" i="2"/>
  <c r="F257" i="2"/>
  <c r="G257" i="2"/>
  <c r="B258" i="2"/>
  <c r="C258" i="2"/>
  <c r="D258" i="2"/>
  <c r="E258" i="2"/>
  <c r="H258" i="2"/>
  <c r="A258" i="2" s="1"/>
  <c r="F258" i="2" s="1"/>
  <c r="J258" i="2"/>
  <c r="A259" i="2"/>
  <c r="B259" i="2"/>
  <c r="C259" i="2"/>
  <c r="D259" i="2"/>
  <c r="E259" i="2"/>
  <c r="F259" i="2"/>
  <c r="G259" i="2"/>
  <c r="I259" i="2"/>
  <c r="J259" i="2"/>
  <c r="A260" i="2"/>
  <c r="B260" i="2"/>
  <c r="C260" i="2"/>
  <c r="D260" i="2"/>
  <c r="E260" i="2"/>
  <c r="F260" i="2"/>
  <c r="G260" i="2"/>
  <c r="I260" i="2"/>
  <c r="J260" i="2"/>
  <c r="B261" i="2"/>
  <c r="C261" i="2"/>
  <c r="D261" i="2"/>
  <c r="E261" i="2"/>
  <c r="F261" i="2"/>
  <c r="G261" i="2"/>
  <c r="A261" i="2" s="1"/>
  <c r="I261" i="2"/>
  <c r="J261" i="2"/>
  <c r="B262" i="2"/>
  <c r="C262" i="2"/>
  <c r="D262" i="2"/>
  <c r="E262" i="2"/>
  <c r="F262" i="2"/>
  <c r="G262" i="2"/>
  <c r="A262" i="2" s="1"/>
  <c r="I262" i="2"/>
  <c r="J262" i="2"/>
  <c r="B263" i="2"/>
  <c r="C263" i="2"/>
  <c r="D263" i="2"/>
  <c r="E263" i="2"/>
  <c r="F263" i="2"/>
  <c r="G263" i="2"/>
  <c r="A263" i="2" s="1"/>
  <c r="I263" i="2"/>
  <c r="J263" i="2"/>
  <c r="A264" i="2"/>
  <c r="B264" i="2"/>
  <c r="C264" i="2"/>
  <c r="D264" i="2"/>
  <c r="E264" i="2"/>
  <c r="F264" i="2"/>
  <c r="G264" i="2"/>
  <c r="I264" i="2"/>
  <c r="J264" i="2"/>
  <c r="A265" i="2"/>
  <c r="B265" i="2"/>
  <c r="C265" i="2"/>
  <c r="D265" i="2"/>
  <c r="E265" i="2"/>
  <c r="F265" i="2"/>
  <c r="G265" i="2"/>
  <c r="I265" i="2"/>
  <c r="J265" i="2"/>
  <c r="B266" i="2"/>
  <c r="C266" i="2"/>
  <c r="D266" i="2"/>
  <c r="E266" i="2"/>
  <c r="F266" i="2"/>
  <c r="G266" i="2"/>
  <c r="A266" i="2" s="1"/>
  <c r="I266" i="2"/>
  <c r="J266" i="2"/>
  <c r="A267" i="2"/>
  <c r="B267" i="2"/>
  <c r="C267" i="2"/>
  <c r="D267" i="2"/>
  <c r="E267" i="2"/>
  <c r="F267" i="2"/>
  <c r="G267" i="2"/>
  <c r="I267" i="2"/>
  <c r="J267" i="2"/>
  <c r="A268" i="2"/>
  <c r="B268" i="2"/>
  <c r="C268" i="2"/>
  <c r="D268" i="2"/>
  <c r="E268" i="2"/>
  <c r="F268" i="2"/>
  <c r="G268" i="2"/>
  <c r="I268" i="2"/>
  <c r="J268" i="2"/>
  <c r="B269" i="2"/>
  <c r="C269" i="2"/>
  <c r="D269" i="2"/>
  <c r="E269" i="2"/>
  <c r="F269" i="2"/>
  <c r="G269" i="2"/>
  <c r="A269" i="2" s="1"/>
  <c r="I269" i="2"/>
  <c r="J269" i="2"/>
  <c r="B270" i="2"/>
  <c r="C270" i="2"/>
  <c r="D270" i="2"/>
  <c r="E270" i="2"/>
  <c r="F270" i="2"/>
  <c r="G270" i="2"/>
  <c r="A270" i="2" s="1"/>
  <c r="B271" i="2"/>
  <c r="C271" i="2"/>
  <c r="D271" i="2"/>
  <c r="E271" i="2"/>
  <c r="F271" i="2"/>
  <c r="G271" i="2"/>
  <c r="A271" i="2" s="1"/>
  <c r="A272" i="2"/>
  <c r="B272" i="2"/>
  <c r="C272" i="2"/>
  <c r="D272" i="2"/>
  <c r="E272" i="2"/>
  <c r="F272" i="2"/>
  <c r="G272" i="2"/>
  <c r="A273" i="2"/>
  <c r="B273" i="2"/>
  <c r="C273" i="2"/>
  <c r="D273" i="2"/>
  <c r="E273" i="2"/>
  <c r="F273" i="2"/>
  <c r="G273" i="2"/>
  <c r="A274" i="2"/>
  <c r="B274" i="2"/>
  <c r="C274" i="2"/>
  <c r="D274" i="2"/>
  <c r="E274" i="2"/>
  <c r="F274" i="2"/>
  <c r="H274" i="2"/>
  <c r="J274" i="2"/>
  <c r="A275" i="2"/>
  <c r="B275" i="2"/>
  <c r="C275" i="2"/>
  <c r="D275" i="2"/>
  <c r="E275" i="2"/>
  <c r="F275" i="2"/>
  <c r="G275" i="2"/>
  <c r="I275" i="2"/>
  <c r="J275" i="2"/>
  <c r="B276" i="2"/>
  <c r="C276" i="2"/>
  <c r="D276" i="2"/>
  <c r="E276" i="2"/>
  <c r="F276" i="2"/>
  <c r="G276" i="2"/>
  <c r="A276" i="2" s="1"/>
  <c r="I276" i="2"/>
  <c r="J276" i="2"/>
  <c r="A277" i="2"/>
  <c r="B277" i="2"/>
  <c r="C277" i="2"/>
  <c r="D277" i="2"/>
  <c r="E277" i="2"/>
  <c r="F277" i="2"/>
  <c r="G277" i="2"/>
  <c r="I277" i="2"/>
  <c r="J277" i="2"/>
  <c r="A278" i="2"/>
  <c r="B278" i="2"/>
  <c r="C278" i="2"/>
  <c r="D278" i="2"/>
  <c r="E278" i="2"/>
  <c r="F278" i="2"/>
  <c r="G278" i="2"/>
  <c r="I278" i="2"/>
  <c r="J278" i="2"/>
  <c r="B279" i="2"/>
  <c r="C279" i="2"/>
  <c r="D279" i="2"/>
  <c r="E279" i="2"/>
  <c r="F279" i="2"/>
  <c r="G279" i="2"/>
  <c r="A279" i="2" s="1"/>
  <c r="I279" i="2"/>
  <c r="J279" i="2"/>
  <c r="B280" i="2"/>
  <c r="C280" i="2"/>
  <c r="D280" i="2"/>
  <c r="E280" i="2"/>
  <c r="F280" i="2"/>
  <c r="G280" i="2"/>
  <c r="A280" i="2" s="1"/>
  <c r="I280" i="2"/>
  <c r="J280" i="2"/>
  <c r="B281" i="2"/>
  <c r="C281" i="2"/>
  <c r="D281" i="2"/>
  <c r="E281" i="2"/>
  <c r="F281" i="2"/>
  <c r="G281" i="2"/>
  <c r="A281" i="2" s="1"/>
  <c r="I281" i="2"/>
  <c r="J281" i="2"/>
  <c r="A282" i="2"/>
  <c r="B282" i="2"/>
  <c r="C282" i="2"/>
  <c r="D282" i="2"/>
  <c r="E282" i="2"/>
  <c r="F282" i="2"/>
  <c r="G282" i="2"/>
  <c r="I282" i="2"/>
  <c r="J282" i="2"/>
  <c r="A283" i="2"/>
  <c r="B283" i="2"/>
  <c r="C283" i="2"/>
  <c r="D283" i="2"/>
  <c r="E283" i="2"/>
  <c r="F283" i="2"/>
  <c r="G283" i="2"/>
  <c r="I283" i="2"/>
  <c r="J283" i="2"/>
  <c r="B284" i="2"/>
  <c r="C284" i="2"/>
  <c r="D284" i="2"/>
  <c r="E284" i="2"/>
  <c r="F284" i="2"/>
  <c r="G284" i="2"/>
  <c r="A284" i="2" s="1"/>
  <c r="I284" i="2"/>
  <c r="J284" i="2"/>
  <c r="B285" i="2"/>
  <c r="C285" i="2"/>
  <c r="D285" i="2"/>
  <c r="E285" i="2"/>
  <c r="F285" i="2"/>
  <c r="G285" i="2"/>
  <c r="A285" i="2" s="1"/>
  <c r="I285" i="2"/>
  <c r="J285" i="2"/>
  <c r="A286" i="2"/>
  <c r="B286" i="2"/>
  <c r="C286" i="2"/>
  <c r="D286" i="2"/>
  <c r="E286" i="2"/>
  <c r="F286" i="2"/>
  <c r="G286" i="2"/>
  <c r="B287" i="2"/>
  <c r="C287" i="2"/>
  <c r="D287" i="2"/>
  <c r="E287" i="2"/>
  <c r="F287" i="2"/>
  <c r="G287" i="2"/>
  <c r="A287" i="2" s="1"/>
  <c r="A288" i="2"/>
  <c r="B288" i="2"/>
  <c r="C288" i="2"/>
  <c r="D288" i="2"/>
  <c r="E288" i="2"/>
  <c r="F288" i="2"/>
  <c r="G288" i="2"/>
  <c r="A289" i="2"/>
  <c r="B289" i="2"/>
  <c r="C289" i="2"/>
  <c r="D289" i="2"/>
  <c r="E289" i="2"/>
  <c r="F289" i="2"/>
  <c r="G289" i="2"/>
  <c r="B290" i="2"/>
  <c r="C290" i="2"/>
  <c r="D290" i="2"/>
  <c r="E290" i="2"/>
  <c r="H290" i="2"/>
  <c r="A290" i="2" s="1"/>
  <c r="F290" i="2" s="1"/>
  <c r="J290" i="2"/>
  <c r="A291" i="2"/>
  <c r="B291" i="2"/>
  <c r="C291" i="2"/>
  <c r="D291" i="2"/>
  <c r="E291" i="2"/>
  <c r="F291" i="2"/>
  <c r="G291" i="2"/>
  <c r="I291" i="2"/>
  <c r="J291" i="2"/>
  <c r="A292" i="2"/>
  <c r="B292" i="2"/>
  <c r="C292" i="2"/>
  <c r="D292" i="2"/>
  <c r="E292" i="2"/>
  <c r="F292" i="2"/>
  <c r="G292" i="2"/>
  <c r="I292" i="2"/>
  <c r="J292" i="2"/>
  <c r="B293" i="2"/>
  <c r="C293" i="2"/>
  <c r="D293" i="2"/>
  <c r="E293" i="2"/>
  <c r="F293" i="2"/>
  <c r="G293" i="2"/>
  <c r="A293" i="2" s="1"/>
  <c r="I293" i="2"/>
  <c r="J293" i="2"/>
  <c r="B294" i="2"/>
  <c r="C294" i="2"/>
  <c r="D294" i="2"/>
  <c r="E294" i="2"/>
  <c r="F294" i="2"/>
  <c r="G294" i="2"/>
  <c r="A294" i="2" s="1"/>
  <c r="I294" i="2"/>
  <c r="J294" i="2"/>
  <c r="B295" i="2"/>
  <c r="C295" i="2"/>
  <c r="D295" i="2"/>
  <c r="E295" i="2"/>
  <c r="F295" i="2"/>
  <c r="G295" i="2"/>
  <c r="A295" i="2" s="1"/>
  <c r="I295" i="2"/>
  <c r="J295" i="2"/>
  <c r="A296" i="2"/>
  <c r="B296" i="2"/>
  <c r="C296" i="2"/>
  <c r="D296" i="2"/>
  <c r="E296" i="2"/>
  <c r="F296" i="2"/>
  <c r="G296" i="2"/>
  <c r="I296" i="2"/>
  <c r="J296" i="2"/>
  <c r="A297" i="2"/>
  <c r="B297" i="2"/>
  <c r="C297" i="2"/>
  <c r="D297" i="2"/>
  <c r="E297" i="2"/>
  <c r="F297" i="2"/>
  <c r="G297" i="2"/>
  <c r="I297" i="2"/>
  <c r="J297" i="2"/>
  <c r="B298" i="2"/>
  <c r="C298" i="2"/>
  <c r="D298" i="2"/>
  <c r="E298" i="2"/>
  <c r="F298" i="2"/>
  <c r="G298" i="2"/>
  <c r="A298" i="2" s="1"/>
  <c r="I298" i="2"/>
  <c r="J298" i="2"/>
  <c r="A299" i="2"/>
  <c r="B299" i="2"/>
  <c r="C299" i="2"/>
  <c r="D299" i="2"/>
  <c r="E299" i="2"/>
  <c r="F299" i="2"/>
  <c r="G299" i="2"/>
  <c r="I299" i="2"/>
  <c r="J299" i="2"/>
  <c r="A300" i="2"/>
  <c r="B300" i="2"/>
  <c r="C300" i="2"/>
  <c r="D300" i="2"/>
  <c r="E300" i="2"/>
  <c r="F300" i="2"/>
  <c r="G300" i="2"/>
  <c r="I300" i="2"/>
  <c r="J300" i="2"/>
  <c r="B301" i="2"/>
  <c r="C301" i="2"/>
  <c r="D301" i="2"/>
  <c r="E301" i="2"/>
  <c r="F301" i="2"/>
  <c r="G301" i="2"/>
  <c r="A301" i="2" s="1"/>
  <c r="I301" i="2"/>
  <c r="J301" i="2"/>
  <c r="B302" i="2"/>
  <c r="C302" i="2"/>
  <c r="D302" i="2"/>
  <c r="E302" i="2"/>
  <c r="F302" i="2"/>
  <c r="G302" i="2"/>
  <c r="A302" i="2" s="1"/>
  <c r="B303" i="2"/>
  <c r="C303" i="2"/>
  <c r="D303" i="2"/>
  <c r="E303" i="2"/>
  <c r="F303" i="2"/>
  <c r="G303" i="2"/>
  <c r="A303" i="2" s="1"/>
  <c r="B304" i="2"/>
  <c r="C304" i="2"/>
  <c r="D304" i="2"/>
  <c r="E304" i="2"/>
  <c r="F304" i="2"/>
  <c r="G304" i="2"/>
  <c r="A304" i="2" s="1"/>
  <c r="A305" i="2"/>
  <c r="B305" i="2"/>
  <c r="C305" i="2"/>
  <c r="D305" i="2"/>
  <c r="E305" i="2"/>
  <c r="F305" i="2"/>
  <c r="G305" i="2"/>
  <c r="B306" i="2"/>
  <c r="C306" i="2"/>
  <c r="D306" i="2"/>
  <c r="E306" i="2"/>
  <c r="H306" i="2"/>
  <c r="A306" i="2" s="1"/>
  <c r="F306" i="2" s="1"/>
  <c r="J306" i="2"/>
  <c r="B307" i="2"/>
  <c r="C307" i="2"/>
  <c r="D307" i="2"/>
  <c r="E307" i="2"/>
  <c r="F307" i="2"/>
  <c r="G307" i="2"/>
  <c r="A307" i="2" s="1"/>
  <c r="I307" i="2"/>
  <c r="J307" i="2"/>
  <c r="A308" i="2"/>
  <c r="B308" i="2"/>
  <c r="C308" i="2"/>
  <c r="D308" i="2"/>
  <c r="E308" i="2"/>
  <c r="F308" i="2"/>
  <c r="G308" i="2"/>
  <c r="I308" i="2"/>
  <c r="J308" i="2"/>
  <c r="A309" i="2"/>
  <c r="B309" i="2"/>
  <c r="C309" i="2"/>
  <c r="D309" i="2"/>
  <c r="E309" i="2"/>
  <c r="F309" i="2"/>
  <c r="G309" i="2"/>
  <c r="I309" i="2"/>
  <c r="J309" i="2"/>
  <c r="B310" i="2"/>
  <c r="C310" i="2"/>
  <c r="D310" i="2"/>
  <c r="E310" i="2"/>
  <c r="F310" i="2"/>
  <c r="G310" i="2"/>
  <c r="A310" i="2" s="1"/>
  <c r="I310" i="2"/>
  <c r="J310" i="2"/>
  <c r="A311" i="2"/>
  <c r="B311" i="2"/>
  <c r="C311" i="2"/>
  <c r="D311" i="2"/>
  <c r="E311" i="2"/>
  <c r="F311" i="2"/>
  <c r="G311" i="2"/>
  <c r="I311" i="2"/>
  <c r="J311" i="2"/>
  <c r="A312" i="2"/>
  <c r="B312" i="2"/>
  <c r="C312" i="2"/>
  <c r="D312" i="2"/>
  <c r="E312" i="2"/>
  <c r="F312" i="2"/>
  <c r="G312" i="2"/>
  <c r="I312" i="2"/>
  <c r="J312" i="2"/>
  <c r="B313" i="2"/>
  <c r="C313" i="2"/>
  <c r="D313" i="2"/>
  <c r="E313" i="2"/>
  <c r="F313" i="2"/>
  <c r="G313" i="2"/>
  <c r="A313" i="2" s="1"/>
  <c r="I313" i="2"/>
  <c r="J313" i="2"/>
  <c r="B314" i="2"/>
  <c r="C314" i="2"/>
  <c r="D314" i="2"/>
  <c r="E314" i="2"/>
  <c r="F314" i="2"/>
  <c r="G314" i="2"/>
  <c r="A314" i="2" s="1"/>
  <c r="I314" i="2"/>
  <c r="J314" i="2"/>
  <c r="A315" i="2"/>
  <c r="B315" i="2"/>
  <c r="C315" i="2"/>
  <c r="D315" i="2"/>
  <c r="E315" i="2"/>
  <c r="F315" i="2"/>
  <c r="G315" i="2"/>
  <c r="I315" i="2"/>
  <c r="J315" i="2"/>
  <c r="A316" i="2"/>
  <c r="B316" i="2"/>
  <c r="C316" i="2"/>
  <c r="D316" i="2"/>
  <c r="E316" i="2"/>
  <c r="F316" i="2"/>
  <c r="G316" i="2"/>
  <c r="I316" i="2"/>
  <c r="J316" i="2"/>
  <c r="B317" i="2"/>
  <c r="C317" i="2"/>
  <c r="D317" i="2"/>
  <c r="E317" i="2"/>
  <c r="F317" i="2"/>
  <c r="G317" i="2"/>
  <c r="A317" i="2" s="1"/>
  <c r="I317" i="2"/>
  <c r="J317" i="2"/>
  <c r="B318" i="2"/>
  <c r="C318" i="2"/>
  <c r="D318" i="2"/>
  <c r="E318" i="2"/>
  <c r="F318" i="2"/>
  <c r="G318" i="2"/>
  <c r="A318" i="2" s="1"/>
  <c r="B319" i="2"/>
  <c r="C319" i="2"/>
  <c r="D319" i="2"/>
  <c r="E319" i="2"/>
  <c r="F319" i="2"/>
  <c r="G319" i="2"/>
  <c r="A319" i="2" s="1"/>
  <c r="A320" i="2"/>
  <c r="B320" i="2"/>
  <c r="C320" i="2"/>
  <c r="D320" i="2"/>
  <c r="E320" i="2"/>
  <c r="F320" i="2"/>
  <c r="G320" i="2"/>
  <c r="A321" i="2"/>
  <c r="B321" i="2"/>
  <c r="C321" i="2"/>
  <c r="D321" i="2"/>
  <c r="E321" i="2"/>
  <c r="F321" i="2"/>
  <c r="G321" i="2"/>
  <c r="B322" i="2"/>
  <c r="C322" i="2"/>
  <c r="D322" i="2"/>
  <c r="E322" i="2"/>
  <c r="H322" i="2"/>
  <c r="A322" i="2" s="1"/>
  <c r="F322" i="2" s="1"/>
  <c r="J322" i="2"/>
  <c r="B323" i="2"/>
  <c r="C323" i="2"/>
  <c r="D323" i="2"/>
  <c r="E323" i="2"/>
  <c r="F323" i="2"/>
  <c r="G323" i="2"/>
  <c r="A323" i="2" s="1"/>
  <c r="I323" i="2"/>
  <c r="J323" i="2"/>
  <c r="A324" i="2"/>
  <c r="B324" i="2"/>
  <c r="C324" i="2"/>
  <c r="D324" i="2"/>
  <c r="E324" i="2"/>
  <c r="F324" i="2"/>
  <c r="G324" i="2"/>
  <c r="I324" i="2"/>
  <c r="J324" i="2"/>
  <c r="A325" i="2"/>
  <c r="B325" i="2"/>
  <c r="C325" i="2"/>
  <c r="D325" i="2"/>
  <c r="E325" i="2"/>
  <c r="F325" i="2"/>
  <c r="G325" i="2"/>
  <c r="I325" i="2"/>
  <c r="J325" i="2"/>
  <c r="B326" i="2"/>
  <c r="C326" i="2"/>
  <c r="D326" i="2"/>
  <c r="E326" i="2"/>
  <c r="F326" i="2"/>
  <c r="G326" i="2"/>
  <c r="A326" i="2" s="1"/>
  <c r="I326" i="2"/>
  <c r="J326" i="2"/>
  <c r="B327" i="2"/>
  <c r="C327" i="2"/>
  <c r="D327" i="2"/>
  <c r="E327" i="2"/>
  <c r="F327" i="2"/>
  <c r="G327" i="2"/>
  <c r="A327" i="2" s="1"/>
  <c r="I327" i="2"/>
  <c r="J327" i="2"/>
  <c r="A328" i="2"/>
  <c r="B328" i="2"/>
  <c r="C328" i="2"/>
  <c r="D328" i="2"/>
  <c r="E328" i="2"/>
  <c r="F328" i="2"/>
  <c r="G328" i="2"/>
  <c r="I328" i="2"/>
  <c r="J328" i="2"/>
  <c r="A329" i="2"/>
  <c r="B329" i="2"/>
  <c r="C329" i="2"/>
  <c r="D329" i="2"/>
  <c r="E329" i="2"/>
  <c r="F329" i="2"/>
  <c r="G329" i="2"/>
  <c r="I329" i="2"/>
  <c r="J329" i="2"/>
  <c r="B330" i="2"/>
  <c r="C330" i="2"/>
  <c r="D330" i="2"/>
  <c r="E330" i="2"/>
  <c r="F330" i="2"/>
  <c r="G330" i="2"/>
  <c r="A330" i="2" s="1"/>
  <c r="I330" i="2"/>
  <c r="J330" i="2"/>
  <c r="B331" i="2"/>
  <c r="C331" i="2"/>
  <c r="D331" i="2"/>
  <c r="E331" i="2"/>
  <c r="F331" i="2"/>
  <c r="G331" i="2"/>
  <c r="A331" i="2" s="1"/>
  <c r="I331" i="2"/>
  <c r="J331" i="2"/>
  <c r="A332" i="2"/>
  <c r="B332" i="2"/>
  <c r="C332" i="2"/>
  <c r="D332" i="2"/>
  <c r="E332" i="2"/>
  <c r="F332" i="2"/>
  <c r="G332" i="2"/>
  <c r="I332" i="2"/>
  <c r="J332" i="2"/>
  <c r="A333" i="2"/>
  <c r="B333" i="2"/>
  <c r="C333" i="2"/>
  <c r="D333" i="2"/>
  <c r="E333" i="2"/>
  <c r="F333" i="2"/>
  <c r="G333" i="2"/>
  <c r="I333" i="2"/>
  <c r="J333" i="2"/>
  <c r="B334" i="2"/>
  <c r="C334" i="2"/>
  <c r="D334" i="2"/>
  <c r="E334" i="2"/>
  <c r="F334" i="2"/>
  <c r="G334" i="2"/>
  <c r="A334" i="2" s="1"/>
  <c r="A335" i="2"/>
  <c r="B335" i="2"/>
  <c r="C335" i="2"/>
  <c r="D335" i="2"/>
  <c r="E335" i="2"/>
  <c r="F335" i="2"/>
  <c r="G335" i="2"/>
  <c r="A336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A337" i="2" s="1"/>
  <c r="B338" i="2"/>
  <c r="C338" i="2"/>
  <c r="D338" i="2"/>
  <c r="E338" i="2"/>
  <c r="F338" i="2"/>
  <c r="H338" i="2"/>
  <c r="A338" i="2" s="1"/>
  <c r="J338" i="2"/>
  <c r="B339" i="2"/>
  <c r="C339" i="2"/>
  <c r="D339" i="2"/>
  <c r="E339" i="2"/>
  <c r="F339" i="2"/>
  <c r="G339" i="2"/>
  <c r="A339" i="2" s="1"/>
  <c r="I339" i="2"/>
  <c r="J339" i="2"/>
  <c r="A340" i="2"/>
  <c r="B340" i="2"/>
  <c r="C340" i="2"/>
  <c r="D340" i="2"/>
  <c r="E340" i="2"/>
  <c r="F340" i="2"/>
  <c r="G340" i="2"/>
  <c r="I340" i="2"/>
  <c r="J340" i="2"/>
  <c r="A341" i="2"/>
  <c r="B341" i="2"/>
  <c r="C341" i="2"/>
  <c r="D341" i="2"/>
  <c r="E341" i="2"/>
  <c r="F341" i="2"/>
  <c r="G341" i="2"/>
  <c r="I341" i="2"/>
  <c r="J341" i="2"/>
  <c r="B342" i="2"/>
  <c r="C342" i="2"/>
  <c r="D342" i="2"/>
  <c r="E342" i="2"/>
  <c r="F342" i="2"/>
  <c r="G342" i="2"/>
  <c r="A342" i="2" s="1"/>
  <c r="I342" i="2"/>
  <c r="J342" i="2"/>
  <c r="A343" i="2"/>
  <c r="B343" i="2"/>
  <c r="C343" i="2"/>
  <c r="D343" i="2"/>
  <c r="E343" i="2"/>
  <c r="F343" i="2"/>
  <c r="G343" i="2"/>
  <c r="I343" i="2"/>
  <c r="J343" i="2"/>
  <c r="A344" i="2"/>
  <c r="B344" i="2"/>
  <c r="C344" i="2"/>
  <c r="D344" i="2"/>
  <c r="E344" i="2"/>
  <c r="F344" i="2"/>
  <c r="G344" i="2"/>
  <c r="I344" i="2"/>
  <c r="J344" i="2"/>
  <c r="B345" i="2"/>
  <c r="C345" i="2"/>
  <c r="D345" i="2"/>
  <c r="E345" i="2"/>
  <c r="F345" i="2"/>
  <c r="G345" i="2"/>
  <c r="A345" i="2" s="1"/>
  <c r="I345" i="2"/>
  <c r="J345" i="2"/>
  <c r="B346" i="2"/>
  <c r="C346" i="2"/>
  <c r="D346" i="2"/>
  <c r="E346" i="2"/>
  <c r="F346" i="2"/>
  <c r="G346" i="2"/>
  <c r="A346" i="2" s="1"/>
  <c r="I346" i="2"/>
  <c r="J346" i="2"/>
  <c r="A347" i="2"/>
  <c r="B347" i="2"/>
  <c r="C347" i="2"/>
  <c r="D347" i="2"/>
  <c r="E347" i="2"/>
  <c r="F347" i="2"/>
  <c r="G347" i="2"/>
  <c r="I347" i="2"/>
  <c r="J347" i="2"/>
  <c r="A348" i="2"/>
  <c r="B348" i="2"/>
  <c r="C348" i="2"/>
  <c r="D348" i="2"/>
  <c r="E348" i="2"/>
  <c r="F348" i="2"/>
  <c r="G348" i="2"/>
  <c r="I348" i="2"/>
  <c r="J348" i="2"/>
  <c r="B349" i="2"/>
  <c r="C349" i="2"/>
  <c r="D349" i="2"/>
  <c r="E349" i="2"/>
  <c r="F349" i="2"/>
  <c r="G349" i="2"/>
  <c r="A349" i="2" s="1"/>
  <c r="I349" i="2"/>
  <c r="J349" i="2"/>
  <c r="B350" i="2"/>
  <c r="C350" i="2"/>
  <c r="D350" i="2"/>
  <c r="E350" i="2"/>
  <c r="F350" i="2"/>
  <c r="G350" i="2"/>
  <c r="A350" i="2" s="1"/>
  <c r="A351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A352" i="2" s="1"/>
  <c r="B353" i="2"/>
  <c r="C353" i="2"/>
  <c r="D353" i="2"/>
  <c r="E353" i="2"/>
  <c r="F353" i="2"/>
  <c r="G353" i="2"/>
  <c r="A353" i="2" s="1"/>
  <c r="B354" i="2"/>
  <c r="C354" i="2"/>
  <c r="D354" i="2"/>
  <c r="E354" i="2"/>
  <c r="F354" i="2"/>
  <c r="H354" i="2"/>
  <c r="A354" i="2" s="1"/>
  <c r="J354" i="2"/>
  <c r="A355" i="2"/>
  <c r="B355" i="2"/>
  <c r="C355" i="2"/>
  <c r="D355" i="2"/>
  <c r="E355" i="2"/>
  <c r="F355" i="2"/>
  <c r="G355" i="2"/>
  <c r="I355" i="2"/>
  <c r="J355" i="2"/>
  <c r="A356" i="2"/>
  <c r="B356" i="2"/>
  <c r="C356" i="2"/>
  <c r="D356" i="2"/>
  <c r="E356" i="2"/>
  <c r="F356" i="2"/>
  <c r="G356" i="2"/>
  <c r="I356" i="2"/>
  <c r="J356" i="2"/>
  <c r="B357" i="2"/>
  <c r="C357" i="2"/>
  <c r="D357" i="2"/>
  <c r="E357" i="2"/>
  <c r="F357" i="2"/>
  <c r="G357" i="2"/>
  <c r="A357" i="2" s="1"/>
  <c r="I357" i="2"/>
  <c r="J357" i="2"/>
  <c r="B358" i="2"/>
  <c r="C358" i="2"/>
  <c r="D358" i="2"/>
  <c r="E358" i="2"/>
  <c r="F358" i="2"/>
  <c r="G358" i="2"/>
  <c r="A358" i="2" s="1"/>
  <c r="I358" i="2"/>
  <c r="J358" i="2"/>
  <c r="A359" i="2"/>
  <c r="B359" i="2"/>
  <c r="C359" i="2"/>
  <c r="D359" i="2"/>
  <c r="E359" i="2"/>
  <c r="F359" i="2"/>
  <c r="G359" i="2"/>
  <c r="I359" i="2"/>
  <c r="J359" i="2"/>
  <c r="A360" i="2"/>
  <c r="B360" i="2"/>
  <c r="C360" i="2"/>
  <c r="D360" i="2"/>
  <c r="E360" i="2"/>
  <c r="F360" i="2"/>
  <c r="G360" i="2"/>
  <c r="I360" i="2"/>
  <c r="J360" i="2"/>
  <c r="B361" i="2"/>
  <c r="C361" i="2"/>
  <c r="D361" i="2"/>
  <c r="E361" i="2"/>
  <c r="F361" i="2"/>
  <c r="G361" i="2"/>
  <c r="A361" i="2" s="1"/>
  <c r="I361" i="2"/>
  <c r="J361" i="2"/>
  <c r="B362" i="2"/>
  <c r="C362" i="2"/>
  <c r="D362" i="2"/>
  <c r="E362" i="2"/>
  <c r="F362" i="2"/>
  <c r="G362" i="2"/>
  <c r="A362" i="2" s="1"/>
  <c r="I362" i="2"/>
  <c r="J362" i="2"/>
  <c r="B363" i="2"/>
  <c r="C363" i="2"/>
  <c r="D363" i="2"/>
  <c r="E363" i="2"/>
  <c r="F363" i="2"/>
  <c r="G363" i="2"/>
  <c r="A363" i="2" s="1"/>
  <c r="I363" i="2"/>
  <c r="J363" i="2"/>
  <c r="A364" i="2"/>
  <c r="B364" i="2"/>
  <c r="C364" i="2"/>
  <c r="D364" i="2"/>
  <c r="E364" i="2"/>
  <c r="F364" i="2"/>
  <c r="G364" i="2"/>
  <c r="I364" i="2"/>
  <c r="J364" i="2"/>
  <c r="A365" i="2"/>
  <c r="B365" i="2"/>
  <c r="C365" i="2"/>
  <c r="D365" i="2"/>
  <c r="E365" i="2"/>
  <c r="F365" i="2"/>
  <c r="G365" i="2"/>
  <c r="I365" i="2"/>
  <c r="J365" i="2"/>
  <c r="B366" i="2"/>
  <c r="C366" i="2"/>
  <c r="D366" i="2"/>
  <c r="E366" i="2"/>
  <c r="F366" i="2"/>
  <c r="G366" i="2"/>
  <c r="A366" i="2" s="1"/>
  <c r="A367" i="2"/>
  <c r="B367" i="2"/>
  <c r="C367" i="2"/>
  <c r="D367" i="2"/>
  <c r="E367" i="2"/>
  <c r="F367" i="2"/>
  <c r="G367" i="2"/>
  <c r="A368" i="2"/>
  <c r="B368" i="2"/>
  <c r="C368" i="2"/>
  <c r="D368" i="2"/>
  <c r="E368" i="2"/>
  <c r="F368" i="2"/>
  <c r="G368" i="2"/>
  <c r="A369" i="2"/>
  <c r="B369" i="2"/>
  <c r="C369" i="2"/>
  <c r="D369" i="2"/>
  <c r="E369" i="2"/>
  <c r="F369" i="2"/>
  <c r="G369" i="2"/>
  <c r="A370" i="2"/>
  <c r="B370" i="2"/>
  <c r="C370" i="2"/>
  <c r="D370" i="2"/>
  <c r="E370" i="2"/>
  <c r="F370" i="2"/>
  <c r="H370" i="2"/>
  <c r="J370" i="2"/>
  <c r="A371" i="2"/>
  <c r="B371" i="2"/>
  <c r="C371" i="2"/>
  <c r="D371" i="2"/>
  <c r="E371" i="2"/>
  <c r="F371" i="2"/>
  <c r="G371" i="2"/>
  <c r="I371" i="2"/>
  <c r="J371" i="2"/>
  <c r="A372" i="2"/>
  <c r="B372" i="2"/>
  <c r="C372" i="2"/>
  <c r="D372" i="2"/>
  <c r="E372" i="2"/>
  <c r="F372" i="2"/>
  <c r="G372" i="2"/>
  <c r="I372" i="2"/>
  <c r="J372" i="2"/>
  <c r="B373" i="2"/>
  <c r="C373" i="2"/>
  <c r="D373" i="2"/>
  <c r="E373" i="2"/>
  <c r="F373" i="2"/>
  <c r="G373" i="2"/>
  <c r="A373" i="2" s="1"/>
  <c r="I373" i="2"/>
  <c r="J373" i="2"/>
  <c r="B374" i="2"/>
  <c r="C374" i="2"/>
  <c r="D374" i="2"/>
  <c r="E374" i="2"/>
  <c r="F374" i="2"/>
  <c r="G374" i="2"/>
  <c r="A374" i="2" s="1"/>
  <c r="I374" i="2"/>
  <c r="J374" i="2"/>
  <c r="A375" i="2"/>
  <c r="B375" i="2"/>
  <c r="C375" i="2"/>
  <c r="D375" i="2"/>
  <c r="E375" i="2"/>
  <c r="F375" i="2"/>
  <c r="G375" i="2"/>
  <c r="I375" i="2"/>
  <c r="J375" i="2"/>
  <c r="A376" i="2"/>
  <c r="B376" i="2"/>
  <c r="C376" i="2"/>
  <c r="D376" i="2"/>
  <c r="E376" i="2"/>
  <c r="F376" i="2"/>
  <c r="G376" i="2"/>
  <c r="I376" i="2"/>
  <c r="J376" i="2"/>
  <c r="B377" i="2"/>
  <c r="C377" i="2"/>
  <c r="D377" i="2"/>
  <c r="E377" i="2"/>
  <c r="F377" i="2"/>
  <c r="G377" i="2"/>
  <c r="A377" i="2" s="1"/>
  <c r="I377" i="2"/>
  <c r="J377" i="2"/>
  <c r="B378" i="2"/>
  <c r="C378" i="2"/>
  <c r="D378" i="2"/>
  <c r="E378" i="2"/>
  <c r="F378" i="2"/>
  <c r="G378" i="2"/>
  <c r="A378" i="2" s="1"/>
  <c r="I378" i="2"/>
  <c r="J378" i="2"/>
  <c r="A379" i="2"/>
  <c r="B379" i="2"/>
  <c r="C379" i="2"/>
  <c r="D379" i="2"/>
  <c r="E379" i="2"/>
  <c r="F379" i="2"/>
  <c r="G379" i="2"/>
  <c r="I379" i="2"/>
  <c r="J379" i="2"/>
  <c r="A380" i="2"/>
  <c r="B380" i="2"/>
  <c r="C380" i="2"/>
  <c r="D380" i="2"/>
  <c r="E380" i="2"/>
  <c r="F380" i="2"/>
  <c r="G380" i="2"/>
  <c r="I380" i="2"/>
  <c r="J380" i="2"/>
  <c r="B381" i="2"/>
  <c r="C381" i="2"/>
  <c r="D381" i="2"/>
  <c r="E381" i="2"/>
  <c r="F381" i="2"/>
  <c r="G381" i="2"/>
  <c r="A381" i="2" s="1"/>
  <c r="I381" i="2"/>
  <c r="J381" i="2"/>
  <c r="B382" i="2"/>
  <c r="C382" i="2"/>
  <c r="D382" i="2"/>
  <c r="E382" i="2"/>
  <c r="F382" i="2"/>
  <c r="G382" i="2"/>
  <c r="A382" i="2" s="1"/>
  <c r="B383" i="2"/>
  <c r="C383" i="2"/>
  <c r="D383" i="2"/>
  <c r="E383" i="2"/>
  <c r="F383" i="2"/>
  <c r="G383" i="2"/>
  <c r="A383" i="2" s="1"/>
  <c r="A384" i="2"/>
  <c r="B384" i="2"/>
  <c r="C384" i="2"/>
  <c r="D384" i="2"/>
  <c r="E384" i="2"/>
  <c r="F384" i="2"/>
  <c r="G384" i="2"/>
  <c r="A385" i="2"/>
  <c r="B385" i="2"/>
  <c r="C385" i="2"/>
  <c r="D385" i="2"/>
  <c r="E385" i="2"/>
  <c r="F385" i="2"/>
  <c r="G385" i="2"/>
  <c r="B386" i="2"/>
  <c r="C386" i="2"/>
  <c r="D386" i="2"/>
  <c r="E386" i="2"/>
  <c r="F386" i="2"/>
  <c r="H386" i="2"/>
  <c r="A386" i="2" s="1"/>
  <c r="J386" i="2"/>
  <c r="B387" i="2"/>
  <c r="C387" i="2"/>
  <c r="D387" i="2"/>
  <c r="E387" i="2"/>
  <c r="F387" i="2"/>
  <c r="G387" i="2"/>
  <c r="A387" i="2" s="1"/>
  <c r="I387" i="2"/>
  <c r="J387" i="2"/>
  <c r="A388" i="2"/>
  <c r="B388" i="2"/>
  <c r="C388" i="2"/>
  <c r="D388" i="2"/>
  <c r="E388" i="2"/>
  <c r="F388" i="2"/>
  <c r="G388" i="2"/>
  <c r="I388" i="2"/>
  <c r="J388" i="2"/>
  <c r="A389" i="2"/>
  <c r="B389" i="2"/>
  <c r="C389" i="2"/>
  <c r="D389" i="2"/>
  <c r="E389" i="2"/>
  <c r="F389" i="2"/>
  <c r="G389" i="2"/>
  <c r="I389" i="2"/>
  <c r="J389" i="2"/>
  <c r="B390" i="2"/>
  <c r="C390" i="2"/>
  <c r="D390" i="2"/>
  <c r="E390" i="2"/>
  <c r="F390" i="2"/>
  <c r="G390" i="2"/>
  <c r="A390" i="2" s="1"/>
  <c r="I390" i="2"/>
  <c r="J390" i="2"/>
  <c r="B391" i="2"/>
  <c r="C391" i="2"/>
  <c r="D391" i="2"/>
  <c r="E391" i="2"/>
  <c r="F391" i="2"/>
  <c r="G391" i="2"/>
  <c r="A391" i="2" s="1"/>
  <c r="I391" i="2"/>
  <c r="J391" i="2"/>
  <c r="A392" i="2"/>
  <c r="B392" i="2"/>
  <c r="C392" i="2"/>
  <c r="D392" i="2"/>
  <c r="E392" i="2"/>
  <c r="F392" i="2"/>
  <c r="G392" i="2"/>
  <c r="I392" i="2"/>
  <c r="J392" i="2"/>
  <c r="A393" i="2"/>
  <c r="B393" i="2"/>
  <c r="C393" i="2"/>
  <c r="D393" i="2"/>
  <c r="E393" i="2"/>
  <c r="F393" i="2"/>
  <c r="G393" i="2"/>
  <c r="I393" i="2"/>
  <c r="J393" i="2"/>
  <c r="B394" i="2"/>
  <c r="C394" i="2"/>
  <c r="D394" i="2"/>
  <c r="E394" i="2"/>
  <c r="F394" i="2"/>
  <c r="G394" i="2"/>
  <c r="A394" i="2" s="1"/>
  <c r="I394" i="2"/>
  <c r="J394" i="2"/>
  <c r="B395" i="2"/>
  <c r="C395" i="2"/>
  <c r="D395" i="2"/>
  <c r="E395" i="2"/>
  <c r="F395" i="2"/>
  <c r="G395" i="2"/>
  <c r="A395" i="2" s="1"/>
  <c r="I395" i="2"/>
  <c r="J395" i="2"/>
  <c r="A396" i="2"/>
  <c r="B396" i="2"/>
  <c r="C396" i="2"/>
  <c r="D396" i="2"/>
  <c r="E396" i="2"/>
  <c r="F396" i="2"/>
  <c r="G396" i="2"/>
  <c r="I396" i="2"/>
  <c r="J396" i="2"/>
  <c r="A397" i="2"/>
  <c r="B397" i="2"/>
  <c r="C397" i="2"/>
  <c r="D397" i="2"/>
  <c r="E397" i="2"/>
  <c r="F397" i="2"/>
  <c r="G397" i="2"/>
  <c r="I397" i="2"/>
  <c r="J397" i="2"/>
  <c r="B398" i="2"/>
  <c r="C398" i="2"/>
  <c r="D398" i="2"/>
  <c r="E398" i="2"/>
  <c r="F398" i="2"/>
  <c r="G398" i="2"/>
  <c r="A398" i="2" s="1"/>
  <c r="B399" i="2"/>
  <c r="C399" i="2"/>
  <c r="D399" i="2"/>
  <c r="E399" i="2"/>
  <c r="F399" i="2"/>
  <c r="G399" i="2"/>
  <c r="A399" i="2" s="1"/>
  <c r="B400" i="2"/>
  <c r="C400" i="2"/>
  <c r="D400" i="2"/>
  <c r="E400" i="2"/>
  <c r="F400" i="2"/>
  <c r="G400" i="2"/>
  <c r="A400" i="2" s="1"/>
  <c r="A401" i="2"/>
  <c r="B401" i="2"/>
  <c r="C401" i="2"/>
  <c r="D401" i="2"/>
  <c r="E401" i="2"/>
  <c r="F401" i="2"/>
  <c r="G401" i="2"/>
  <c r="B402" i="2"/>
  <c r="C402" i="2"/>
  <c r="D402" i="2"/>
  <c r="E402" i="2"/>
  <c r="F402" i="2"/>
  <c r="H402" i="2"/>
  <c r="A402" i="2" s="1"/>
  <c r="J402" i="2"/>
  <c r="B403" i="2"/>
  <c r="C403" i="2"/>
  <c r="D403" i="2"/>
  <c r="E403" i="2"/>
  <c r="F403" i="2"/>
  <c r="G403" i="2"/>
  <c r="A403" i="2" s="1"/>
  <c r="I403" i="2"/>
  <c r="J403" i="2"/>
  <c r="A404" i="2"/>
  <c r="B404" i="2"/>
  <c r="C404" i="2"/>
  <c r="D404" i="2"/>
  <c r="E404" i="2"/>
  <c r="F404" i="2"/>
  <c r="G404" i="2"/>
  <c r="I404" i="2"/>
  <c r="J404" i="2"/>
  <c r="A405" i="2"/>
  <c r="B405" i="2"/>
  <c r="C405" i="2"/>
  <c r="D405" i="2"/>
  <c r="E405" i="2"/>
  <c r="F405" i="2"/>
  <c r="G405" i="2"/>
  <c r="I405" i="2"/>
  <c r="J405" i="2"/>
  <c r="B406" i="2"/>
  <c r="C406" i="2"/>
  <c r="D406" i="2"/>
  <c r="E406" i="2"/>
  <c r="F406" i="2"/>
  <c r="G406" i="2"/>
  <c r="A406" i="2" s="1"/>
  <c r="I406" i="2"/>
  <c r="J406" i="2"/>
  <c r="B407" i="2"/>
  <c r="C407" i="2"/>
  <c r="D407" i="2"/>
  <c r="E407" i="2"/>
  <c r="F407" i="2"/>
  <c r="G407" i="2"/>
  <c r="A407" i="2" s="1"/>
  <c r="I407" i="2"/>
  <c r="J407" i="2"/>
  <c r="A408" i="2"/>
  <c r="B408" i="2"/>
  <c r="C408" i="2"/>
  <c r="D408" i="2"/>
  <c r="E408" i="2"/>
  <c r="F408" i="2"/>
  <c r="G408" i="2"/>
  <c r="I408" i="2"/>
  <c r="J408" i="2"/>
  <c r="A409" i="2"/>
  <c r="B409" i="2"/>
  <c r="C409" i="2"/>
  <c r="D409" i="2"/>
  <c r="E409" i="2"/>
  <c r="F409" i="2"/>
  <c r="G409" i="2"/>
  <c r="I409" i="2"/>
  <c r="J409" i="2"/>
  <c r="B410" i="2"/>
  <c r="C410" i="2"/>
  <c r="D410" i="2"/>
  <c r="E410" i="2"/>
  <c r="F410" i="2"/>
  <c r="G410" i="2"/>
  <c r="A410" i="2" s="1"/>
  <c r="I410" i="2"/>
  <c r="J410" i="2"/>
  <c r="A411" i="2"/>
  <c r="B411" i="2"/>
  <c r="C411" i="2"/>
  <c r="D411" i="2"/>
  <c r="E411" i="2"/>
  <c r="F411" i="2"/>
  <c r="G411" i="2"/>
  <c r="I411" i="2"/>
  <c r="J411" i="2"/>
  <c r="A412" i="2"/>
  <c r="B412" i="2"/>
  <c r="C412" i="2"/>
  <c r="D412" i="2"/>
  <c r="E412" i="2"/>
  <c r="F412" i="2"/>
  <c r="G412" i="2"/>
  <c r="I412" i="2"/>
  <c r="J412" i="2"/>
  <c r="B413" i="2"/>
  <c r="C413" i="2"/>
  <c r="D413" i="2"/>
  <c r="E413" i="2"/>
  <c r="F413" i="2"/>
  <c r="G413" i="2"/>
  <c r="A413" i="2" s="1"/>
  <c r="I413" i="2"/>
  <c r="J413" i="2"/>
  <c r="B414" i="2"/>
  <c r="C414" i="2"/>
  <c r="D414" i="2"/>
  <c r="E414" i="2"/>
  <c r="F414" i="2"/>
  <c r="G414" i="2"/>
  <c r="A414" i="2" s="1"/>
  <c r="A415" i="2"/>
  <c r="B415" i="2"/>
  <c r="C415" i="2"/>
  <c r="D415" i="2"/>
  <c r="E415" i="2"/>
  <c r="F415" i="2"/>
  <c r="G415" i="2"/>
  <c r="A416" i="2"/>
  <c r="B416" i="2"/>
  <c r="C416" i="2"/>
  <c r="D416" i="2"/>
  <c r="E416" i="2"/>
  <c r="F416" i="2"/>
  <c r="G416" i="2"/>
  <c r="A417" i="2"/>
  <c r="B417" i="2"/>
  <c r="C417" i="2"/>
  <c r="D417" i="2"/>
  <c r="E417" i="2"/>
  <c r="F417" i="2"/>
  <c r="G417" i="2"/>
  <c r="B418" i="2"/>
  <c r="C418" i="2"/>
  <c r="D418" i="2"/>
  <c r="E418" i="2"/>
  <c r="H418" i="2"/>
  <c r="A418" i="2" s="1"/>
  <c r="F418" i="2" s="1"/>
  <c r="J418" i="2"/>
  <c r="B419" i="2"/>
  <c r="C419" i="2"/>
  <c r="D419" i="2"/>
  <c r="E419" i="2"/>
  <c r="F419" i="2"/>
  <c r="G419" i="2"/>
  <c r="A419" i="2" s="1"/>
  <c r="I419" i="2"/>
  <c r="J419" i="2"/>
  <c r="A420" i="2"/>
  <c r="B420" i="2"/>
  <c r="C420" i="2"/>
  <c r="D420" i="2"/>
  <c r="E420" i="2"/>
  <c r="F420" i="2"/>
  <c r="G420" i="2"/>
  <c r="I420" i="2"/>
  <c r="J420" i="2"/>
  <c r="A421" i="2"/>
  <c r="B421" i="2"/>
  <c r="C421" i="2"/>
  <c r="D421" i="2"/>
  <c r="E421" i="2"/>
  <c r="F421" i="2"/>
  <c r="G421" i="2"/>
  <c r="I421" i="2"/>
  <c r="J421" i="2"/>
  <c r="B422" i="2"/>
  <c r="C422" i="2"/>
  <c r="D422" i="2"/>
  <c r="E422" i="2"/>
  <c r="F422" i="2"/>
  <c r="G422" i="2"/>
  <c r="A422" i="2" s="1"/>
  <c r="I422" i="2"/>
  <c r="J422" i="2"/>
  <c r="B423" i="2"/>
  <c r="C423" i="2"/>
  <c r="D423" i="2"/>
  <c r="E423" i="2"/>
  <c r="F423" i="2"/>
  <c r="G423" i="2"/>
  <c r="A423" i="2" s="1"/>
  <c r="I423" i="2"/>
  <c r="J423" i="2"/>
  <c r="A424" i="2"/>
  <c r="B424" i="2"/>
  <c r="C424" i="2"/>
  <c r="D424" i="2"/>
  <c r="E424" i="2"/>
  <c r="F424" i="2"/>
  <c r="G424" i="2"/>
  <c r="I424" i="2"/>
  <c r="J424" i="2"/>
  <c r="A425" i="2"/>
  <c r="B425" i="2"/>
  <c r="C425" i="2"/>
  <c r="D425" i="2"/>
  <c r="E425" i="2"/>
  <c r="F425" i="2"/>
  <c r="G425" i="2"/>
  <c r="I425" i="2"/>
  <c r="J425" i="2"/>
  <c r="B426" i="2"/>
  <c r="C426" i="2"/>
  <c r="D426" i="2"/>
  <c r="E426" i="2"/>
  <c r="F426" i="2"/>
  <c r="G426" i="2"/>
  <c r="A426" i="2" s="1"/>
  <c r="I426" i="2"/>
  <c r="J426" i="2"/>
  <c r="B427" i="2"/>
  <c r="C427" i="2"/>
  <c r="D427" i="2"/>
  <c r="E427" i="2"/>
  <c r="F427" i="2"/>
  <c r="G427" i="2"/>
  <c r="A427" i="2" s="1"/>
  <c r="I427" i="2"/>
  <c r="J427" i="2"/>
  <c r="A428" i="2"/>
  <c r="B428" i="2"/>
  <c r="C428" i="2"/>
  <c r="D428" i="2"/>
  <c r="E428" i="2"/>
  <c r="F428" i="2"/>
  <c r="G428" i="2"/>
  <c r="I428" i="2"/>
  <c r="J428" i="2"/>
  <c r="A429" i="2"/>
  <c r="B429" i="2"/>
  <c r="C429" i="2"/>
  <c r="D429" i="2"/>
  <c r="E429" i="2"/>
  <c r="F429" i="2"/>
  <c r="G429" i="2"/>
  <c r="I429" i="2"/>
  <c r="J429" i="2"/>
  <c r="B430" i="2"/>
  <c r="C430" i="2"/>
  <c r="D430" i="2"/>
  <c r="E430" i="2"/>
  <c r="F430" i="2"/>
  <c r="G430" i="2"/>
  <c r="A430" i="2" s="1"/>
  <c r="A431" i="2"/>
  <c r="B431" i="2"/>
  <c r="C431" i="2"/>
  <c r="D431" i="2"/>
  <c r="E431" i="2"/>
  <c r="F431" i="2"/>
  <c r="G431" i="2"/>
  <c r="A432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A433" i="2" s="1"/>
  <c r="B434" i="2"/>
  <c r="C434" i="2"/>
  <c r="D434" i="2"/>
  <c r="E434" i="2"/>
  <c r="H434" i="2"/>
  <c r="A434" i="2" s="1"/>
  <c r="F434" i="2" s="1"/>
  <c r="J434" i="2"/>
  <c r="B435" i="2"/>
  <c r="C435" i="2"/>
  <c r="D435" i="2"/>
  <c r="E435" i="2"/>
  <c r="F435" i="2"/>
  <c r="G435" i="2"/>
  <c r="A435" i="2" s="1"/>
  <c r="I435" i="2"/>
  <c r="J435" i="2"/>
  <c r="A436" i="2"/>
  <c r="B436" i="2"/>
  <c r="C436" i="2"/>
  <c r="D436" i="2"/>
  <c r="E436" i="2"/>
  <c r="F436" i="2"/>
  <c r="G436" i="2"/>
  <c r="I436" i="2"/>
  <c r="J436" i="2"/>
  <c r="A437" i="2"/>
  <c r="B437" i="2"/>
  <c r="C437" i="2"/>
  <c r="D437" i="2"/>
  <c r="E437" i="2"/>
  <c r="F437" i="2"/>
  <c r="G437" i="2"/>
  <c r="I437" i="2"/>
  <c r="J437" i="2"/>
  <c r="B438" i="2"/>
  <c r="C438" i="2"/>
  <c r="D438" i="2"/>
  <c r="E438" i="2"/>
  <c r="F438" i="2"/>
  <c r="G438" i="2"/>
  <c r="A438" i="2" s="1"/>
  <c r="I438" i="2"/>
  <c r="J438" i="2"/>
  <c r="A439" i="2"/>
  <c r="B439" i="2"/>
  <c r="C439" i="2"/>
  <c r="D439" i="2"/>
  <c r="E439" i="2"/>
  <c r="F439" i="2"/>
  <c r="G439" i="2"/>
  <c r="I439" i="2"/>
  <c r="J439" i="2"/>
  <c r="A440" i="2"/>
  <c r="B440" i="2"/>
  <c r="C440" i="2"/>
  <c r="D440" i="2"/>
  <c r="E440" i="2"/>
  <c r="F440" i="2"/>
  <c r="G440" i="2"/>
  <c r="I440" i="2"/>
  <c r="J440" i="2"/>
  <c r="B441" i="2"/>
  <c r="C441" i="2"/>
  <c r="D441" i="2"/>
  <c r="E441" i="2"/>
  <c r="F441" i="2"/>
  <c r="G441" i="2"/>
  <c r="A441" i="2" s="1"/>
  <c r="I441" i="2"/>
  <c r="J441" i="2"/>
  <c r="B442" i="2"/>
  <c r="C442" i="2"/>
  <c r="D442" i="2"/>
  <c r="E442" i="2"/>
  <c r="F442" i="2"/>
  <c r="G442" i="2"/>
  <c r="A442" i="2" s="1"/>
  <c r="I442" i="2"/>
  <c r="J442" i="2"/>
  <c r="B443" i="2"/>
  <c r="C443" i="2"/>
  <c r="D443" i="2"/>
  <c r="E443" i="2"/>
  <c r="F443" i="2"/>
  <c r="G443" i="2"/>
  <c r="A443" i="2" s="1"/>
  <c r="I443" i="2"/>
  <c r="J443" i="2"/>
  <c r="A444" i="2"/>
  <c r="B444" i="2"/>
  <c r="C444" i="2"/>
  <c r="D444" i="2"/>
  <c r="E444" i="2"/>
  <c r="F444" i="2"/>
  <c r="G444" i="2"/>
  <c r="I444" i="2"/>
  <c r="J444" i="2"/>
  <c r="A445" i="2"/>
  <c r="B445" i="2"/>
  <c r="C445" i="2"/>
  <c r="D445" i="2"/>
  <c r="E445" i="2"/>
  <c r="F445" i="2"/>
  <c r="G445" i="2"/>
  <c r="I445" i="2"/>
  <c r="J445" i="2"/>
  <c r="B446" i="2"/>
  <c r="C446" i="2"/>
  <c r="D446" i="2"/>
  <c r="E446" i="2"/>
  <c r="F446" i="2"/>
  <c r="G446" i="2"/>
  <c r="A446" i="2" s="1"/>
  <c r="A447" i="2"/>
  <c r="B447" i="2"/>
  <c r="C447" i="2"/>
  <c r="D447" i="2"/>
  <c r="E447" i="2"/>
  <c r="F447" i="2"/>
  <c r="G447" i="2"/>
  <c r="A448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A449" i="2" s="1"/>
  <c r="B450" i="2"/>
  <c r="C450" i="2"/>
  <c r="D450" i="2"/>
  <c r="E450" i="2"/>
  <c r="H450" i="2"/>
  <c r="A450" i="2" s="1"/>
  <c r="F450" i="2" s="1"/>
  <c r="J450" i="2"/>
  <c r="A451" i="2"/>
  <c r="B451" i="2"/>
  <c r="C451" i="2"/>
  <c r="D451" i="2"/>
  <c r="E451" i="2"/>
  <c r="F451" i="2"/>
  <c r="G451" i="2"/>
  <c r="I451" i="2"/>
  <c r="J451" i="2"/>
  <c r="A452" i="2"/>
  <c r="B452" i="2"/>
  <c r="C452" i="2"/>
  <c r="D452" i="2"/>
  <c r="E452" i="2"/>
  <c r="F452" i="2"/>
  <c r="G452" i="2"/>
  <c r="I452" i="2"/>
  <c r="J452" i="2"/>
  <c r="B453" i="2"/>
  <c r="C453" i="2"/>
  <c r="D453" i="2"/>
  <c r="E453" i="2"/>
  <c r="F453" i="2"/>
  <c r="G453" i="2"/>
  <c r="A453" i="2" s="1"/>
  <c r="I453" i="2"/>
  <c r="J453" i="2"/>
  <c r="B454" i="2"/>
  <c r="C454" i="2"/>
  <c r="D454" i="2"/>
  <c r="E454" i="2"/>
  <c r="F454" i="2"/>
  <c r="G454" i="2"/>
  <c r="A454" i="2" s="1"/>
  <c r="I454" i="2"/>
  <c r="J454" i="2"/>
  <c r="B455" i="2"/>
  <c r="C455" i="2"/>
  <c r="D455" i="2"/>
  <c r="E455" i="2"/>
  <c r="F455" i="2"/>
  <c r="G455" i="2"/>
  <c r="A455" i="2" s="1"/>
  <c r="I455" i="2"/>
  <c r="J455" i="2"/>
  <c r="A456" i="2"/>
  <c r="B456" i="2"/>
  <c r="C456" i="2"/>
  <c r="D456" i="2"/>
  <c r="E456" i="2"/>
  <c r="F456" i="2"/>
  <c r="G456" i="2"/>
  <c r="I456" i="2"/>
  <c r="J456" i="2"/>
  <c r="A457" i="2"/>
  <c r="B457" i="2"/>
  <c r="C457" i="2"/>
  <c r="D457" i="2"/>
  <c r="E457" i="2"/>
  <c r="F457" i="2"/>
  <c r="G457" i="2"/>
  <c r="I457" i="2"/>
  <c r="J457" i="2"/>
  <c r="B458" i="2"/>
  <c r="C458" i="2"/>
  <c r="D458" i="2"/>
  <c r="E458" i="2"/>
  <c r="F458" i="2"/>
  <c r="G458" i="2"/>
  <c r="A458" i="2" s="1"/>
  <c r="I458" i="2"/>
  <c r="J458" i="2"/>
  <c r="B459" i="2"/>
  <c r="C459" i="2"/>
  <c r="D459" i="2"/>
  <c r="E459" i="2"/>
  <c r="F459" i="2"/>
  <c r="G459" i="2"/>
  <c r="A459" i="2" s="1"/>
  <c r="I459" i="2"/>
  <c r="J459" i="2"/>
  <c r="A460" i="2"/>
  <c r="B460" i="2"/>
  <c r="C460" i="2"/>
  <c r="D460" i="2"/>
  <c r="E460" i="2"/>
  <c r="F460" i="2"/>
  <c r="G460" i="2"/>
  <c r="I460" i="2"/>
  <c r="J460" i="2"/>
  <c r="A461" i="2"/>
  <c r="B461" i="2"/>
  <c r="C461" i="2"/>
  <c r="D461" i="2"/>
  <c r="E461" i="2"/>
  <c r="F461" i="2"/>
  <c r="G461" i="2"/>
  <c r="I461" i="2"/>
  <c r="J461" i="2"/>
  <c r="B462" i="2"/>
  <c r="C462" i="2"/>
  <c r="D462" i="2"/>
  <c r="E462" i="2"/>
  <c r="F462" i="2"/>
  <c r="G462" i="2"/>
  <c r="A462" i="2" s="1"/>
  <c r="A463" i="2"/>
  <c r="B463" i="2"/>
  <c r="C463" i="2"/>
  <c r="D463" i="2"/>
  <c r="E463" i="2"/>
  <c r="F463" i="2"/>
  <c r="G463" i="2"/>
  <c r="A464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A465" i="2" s="1"/>
  <c r="A466" i="2"/>
  <c r="F466" i="2" s="1"/>
  <c r="B466" i="2"/>
  <c r="C466" i="2"/>
  <c r="D466" i="2"/>
  <c r="E466" i="2"/>
  <c r="H466" i="2"/>
  <c r="J466" i="2"/>
  <c r="A467" i="2"/>
  <c r="B467" i="2"/>
  <c r="C467" i="2"/>
  <c r="D467" i="2"/>
  <c r="E467" i="2"/>
  <c r="F467" i="2"/>
  <c r="G467" i="2"/>
  <c r="I467" i="2"/>
  <c r="J467" i="2"/>
  <c r="B468" i="2"/>
  <c r="C468" i="2"/>
  <c r="D468" i="2"/>
  <c r="E468" i="2"/>
  <c r="F468" i="2"/>
  <c r="G468" i="2"/>
  <c r="A468" i="2" s="1"/>
  <c r="I468" i="2"/>
  <c r="J468" i="2"/>
  <c r="B469" i="2"/>
  <c r="C469" i="2"/>
  <c r="D469" i="2"/>
  <c r="E469" i="2"/>
  <c r="F469" i="2"/>
  <c r="G469" i="2"/>
  <c r="A469" i="2" s="1"/>
  <c r="I469" i="2"/>
  <c r="J469" i="2"/>
  <c r="A470" i="2"/>
  <c r="B470" i="2"/>
  <c r="C470" i="2"/>
  <c r="D470" i="2"/>
  <c r="E470" i="2"/>
  <c r="F470" i="2"/>
  <c r="G470" i="2"/>
  <c r="I470" i="2"/>
  <c r="J470" i="2"/>
  <c r="A471" i="2"/>
  <c r="B471" i="2"/>
  <c r="C471" i="2"/>
  <c r="D471" i="2"/>
  <c r="E471" i="2"/>
  <c r="F471" i="2"/>
  <c r="G471" i="2"/>
  <c r="I471" i="2"/>
  <c r="J471" i="2"/>
  <c r="B472" i="2"/>
  <c r="C472" i="2"/>
  <c r="D472" i="2"/>
  <c r="E472" i="2"/>
  <c r="F472" i="2"/>
  <c r="G472" i="2"/>
  <c r="A472" i="2" s="1"/>
  <c r="I472" i="2"/>
  <c r="J472" i="2"/>
  <c r="B473" i="2"/>
  <c r="C473" i="2"/>
  <c r="D473" i="2"/>
  <c r="E473" i="2"/>
  <c r="F473" i="2"/>
  <c r="G473" i="2"/>
  <c r="A473" i="2" s="1"/>
  <c r="I473" i="2"/>
  <c r="J473" i="2"/>
  <c r="A474" i="2"/>
  <c r="B474" i="2"/>
  <c r="C474" i="2"/>
  <c r="D474" i="2"/>
  <c r="E474" i="2"/>
  <c r="F474" i="2"/>
  <c r="G474" i="2"/>
  <c r="I474" i="2"/>
  <c r="J474" i="2"/>
  <c r="A475" i="2"/>
  <c r="B475" i="2"/>
  <c r="C475" i="2"/>
  <c r="D475" i="2"/>
  <c r="E475" i="2"/>
  <c r="F475" i="2"/>
  <c r="G475" i="2"/>
  <c r="I475" i="2"/>
  <c r="J475" i="2"/>
  <c r="B476" i="2"/>
  <c r="C476" i="2"/>
  <c r="D476" i="2"/>
  <c r="E476" i="2"/>
  <c r="F476" i="2"/>
  <c r="G476" i="2"/>
  <c r="A476" i="2" s="1"/>
  <c r="I476" i="2"/>
  <c r="J476" i="2"/>
  <c r="B477" i="2"/>
  <c r="C477" i="2"/>
  <c r="D477" i="2"/>
  <c r="E477" i="2"/>
  <c r="F477" i="2"/>
  <c r="G477" i="2"/>
  <c r="A477" i="2" s="1"/>
  <c r="I477" i="2"/>
  <c r="J477" i="2"/>
  <c r="A478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A479" i="2" s="1"/>
  <c r="A480" i="2"/>
  <c r="B480" i="2"/>
  <c r="C480" i="2"/>
  <c r="D480" i="2"/>
  <c r="E480" i="2"/>
  <c r="F480" i="2"/>
  <c r="G480" i="2"/>
  <c r="A481" i="2"/>
  <c r="B481" i="2"/>
  <c r="C481" i="2"/>
  <c r="D481" i="2"/>
  <c r="E481" i="2"/>
  <c r="F481" i="2"/>
  <c r="G481" i="2"/>
  <c r="B482" i="2"/>
  <c r="C482" i="2"/>
  <c r="D482" i="2"/>
  <c r="E482" i="2"/>
  <c r="H482" i="2"/>
  <c r="A482" i="2" s="1"/>
  <c r="F482" i="2" s="1"/>
  <c r="J482" i="2"/>
  <c r="A483" i="2"/>
  <c r="B483" i="2"/>
  <c r="C483" i="2"/>
  <c r="D483" i="2"/>
  <c r="E483" i="2"/>
  <c r="F483" i="2"/>
  <c r="G483" i="2"/>
  <c r="I483" i="2"/>
  <c r="J483" i="2"/>
  <c r="A484" i="2"/>
  <c r="B484" i="2"/>
  <c r="C484" i="2"/>
  <c r="D484" i="2"/>
  <c r="E484" i="2"/>
  <c r="F484" i="2"/>
  <c r="G484" i="2"/>
  <c r="I484" i="2"/>
  <c r="J484" i="2"/>
  <c r="B485" i="2"/>
  <c r="C485" i="2"/>
  <c r="D485" i="2"/>
  <c r="E485" i="2"/>
  <c r="F485" i="2"/>
  <c r="G485" i="2"/>
  <c r="A485" i="2" s="1"/>
  <c r="I485" i="2"/>
  <c r="J485" i="2"/>
  <c r="B486" i="2"/>
  <c r="C486" i="2"/>
  <c r="D486" i="2"/>
  <c r="E486" i="2"/>
  <c r="F486" i="2"/>
  <c r="G486" i="2"/>
  <c r="A486" i="2" s="1"/>
  <c r="I486" i="2"/>
  <c r="J486" i="2"/>
  <c r="B487" i="2"/>
  <c r="C487" i="2"/>
  <c r="D487" i="2"/>
  <c r="E487" i="2"/>
  <c r="F487" i="2"/>
  <c r="G487" i="2"/>
  <c r="A487" i="2" s="1"/>
  <c r="I487" i="2"/>
  <c r="J487" i="2"/>
  <c r="A488" i="2"/>
  <c r="B488" i="2"/>
  <c r="C488" i="2"/>
  <c r="D488" i="2"/>
  <c r="E488" i="2"/>
  <c r="F488" i="2"/>
  <c r="G488" i="2"/>
  <c r="I488" i="2"/>
  <c r="J488" i="2"/>
  <c r="A489" i="2"/>
  <c r="B489" i="2"/>
  <c r="C489" i="2"/>
  <c r="D489" i="2"/>
  <c r="E489" i="2"/>
  <c r="F489" i="2"/>
  <c r="G489" i="2"/>
  <c r="I489" i="2"/>
  <c r="J489" i="2"/>
  <c r="B490" i="2"/>
  <c r="C490" i="2"/>
  <c r="D490" i="2"/>
  <c r="E490" i="2"/>
  <c r="F490" i="2"/>
  <c r="G490" i="2"/>
  <c r="A490" i="2" s="1"/>
  <c r="I490" i="2"/>
  <c r="J490" i="2"/>
  <c r="B491" i="2"/>
  <c r="C491" i="2"/>
  <c r="D491" i="2"/>
  <c r="E491" i="2"/>
  <c r="F491" i="2"/>
  <c r="G491" i="2"/>
  <c r="A491" i="2" s="1"/>
  <c r="I491" i="2"/>
  <c r="J491" i="2"/>
  <c r="A492" i="2"/>
  <c r="B492" i="2"/>
  <c r="C492" i="2"/>
  <c r="D492" i="2"/>
  <c r="E492" i="2"/>
  <c r="F492" i="2"/>
  <c r="G492" i="2"/>
  <c r="I492" i="2"/>
  <c r="J492" i="2"/>
  <c r="A493" i="2"/>
  <c r="B493" i="2"/>
  <c r="C493" i="2"/>
  <c r="D493" i="2"/>
  <c r="E493" i="2"/>
  <c r="F493" i="2"/>
  <c r="G493" i="2"/>
  <c r="I493" i="2"/>
  <c r="J493" i="2"/>
  <c r="B494" i="2"/>
  <c r="C494" i="2"/>
  <c r="D494" i="2"/>
  <c r="E494" i="2"/>
  <c r="F494" i="2"/>
  <c r="G494" i="2"/>
  <c r="A494" i="2" s="1"/>
  <c r="B495" i="2"/>
  <c r="C495" i="2"/>
  <c r="D495" i="2"/>
  <c r="E495" i="2"/>
  <c r="F495" i="2"/>
  <c r="G495" i="2"/>
  <c r="A495" i="2" s="1"/>
  <c r="A496" i="2"/>
  <c r="B496" i="2"/>
  <c r="C496" i="2"/>
  <c r="D496" i="2"/>
  <c r="E496" i="2"/>
  <c r="F496" i="2"/>
  <c r="G496" i="2"/>
  <c r="A497" i="2"/>
  <c r="B497" i="2"/>
  <c r="C497" i="2"/>
  <c r="D497" i="2"/>
  <c r="E497" i="2"/>
  <c r="F497" i="2"/>
  <c r="G497" i="2"/>
  <c r="B498" i="2"/>
  <c r="C498" i="2"/>
  <c r="D498" i="2"/>
  <c r="E498" i="2"/>
  <c r="H498" i="2"/>
  <c r="A498" i="2" s="1"/>
  <c r="F498" i="2" s="1"/>
  <c r="J498" i="2"/>
  <c r="B499" i="2"/>
  <c r="C499" i="2"/>
  <c r="D499" i="2"/>
  <c r="E499" i="2"/>
  <c r="F499" i="2"/>
  <c r="G499" i="2"/>
  <c r="A499" i="2" s="1"/>
  <c r="I499" i="2"/>
  <c r="J499" i="2"/>
  <c r="A500" i="2"/>
  <c r="B500" i="2"/>
  <c r="C500" i="2"/>
  <c r="D500" i="2"/>
  <c r="E500" i="2"/>
  <c r="F500" i="2"/>
  <c r="G500" i="2"/>
  <c r="I500" i="2"/>
  <c r="J500" i="2"/>
  <c r="A501" i="2"/>
  <c r="B501" i="2"/>
  <c r="C501" i="2"/>
  <c r="D501" i="2"/>
  <c r="E501" i="2"/>
  <c r="F501" i="2"/>
  <c r="G501" i="2"/>
  <c r="I501" i="2"/>
  <c r="J501" i="2"/>
  <c r="B502" i="2"/>
  <c r="C502" i="2"/>
  <c r="D502" i="2"/>
  <c r="E502" i="2"/>
  <c r="F502" i="2"/>
  <c r="G502" i="2"/>
  <c r="A502" i="2" s="1"/>
  <c r="I502" i="2"/>
  <c r="J502" i="2"/>
  <c r="B503" i="2"/>
  <c r="C503" i="2"/>
  <c r="D503" i="2"/>
  <c r="E503" i="2"/>
  <c r="F503" i="2"/>
  <c r="G503" i="2"/>
  <c r="A503" i="2" s="1"/>
  <c r="I503" i="2"/>
  <c r="J503" i="2"/>
  <c r="A504" i="2"/>
  <c r="B504" i="2"/>
  <c r="C504" i="2"/>
  <c r="D504" i="2"/>
  <c r="E504" i="2"/>
  <c r="F504" i="2"/>
  <c r="G504" i="2"/>
  <c r="I504" i="2"/>
  <c r="J504" i="2"/>
  <c r="A505" i="2"/>
  <c r="B505" i="2"/>
  <c r="C505" i="2"/>
  <c r="D505" i="2"/>
  <c r="E505" i="2"/>
  <c r="F505" i="2"/>
  <c r="G505" i="2"/>
  <c r="I505" i="2"/>
  <c r="J505" i="2"/>
  <c r="B506" i="2"/>
  <c r="C506" i="2"/>
  <c r="D506" i="2"/>
  <c r="E506" i="2"/>
  <c r="F506" i="2"/>
  <c r="G506" i="2"/>
  <c r="A506" i="2" s="1"/>
  <c r="I506" i="2"/>
  <c r="J506" i="2"/>
  <c r="A507" i="2"/>
  <c r="B507" i="2"/>
  <c r="C507" i="2"/>
  <c r="D507" i="2"/>
  <c r="E507" i="2"/>
  <c r="F507" i="2"/>
  <c r="G507" i="2"/>
  <c r="I507" i="2"/>
  <c r="J507" i="2"/>
  <c r="A508" i="2"/>
  <c r="B508" i="2"/>
  <c r="C508" i="2"/>
  <c r="D508" i="2"/>
  <c r="E508" i="2"/>
  <c r="F508" i="2"/>
  <c r="G508" i="2"/>
  <c r="I508" i="2"/>
  <c r="J508" i="2"/>
  <c r="B509" i="2"/>
  <c r="C509" i="2"/>
  <c r="D509" i="2"/>
  <c r="E509" i="2"/>
  <c r="F509" i="2"/>
  <c r="G509" i="2"/>
  <c r="A509" i="2" s="1"/>
  <c r="I509" i="2"/>
  <c r="J509" i="2"/>
  <c r="B510" i="2"/>
  <c r="C510" i="2"/>
  <c r="D510" i="2"/>
  <c r="E510" i="2"/>
  <c r="F510" i="2"/>
  <c r="G510" i="2"/>
  <c r="A510" i="2" s="1"/>
  <c r="B511" i="2"/>
  <c r="C511" i="2"/>
  <c r="D511" i="2"/>
  <c r="E511" i="2"/>
  <c r="F511" i="2"/>
  <c r="G511" i="2"/>
  <c r="A511" i="2" s="1"/>
  <c r="A512" i="2"/>
  <c r="B512" i="2"/>
  <c r="C512" i="2"/>
  <c r="D512" i="2"/>
  <c r="E512" i="2"/>
  <c r="F512" i="2"/>
  <c r="G512" i="2"/>
  <c r="B513" i="2"/>
  <c r="C513" i="2"/>
  <c r="D513" i="2"/>
  <c r="E513" i="2"/>
  <c r="F513" i="2"/>
  <c r="G513" i="2"/>
  <c r="A513" i="2" s="1"/>
  <c r="B514" i="2"/>
  <c r="C514" i="2"/>
  <c r="D514" i="2"/>
  <c r="E514" i="2"/>
  <c r="H514" i="2"/>
  <c r="A514" i="2" s="1"/>
  <c r="F514" i="2" s="1"/>
  <c r="J514" i="2"/>
  <c r="B515" i="2"/>
  <c r="C515" i="2"/>
  <c r="D515" i="2"/>
  <c r="E515" i="2"/>
  <c r="F515" i="2"/>
  <c r="G515" i="2"/>
  <c r="A515" i="2" s="1"/>
  <c r="I515" i="2"/>
  <c r="J515" i="2"/>
  <c r="B516" i="2"/>
  <c r="C516" i="2"/>
  <c r="D516" i="2"/>
  <c r="E516" i="2"/>
  <c r="F516" i="2"/>
  <c r="G516" i="2"/>
  <c r="A516" i="2" s="1"/>
  <c r="I516" i="2"/>
  <c r="J516" i="2"/>
  <c r="A517" i="2"/>
  <c r="B517" i="2"/>
  <c r="C517" i="2"/>
  <c r="D517" i="2"/>
  <c r="E517" i="2"/>
  <c r="F517" i="2"/>
  <c r="G517" i="2"/>
  <c r="I517" i="2"/>
  <c r="J517" i="2"/>
  <c r="A518" i="2"/>
  <c r="B518" i="2"/>
  <c r="C518" i="2"/>
  <c r="D518" i="2"/>
  <c r="E518" i="2"/>
  <c r="F518" i="2"/>
  <c r="G518" i="2"/>
  <c r="I518" i="2"/>
  <c r="J518" i="2"/>
  <c r="B519" i="2"/>
  <c r="C519" i="2"/>
  <c r="D519" i="2"/>
  <c r="E519" i="2"/>
  <c r="F519" i="2"/>
  <c r="G519" i="2"/>
  <c r="A519" i="2" s="1"/>
  <c r="I519" i="2"/>
  <c r="J519" i="2"/>
  <c r="B520" i="2"/>
  <c r="C520" i="2"/>
  <c r="D520" i="2"/>
  <c r="E520" i="2"/>
  <c r="F520" i="2"/>
  <c r="G520" i="2"/>
  <c r="A520" i="2" s="1"/>
  <c r="I520" i="2"/>
  <c r="J520" i="2"/>
  <c r="A521" i="2"/>
  <c r="B521" i="2"/>
  <c r="C521" i="2"/>
  <c r="D521" i="2"/>
  <c r="E521" i="2"/>
  <c r="F521" i="2"/>
  <c r="G521" i="2"/>
  <c r="I521" i="2"/>
  <c r="J521" i="2"/>
  <c r="A522" i="2"/>
  <c r="B522" i="2"/>
  <c r="C522" i="2"/>
  <c r="D522" i="2"/>
  <c r="E522" i="2"/>
  <c r="F522" i="2"/>
  <c r="G522" i="2"/>
  <c r="I522" i="2"/>
  <c r="J522" i="2"/>
  <c r="B523" i="2"/>
  <c r="C523" i="2"/>
  <c r="D523" i="2"/>
  <c r="E523" i="2"/>
  <c r="F523" i="2"/>
  <c r="G523" i="2"/>
  <c r="A523" i="2" s="1"/>
  <c r="I523" i="2"/>
  <c r="J523" i="2"/>
  <c r="B524" i="2"/>
  <c r="C524" i="2"/>
  <c r="D524" i="2"/>
  <c r="E524" i="2"/>
  <c r="F524" i="2"/>
  <c r="G524" i="2"/>
  <c r="A524" i="2" s="1"/>
  <c r="I524" i="2"/>
  <c r="J524" i="2"/>
  <c r="A525" i="2"/>
  <c r="B525" i="2"/>
  <c r="C525" i="2"/>
  <c r="D525" i="2"/>
  <c r="E525" i="2"/>
  <c r="F525" i="2"/>
  <c r="G525" i="2"/>
  <c r="I525" i="2"/>
  <c r="J525" i="2"/>
  <c r="A526" i="2"/>
  <c r="B526" i="2"/>
  <c r="C526" i="2"/>
  <c r="D526" i="2"/>
  <c r="E526" i="2"/>
  <c r="F526" i="2"/>
  <c r="G526" i="2"/>
  <c r="A527" i="2"/>
  <c r="B527" i="2"/>
  <c r="C527" i="2"/>
  <c r="D527" i="2"/>
  <c r="E527" i="2"/>
  <c r="F527" i="2"/>
  <c r="G527" i="2"/>
  <c r="A528" i="2"/>
  <c r="B528" i="2"/>
  <c r="C528" i="2"/>
  <c r="D528" i="2"/>
  <c r="E528" i="2"/>
  <c r="F528" i="2"/>
  <c r="G528" i="2"/>
  <c r="B529" i="2"/>
  <c r="C529" i="2"/>
  <c r="D529" i="2"/>
  <c r="E529" i="2"/>
  <c r="F529" i="2"/>
  <c r="G529" i="2"/>
  <c r="A529" i="2" s="1"/>
  <c r="B530" i="2"/>
  <c r="C530" i="2"/>
  <c r="D530" i="2"/>
  <c r="E530" i="2"/>
  <c r="F530" i="2"/>
  <c r="H530" i="2"/>
  <c r="A530" i="2" s="1"/>
  <c r="J530" i="2"/>
  <c r="A531" i="2"/>
  <c r="B531" i="2"/>
  <c r="C531" i="2"/>
  <c r="D531" i="2"/>
  <c r="E531" i="2"/>
  <c r="F531" i="2"/>
  <c r="G531" i="2"/>
  <c r="I531" i="2"/>
  <c r="J531" i="2"/>
  <c r="A532" i="2"/>
  <c r="B532" i="2"/>
  <c r="C532" i="2"/>
  <c r="D532" i="2"/>
  <c r="E532" i="2"/>
  <c r="F532" i="2"/>
  <c r="G532" i="2"/>
  <c r="I532" i="2"/>
  <c r="J532" i="2"/>
  <c r="B533" i="2"/>
  <c r="C533" i="2"/>
  <c r="D533" i="2"/>
  <c r="E533" i="2"/>
  <c r="F533" i="2"/>
  <c r="G533" i="2"/>
  <c r="A533" i="2" s="1"/>
  <c r="I533" i="2"/>
  <c r="J533" i="2"/>
  <c r="B534" i="2"/>
  <c r="C534" i="2"/>
  <c r="D534" i="2"/>
  <c r="E534" i="2"/>
  <c r="F534" i="2"/>
  <c r="G534" i="2"/>
  <c r="A534" i="2" s="1"/>
  <c r="I534" i="2"/>
  <c r="J534" i="2"/>
  <c r="A535" i="2"/>
  <c r="B535" i="2"/>
  <c r="C535" i="2"/>
  <c r="D535" i="2"/>
  <c r="E535" i="2"/>
  <c r="F535" i="2"/>
  <c r="G535" i="2"/>
  <c r="I535" i="2"/>
  <c r="J535" i="2"/>
  <c r="A536" i="2"/>
  <c r="B536" i="2"/>
  <c r="C536" i="2"/>
  <c r="D536" i="2"/>
  <c r="E536" i="2"/>
  <c r="F536" i="2"/>
  <c r="G536" i="2"/>
  <c r="I536" i="2"/>
  <c r="J536" i="2"/>
  <c r="B537" i="2"/>
  <c r="C537" i="2"/>
  <c r="D537" i="2"/>
  <c r="E537" i="2"/>
  <c r="F537" i="2"/>
  <c r="G537" i="2"/>
  <c r="A537" i="2" s="1"/>
  <c r="I537" i="2"/>
  <c r="J537" i="2"/>
  <c r="B538" i="2"/>
  <c r="C538" i="2"/>
  <c r="D538" i="2"/>
  <c r="E538" i="2"/>
  <c r="F538" i="2"/>
  <c r="G538" i="2"/>
  <c r="A538" i="2" s="1"/>
  <c r="I538" i="2"/>
  <c r="J538" i="2"/>
  <c r="A539" i="2"/>
  <c r="B539" i="2"/>
  <c r="C539" i="2"/>
  <c r="D539" i="2"/>
  <c r="E539" i="2"/>
  <c r="F539" i="2"/>
  <c r="G539" i="2"/>
  <c r="I539" i="2"/>
  <c r="J539" i="2"/>
  <c r="A540" i="2"/>
  <c r="B540" i="2"/>
  <c r="C540" i="2"/>
  <c r="D540" i="2"/>
  <c r="E540" i="2"/>
  <c r="F540" i="2"/>
  <c r="G540" i="2"/>
  <c r="I540" i="2"/>
  <c r="J540" i="2"/>
  <c r="B541" i="2"/>
  <c r="C541" i="2"/>
  <c r="D541" i="2"/>
  <c r="E541" i="2"/>
  <c r="F541" i="2"/>
  <c r="G541" i="2"/>
  <c r="A541" i="2" s="1"/>
  <c r="I541" i="2"/>
  <c r="J541" i="2"/>
  <c r="B542" i="2"/>
  <c r="C542" i="2"/>
  <c r="D542" i="2"/>
  <c r="E542" i="2"/>
  <c r="F542" i="2"/>
  <c r="G542" i="2"/>
  <c r="A542" i="2" s="1"/>
  <c r="A543" i="2"/>
  <c r="B543" i="2"/>
  <c r="C543" i="2"/>
  <c r="D543" i="2"/>
  <c r="E543" i="2"/>
  <c r="F543" i="2"/>
  <c r="G543" i="2"/>
  <c r="A544" i="2"/>
  <c r="B544" i="2"/>
  <c r="C544" i="2"/>
  <c r="D544" i="2"/>
  <c r="E544" i="2"/>
  <c r="F544" i="2"/>
  <c r="G544" i="2"/>
  <c r="B545" i="2"/>
  <c r="C545" i="2"/>
  <c r="D545" i="2"/>
  <c r="E545" i="2"/>
  <c r="F545" i="2"/>
  <c r="G545" i="2"/>
  <c r="A545" i="2" s="1"/>
  <c r="B546" i="2"/>
  <c r="C546" i="2"/>
  <c r="D546" i="2"/>
  <c r="E546" i="2"/>
  <c r="F546" i="2"/>
  <c r="H546" i="2"/>
  <c r="A546" i="2" s="1"/>
  <c r="J546" i="2"/>
  <c r="A547" i="2"/>
  <c r="B547" i="2"/>
  <c r="C547" i="2"/>
  <c r="D547" i="2"/>
  <c r="E547" i="2"/>
  <c r="F547" i="2"/>
  <c r="G547" i="2"/>
  <c r="I547" i="2"/>
  <c r="J547" i="2"/>
  <c r="A548" i="2"/>
  <c r="B548" i="2"/>
  <c r="C548" i="2"/>
  <c r="D548" i="2"/>
  <c r="E548" i="2"/>
  <c r="F548" i="2"/>
  <c r="G548" i="2"/>
  <c r="I548" i="2"/>
  <c r="J548" i="2"/>
  <c r="B549" i="2"/>
  <c r="C549" i="2"/>
  <c r="D549" i="2"/>
  <c r="E549" i="2"/>
  <c r="F549" i="2"/>
  <c r="G549" i="2"/>
  <c r="A549" i="2" s="1"/>
  <c r="I549" i="2"/>
  <c r="J549" i="2"/>
  <c r="B550" i="2"/>
  <c r="C550" i="2"/>
  <c r="D550" i="2"/>
  <c r="E550" i="2"/>
  <c r="F550" i="2"/>
  <c r="G550" i="2"/>
  <c r="A550" i="2" s="1"/>
  <c r="I550" i="2"/>
  <c r="J550" i="2"/>
  <c r="A551" i="2"/>
  <c r="B551" i="2"/>
  <c r="C551" i="2"/>
  <c r="D551" i="2"/>
  <c r="E551" i="2"/>
  <c r="F551" i="2"/>
  <c r="G551" i="2"/>
  <c r="I551" i="2"/>
  <c r="J551" i="2"/>
  <c r="A552" i="2"/>
  <c r="B552" i="2"/>
  <c r="C552" i="2"/>
  <c r="D552" i="2"/>
  <c r="E552" i="2"/>
  <c r="F552" i="2"/>
  <c r="G552" i="2"/>
  <c r="I552" i="2"/>
  <c r="J552" i="2"/>
  <c r="B553" i="2"/>
  <c r="C553" i="2"/>
  <c r="D553" i="2"/>
  <c r="E553" i="2"/>
  <c r="F553" i="2"/>
  <c r="G553" i="2"/>
  <c r="A553" i="2" s="1"/>
  <c r="I553" i="2"/>
  <c r="J553" i="2"/>
  <c r="B554" i="2"/>
  <c r="C554" i="2"/>
  <c r="D554" i="2"/>
  <c r="E554" i="2"/>
  <c r="F554" i="2"/>
  <c r="G554" i="2"/>
  <c r="A554" i="2" s="1"/>
  <c r="I554" i="2"/>
  <c r="J554" i="2"/>
  <c r="A555" i="2"/>
  <c r="B555" i="2"/>
  <c r="C555" i="2"/>
  <c r="D555" i="2"/>
  <c r="E555" i="2"/>
  <c r="F555" i="2"/>
  <c r="G555" i="2"/>
  <c r="I555" i="2"/>
  <c r="J555" i="2"/>
  <c r="A556" i="2"/>
  <c r="B556" i="2"/>
  <c r="C556" i="2"/>
  <c r="D556" i="2"/>
  <c r="E556" i="2"/>
  <c r="F556" i="2"/>
  <c r="G556" i="2"/>
  <c r="I556" i="2"/>
  <c r="J556" i="2"/>
  <c r="B557" i="2"/>
  <c r="C557" i="2"/>
  <c r="D557" i="2"/>
  <c r="E557" i="2"/>
  <c r="F557" i="2"/>
  <c r="G557" i="2"/>
  <c r="A557" i="2" s="1"/>
  <c r="I557" i="2"/>
  <c r="J557" i="2"/>
  <c r="B558" i="2"/>
  <c r="C558" i="2"/>
  <c r="D558" i="2"/>
  <c r="E558" i="2"/>
  <c r="F558" i="2"/>
  <c r="G558" i="2"/>
  <c r="A558" i="2" s="1"/>
  <c r="B559" i="2"/>
  <c r="C559" i="2"/>
  <c r="D559" i="2"/>
  <c r="E559" i="2"/>
  <c r="F559" i="2"/>
  <c r="G559" i="2"/>
  <c r="A559" i="2" s="1"/>
  <c r="A560" i="2"/>
  <c r="B560" i="2"/>
  <c r="C560" i="2"/>
  <c r="D560" i="2"/>
  <c r="E560" i="2"/>
  <c r="F560" i="2"/>
  <c r="G560" i="2"/>
  <c r="A561" i="2"/>
  <c r="B561" i="2"/>
  <c r="C561" i="2"/>
  <c r="D561" i="2"/>
  <c r="E561" i="2"/>
  <c r="F561" i="2"/>
  <c r="G561" i="2"/>
  <c r="B562" i="2"/>
  <c r="C562" i="2"/>
  <c r="D562" i="2"/>
  <c r="E562" i="2"/>
  <c r="H562" i="2"/>
  <c r="A562" i="2" s="1"/>
  <c r="F562" i="2" s="1"/>
  <c r="J562" i="2"/>
  <c r="A563" i="2"/>
  <c r="B563" i="2"/>
  <c r="C563" i="2"/>
  <c r="D563" i="2"/>
  <c r="E563" i="2"/>
  <c r="F563" i="2"/>
  <c r="G563" i="2"/>
  <c r="I563" i="2"/>
  <c r="J563" i="2"/>
  <c r="A564" i="2"/>
  <c r="B564" i="2"/>
  <c r="C564" i="2"/>
  <c r="D564" i="2"/>
  <c r="E564" i="2"/>
  <c r="F564" i="2"/>
  <c r="G564" i="2"/>
  <c r="I564" i="2"/>
  <c r="J564" i="2"/>
  <c r="B565" i="2"/>
  <c r="C565" i="2"/>
  <c r="D565" i="2"/>
  <c r="E565" i="2"/>
  <c r="F565" i="2"/>
  <c r="G565" i="2"/>
  <c r="A565" i="2" s="1"/>
  <c r="I565" i="2"/>
  <c r="J565" i="2"/>
  <c r="B566" i="2"/>
  <c r="C566" i="2"/>
  <c r="D566" i="2"/>
  <c r="E566" i="2"/>
  <c r="F566" i="2"/>
  <c r="G566" i="2"/>
  <c r="A566" i="2" s="1"/>
  <c r="I566" i="2"/>
  <c r="J566" i="2"/>
  <c r="A567" i="2"/>
  <c r="B567" i="2"/>
  <c r="C567" i="2"/>
  <c r="D567" i="2"/>
  <c r="E567" i="2"/>
  <c r="F567" i="2"/>
  <c r="G567" i="2"/>
  <c r="I567" i="2"/>
  <c r="J567" i="2"/>
  <c r="A568" i="2"/>
  <c r="B568" i="2"/>
  <c r="C568" i="2"/>
  <c r="D568" i="2"/>
  <c r="E568" i="2"/>
  <c r="F568" i="2"/>
  <c r="G568" i="2"/>
  <c r="I568" i="2"/>
  <c r="J568" i="2"/>
  <c r="B569" i="2"/>
  <c r="C569" i="2"/>
  <c r="D569" i="2"/>
  <c r="E569" i="2"/>
  <c r="F569" i="2"/>
  <c r="G569" i="2"/>
  <c r="A569" i="2" s="1"/>
  <c r="I569" i="2"/>
  <c r="J569" i="2"/>
  <c r="B570" i="2"/>
  <c r="C570" i="2"/>
  <c r="D570" i="2"/>
  <c r="E570" i="2"/>
  <c r="F570" i="2"/>
  <c r="G570" i="2"/>
  <c r="A570" i="2" s="1"/>
  <c r="I570" i="2"/>
  <c r="J570" i="2"/>
  <c r="A571" i="2"/>
  <c r="B571" i="2"/>
  <c r="C571" i="2"/>
  <c r="D571" i="2"/>
  <c r="E571" i="2"/>
  <c r="F571" i="2"/>
  <c r="G571" i="2"/>
  <c r="I571" i="2"/>
  <c r="J571" i="2"/>
  <c r="A572" i="2"/>
  <c r="B572" i="2"/>
  <c r="C572" i="2"/>
  <c r="D572" i="2"/>
  <c r="E572" i="2"/>
  <c r="F572" i="2"/>
  <c r="G572" i="2"/>
  <c r="I572" i="2"/>
  <c r="J572" i="2"/>
  <c r="B573" i="2"/>
  <c r="C573" i="2"/>
  <c r="D573" i="2"/>
  <c r="E573" i="2"/>
  <c r="F573" i="2"/>
  <c r="G573" i="2"/>
  <c r="A573" i="2" s="1"/>
  <c r="I573" i="2"/>
  <c r="J573" i="2"/>
  <c r="B574" i="2"/>
  <c r="C574" i="2"/>
  <c r="D574" i="2"/>
  <c r="E574" i="2"/>
  <c r="F574" i="2"/>
  <c r="G574" i="2"/>
  <c r="A574" i="2" s="1"/>
  <c r="A575" i="2"/>
  <c r="B575" i="2"/>
  <c r="C575" i="2"/>
  <c r="D575" i="2"/>
  <c r="E575" i="2"/>
  <c r="F575" i="2"/>
  <c r="G575" i="2"/>
  <c r="A576" i="2"/>
  <c r="B576" i="2"/>
  <c r="C576" i="2"/>
  <c r="D576" i="2"/>
  <c r="E576" i="2"/>
  <c r="F576" i="2"/>
  <c r="G576" i="2"/>
  <c r="A577" i="2"/>
  <c r="B577" i="2"/>
  <c r="C577" i="2"/>
  <c r="D577" i="2"/>
  <c r="E577" i="2"/>
  <c r="F577" i="2"/>
  <c r="G577" i="2"/>
  <c r="B578" i="2"/>
  <c r="C578" i="2"/>
  <c r="D578" i="2"/>
  <c r="E578" i="2"/>
  <c r="H578" i="2"/>
  <c r="A578" i="2" s="1"/>
  <c r="F578" i="2" s="1"/>
  <c r="J578" i="2"/>
  <c r="B579" i="2"/>
  <c r="C579" i="2"/>
  <c r="D579" i="2"/>
  <c r="E579" i="2"/>
  <c r="F579" i="2"/>
  <c r="G579" i="2"/>
  <c r="A579" i="2" s="1"/>
  <c r="I579" i="2"/>
  <c r="J579" i="2"/>
  <c r="A580" i="2"/>
  <c r="B580" i="2"/>
  <c r="C580" i="2"/>
  <c r="D580" i="2"/>
  <c r="E580" i="2"/>
  <c r="F580" i="2"/>
  <c r="G580" i="2"/>
  <c r="I580" i="2"/>
  <c r="J580" i="2"/>
  <c r="A581" i="2"/>
  <c r="B581" i="2"/>
  <c r="C581" i="2"/>
  <c r="D581" i="2"/>
  <c r="E581" i="2"/>
  <c r="F581" i="2"/>
  <c r="G581" i="2"/>
  <c r="I581" i="2"/>
  <c r="J581" i="2"/>
  <c r="B582" i="2"/>
  <c r="C582" i="2"/>
  <c r="D582" i="2"/>
  <c r="E582" i="2"/>
  <c r="F582" i="2"/>
  <c r="G582" i="2"/>
  <c r="A582" i="2" s="1"/>
  <c r="I582" i="2"/>
  <c r="J582" i="2"/>
  <c r="B583" i="2"/>
  <c r="C583" i="2"/>
  <c r="D583" i="2"/>
  <c r="E583" i="2"/>
  <c r="F583" i="2"/>
  <c r="G583" i="2"/>
  <c r="A583" i="2" s="1"/>
  <c r="I583" i="2"/>
  <c r="J583" i="2"/>
  <c r="A584" i="2"/>
  <c r="B584" i="2"/>
  <c r="C584" i="2"/>
  <c r="D584" i="2"/>
  <c r="E584" i="2"/>
  <c r="F584" i="2"/>
  <c r="G584" i="2"/>
  <c r="I584" i="2"/>
  <c r="J584" i="2"/>
  <c r="A585" i="2"/>
  <c r="B585" i="2"/>
  <c r="C585" i="2"/>
  <c r="D585" i="2"/>
  <c r="E585" i="2"/>
  <c r="F585" i="2"/>
  <c r="G585" i="2"/>
  <c r="I585" i="2"/>
  <c r="J585" i="2"/>
  <c r="B586" i="2"/>
  <c r="C586" i="2"/>
  <c r="D586" i="2"/>
  <c r="E586" i="2"/>
  <c r="F586" i="2"/>
  <c r="G586" i="2"/>
  <c r="A586" i="2" s="1"/>
  <c r="I586" i="2"/>
  <c r="J586" i="2"/>
  <c r="A587" i="2"/>
  <c r="B587" i="2"/>
  <c r="C587" i="2"/>
  <c r="D587" i="2"/>
  <c r="E587" i="2"/>
  <c r="F587" i="2"/>
  <c r="G587" i="2"/>
  <c r="I587" i="2"/>
  <c r="J587" i="2"/>
  <c r="A588" i="2"/>
  <c r="B588" i="2"/>
  <c r="C588" i="2"/>
  <c r="D588" i="2"/>
  <c r="E588" i="2"/>
  <c r="F588" i="2"/>
  <c r="G588" i="2"/>
  <c r="I588" i="2"/>
  <c r="J588" i="2"/>
  <c r="B589" i="2"/>
  <c r="C589" i="2"/>
  <c r="D589" i="2"/>
  <c r="E589" i="2"/>
  <c r="F589" i="2"/>
  <c r="G589" i="2"/>
  <c r="A589" i="2" s="1"/>
  <c r="I589" i="2"/>
  <c r="J589" i="2"/>
  <c r="B590" i="2"/>
  <c r="C590" i="2"/>
  <c r="D590" i="2"/>
  <c r="E590" i="2"/>
  <c r="F590" i="2"/>
  <c r="G590" i="2"/>
  <c r="A590" i="2" s="1"/>
  <c r="A591" i="2"/>
  <c r="B591" i="2"/>
  <c r="C591" i="2"/>
  <c r="D591" i="2"/>
  <c r="E591" i="2"/>
  <c r="F591" i="2"/>
  <c r="G591" i="2"/>
  <c r="A592" i="2"/>
  <c r="B592" i="2"/>
  <c r="C592" i="2"/>
  <c r="D592" i="2"/>
  <c r="E592" i="2"/>
  <c r="F592" i="2"/>
  <c r="G592" i="2"/>
  <c r="A593" i="2"/>
  <c r="B593" i="2"/>
  <c r="C593" i="2"/>
  <c r="D593" i="2"/>
  <c r="E593" i="2"/>
  <c r="F593" i="2"/>
  <c r="G593" i="2"/>
  <c r="B594" i="2"/>
  <c r="C594" i="2"/>
  <c r="D594" i="2"/>
  <c r="E594" i="2"/>
  <c r="H594" i="2"/>
  <c r="A594" i="2" s="1"/>
  <c r="F594" i="2" s="1"/>
  <c r="J594" i="2"/>
  <c r="B595" i="2"/>
  <c r="C595" i="2"/>
  <c r="D595" i="2"/>
  <c r="E595" i="2"/>
  <c r="F595" i="2"/>
  <c r="G595" i="2"/>
  <c r="A595" i="2" s="1"/>
  <c r="I595" i="2"/>
  <c r="J595" i="2"/>
  <c r="A596" i="2"/>
  <c r="B596" i="2"/>
  <c r="C596" i="2"/>
  <c r="D596" i="2"/>
  <c r="E596" i="2"/>
  <c r="F596" i="2"/>
  <c r="G596" i="2"/>
  <c r="I596" i="2"/>
  <c r="J596" i="2"/>
  <c r="A597" i="2"/>
  <c r="B597" i="2"/>
  <c r="C597" i="2"/>
  <c r="D597" i="2"/>
  <c r="E597" i="2"/>
  <c r="F597" i="2"/>
  <c r="G597" i="2"/>
  <c r="I597" i="2"/>
  <c r="J597" i="2"/>
  <c r="B598" i="2"/>
  <c r="C598" i="2"/>
  <c r="D598" i="2"/>
  <c r="E598" i="2"/>
  <c r="F598" i="2"/>
  <c r="G598" i="2"/>
  <c r="A598" i="2" s="1"/>
  <c r="I598" i="2"/>
  <c r="J598" i="2"/>
  <c r="B599" i="2"/>
  <c r="C599" i="2"/>
  <c r="D599" i="2"/>
  <c r="E599" i="2"/>
  <c r="F599" i="2"/>
  <c r="G599" i="2"/>
  <c r="A599" i="2" s="1"/>
  <c r="I599" i="2"/>
  <c r="J599" i="2"/>
  <c r="A600" i="2"/>
  <c r="B600" i="2"/>
  <c r="C600" i="2"/>
  <c r="D600" i="2"/>
  <c r="E600" i="2"/>
  <c r="F600" i="2"/>
  <c r="G600" i="2"/>
  <c r="I600" i="2"/>
  <c r="J600" i="2"/>
  <c r="A601" i="2"/>
  <c r="B601" i="2"/>
  <c r="C601" i="2"/>
  <c r="D601" i="2"/>
  <c r="E601" i="2"/>
  <c r="F601" i="2"/>
  <c r="G601" i="2"/>
  <c r="I601" i="2"/>
  <c r="J601" i="2"/>
  <c r="B602" i="2"/>
  <c r="C602" i="2"/>
  <c r="D602" i="2"/>
  <c r="E602" i="2"/>
  <c r="F602" i="2"/>
  <c r="G602" i="2"/>
  <c r="A602" i="2" s="1"/>
  <c r="I602" i="2"/>
  <c r="J602" i="2"/>
  <c r="B603" i="2"/>
  <c r="C603" i="2"/>
  <c r="D603" i="2"/>
  <c r="E603" i="2"/>
  <c r="F603" i="2"/>
  <c r="G603" i="2"/>
  <c r="A603" i="2" s="1"/>
  <c r="I603" i="2"/>
  <c r="J603" i="2"/>
  <c r="A604" i="2"/>
  <c r="B604" i="2"/>
  <c r="C604" i="2"/>
  <c r="D604" i="2"/>
  <c r="E604" i="2"/>
  <c r="F604" i="2"/>
  <c r="G604" i="2"/>
  <c r="I604" i="2"/>
  <c r="J604" i="2"/>
  <c r="A605" i="2"/>
  <c r="B605" i="2"/>
  <c r="C605" i="2"/>
  <c r="D605" i="2"/>
  <c r="E605" i="2"/>
  <c r="F605" i="2"/>
  <c r="G605" i="2"/>
  <c r="I605" i="2"/>
  <c r="J605" i="2"/>
  <c r="B606" i="2"/>
  <c r="C606" i="2"/>
  <c r="D606" i="2"/>
  <c r="E606" i="2"/>
  <c r="F606" i="2"/>
  <c r="G606" i="2"/>
  <c r="A606" i="2" s="1"/>
  <c r="A607" i="2"/>
  <c r="B607" i="2"/>
  <c r="C607" i="2"/>
  <c r="D607" i="2"/>
  <c r="E607" i="2"/>
  <c r="F607" i="2"/>
  <c r="G607" i="2"/>
  <c r="A608" i="2"/>
  <c r="B608" i="2"/>
  <c r="C608" i="2"/>
  <c r="D608" i="2"/>
  <c r="E608" i="2"/>
  <c r="F608" i="2"/>
  <c r="G608" i="2"/>
  <c r="B609" i="2"/>
  <c r="C609" i="2"/>
  <c r="D609" i="2"/>
  <c r="E609" i="2"/>
  <c r="F609" i="2"/>
  <c r="G609" i="2"/>
  <c r="A609" i="2" s="1"/>
  <c r="A610" i="2"/>
  <c r="F610" i="2" s="1"/>
  <c r="B610" i="2"/>
  <c r="C610" i="2"/>
  <c r="D610" i="2"/>
  <c r="E610" i="2"/>
  <c r="H610" i="2"/>
  <c r="J610" i="2"/>
  <c r="B611" i="2"/>
  <c r="C611" i="2"/>
  <c r="D611" i="2"/>
  <c r="E611" i="2"/>
  <c r="F611" i="2"/>
  <c r="G611" i="2"/>
  <c r="A611" i="2" s="1"/>
  <c r="I611" i="2"/>
  <c r="J611" i="2"/>
  <c r="B612" i="2"/>
  <c r="C612" i="2"/>
  <c r="D612" i="2"/>
  <c r="E612" i="2"/>
  <c r="F612" i="2"/>
  <c r="G612" i="2"/>
  <c r="A612" i="2" s="1"/>
  <c r="I612" i="2"/>
  <c r="J612" i="2"/>
  <c r="A613" i="2"/>
  <c r="B613" i="2"/>
  <c r="C613" i="2"/>
  <c r="D613" i="2"/>
  <c r="E613" i="2"/>
  <c r="F613" i="2"/>
  <c r="G613" i="2"/>
  <c r="I613" i="2"/>
  <c r="J613" i="2"/>
  <c r="A614" i="2"/>
  <c r="B614" i="2"/>
  <c r="C614" i="2"/>
  <c r="D614" i="2"/>
  <c r="E614" i="2"/>
  <c r="F614" i="2"/>
  <c r="G614" i="2"/>
  <c r="I614" i="2"/>
  <c r="J614" i="2"/>
  <c r="B615" i="2"/>
  <c r="C615" i="2"/>
  <c r="D615" i="2"/>
  <c r="E615" i="2"/>
  <c r="F615" i="2"/>
  <c r="G615" i="2"/>
  <c r="A615" i="2" s="1"/>
  <c r="I615" i="2"/>
  <c r="J615" i="2"/>
  <c r="B616" i="2"/>
  <c r="C616" i="2"/>
  <c r="D616" i="2"/>
  <c r="E616" i="2"/>
  <c r="F616" i="2"/>
  <c r="G616" i="2"/>
  <c r="A616" i="2" s="1"/>
  <c r="I616" i="2"/>
  <c r="J616" i="2"/>
  <c r="A617" i="2"/>
  <c r="B617" i="2"/>
  <c r="C617" i="2"/>
  <c r="D617" i="2"/>
  <c r="E617" i="2"/>
  <c r="F617" i="2"/>
  <c r="G617" i="2"/>
  <c r="I617" i="2"/>
  <c r="J617" i="2"/>
  <c r="A618" i="2"/>
  <c r="B618" i="2"/>
  <c r="C618" i="2"/>
  <c r="D618" i="2"/>
  <c r="E618" i="2"/>
  <c r="F618" i="2"/>
  <c r="G618" i="2"/>
  <c r="I618" i="2"/>
  <c r="J618" i="2"/>
  <c r="B619" i="2"/>
  <c r="C619" i="2"/>
  <c r="D619" i="2"/>
  <c r="E619" i="2"/>
  <c r="F619" i="2"/>
  <c r="G619" i="2"/>
  <c r="A619" i="2" s="1"/>
  <c r="I619" i="2"/>
  <c r="J619" i="2"/>
  <c r="B620" i="2"/>
  <c r="C620" i="2"/>
  <c r="D620" i="2"/>
  <c r="E620" i="2"/>
  <c r="F620" i="2"/>
  <c r="G620" i="2"/>
  <c r="A620" i="2" s="1"/>
  <c r="I620" i="2"/>
  <c r="J620" i="2"/>
  <c r="A621" i="2"/>
  <c r="B621" i="2"/>
  <c r="C621" i="2"/>
  <c r="D621" i="2"/>
  <c r="E621" i="2"/>
  <c r="F621" i="2"/>
  <c r="G621" i="2"/>
  <c r="I621" i="2"/>
  <c r="J621" i="2"/>
  <c r="A622" i="2"/>
  <c r="B622" i="2"/>
  <c r="C622" i="2"/>
  <c r="D622" i="2"/>
  <c r="E622" i="2"/>
  <c r="F622" i="2"/>
  <c r="G622" i="2"/>
  <c r="A623" i="2"/>
  <c r="B623" i="2"/>
  <c r="C623" i="2"/>
  <c r="D623" i="2"/>
  <c r="E623" i="2"/>
  <c r="F623" i="2"/>
  <c r="G623" i="2"/>
  <c r="A624" i="2"/>
  <c r="B624" i="2"/>
  <c r="C624" i="2"/>
  <c r="D624" i="2"/>
  <c r="E624" i="2"/>
  <c r="F624" i="2"/>
  <c r="G624" i="2"/>
  <c r="B625" i="2"/>
  <c r="C625" i="2"/>
  <c r="D625" i="2"/>
  <c r="E625" i="2"/>
  <c r="F625" i="2"/>
  <c r="G625" i="2"/>
  <c r="A625" i="2" s="1"/>
  <c r="B626" i="2"/>
  <c r="C626" i="2"/>
  <c r="D626" i="2"/>
  <c r="E626" i="2"/>
  <c r="F626" i="2"/>
  <c r="H626" i="2"/>
  <c r="A626" i="2" s="1"/>
  <c r="J626" i="2"/>
  <c r="O626" i="2"/>
  <c r="O642" i="2" s="1"/>
  <c r="O658" i="2" s="1"/>
  <c r="O674" i="2" s="1"/>
  <c r="O690" i="2" s="1"/>
  <c r="O706" i="2" s="1"/>
  <c r="O722" i="2" s="1"/>
  <c r="O738" i="2" s="1"/>
  <c r="O754" i="2" s="1"/>
  <c r="A627" i="2"/>
  <c r="B627" i="2"/>
  <c r="C627" i="2"/>
  <c r="D627" i="2"/>
  <c r="E627" i="2"/>
  <c r="F627" i="2"/>
  <c r="G627" i="2"/>
  <c r="I627" i="2"/>
  <c r="J627" i="2"/>
  <c r="A628" i="2"/>
  <c r="B628" i="2"/>
  <c r="C628" i="2"/>
  <c r="D628" i="2"/>
  <c r="E628" i="2"/>
  <c r="F628" i="2"/>
  <c r="G628" i="2"/>
  <c r="I628" i="2"/>
  <c r="J628" i="2"/>
  <c r="B629" i="2"/>
  <c r="C629" i="2"/>
  <c r="D629" i="2"/>
  <c r="E629" i="2"/>
  <c r="F629" i="2"/>
  <c r="G629" i="2"/>
  <c r="A629" i="2" s="1"/>
  <c r="I629" i="2"/>
  <c r="J629" i="2"/>
  <c r="B630" i="2"/>
  <c r="C630" i="2"/>
  <c r="D630" i="2"/>
  <c r="E630" i="2"/>
  <c r="F630" i="2"/>
  <c r="G630" i="2"/>
  <c r="A630" i="2" s="1"/>
  <c r="I630" i="2"/>
  <c r="J630" i="2"/>
  <c r="A631" i="2"/>
  <c r="B631" i="2"/>
  <c r="C631" i="2"/>
  <c r="D631" i="2"/>
  <c r="E631" i="2"/>
  <c r="F631" i="2"/>
  <c r="G631" i="2"/>
  <c r="I631" i="2"/>
  <c r="J631" i="2"/>
  <c r="A632" i="2"/>
  <c r="B632" i="2"/>
  <c r="C632" i="2"/>
  <c r="D632" i="2"/>
  <c r="E632" i="2"/>
  <c r="F632" i="2"/>
  <c r="G632" i="2"/>
  <c r="I632" i="2"/>
  <c r="J632" i="2"/>
  <c r="B633" i="2"/>
  <c r="C633" i="2"/>
  <c r="D633" i="2"/>
  <c r="E633" i="2"/>
  <c r="F633" i="2"/>
  <c r="G633" i="2"/>
  <c r="A633" i="2" s="1"/>
  <c r="I633" i="2"/>
  <c r="J633" i="2"/>
  <c r="B634" i="2"/>
  <c r="C634" i="2"/>
  <c r="D634" i="2"/>
  <c r="E634" i="2"/>
  <c r="F634" i="2"/>
  <c r="G634" i="2"/>
  <c r="A634" i="2" s="1"/>
  <c r="I634" i="2"/>
  <c r="J634" i="2"/>
  <c r="A635" i="2"/>
  <c r="B635" i="2"/>
  <c r="C635" i="2"/>
  <c r="D635" i="2"/>
  <c r="E635" i="2"/>
  <c r="F635" i="2"/>
  <c r="G635" i="2"/>
  <c r="I635" i="2"/>
  <c r="J635" i="2"/>
  <c r="A636" i="2"/>
  <c r="B636" i="2"/>
  <c r="C636" i="2"/>
  <c r="D636" i="2"/>
  <c r="E636" i="2"/>
  <c r="F636" i="2"/>
  <c r="G636" i="2"/>
  <c r="I636" i="2"/>
  <c r="J636" i="2"/>
  <c r="B637" i="2"/>
  <c r="C637" i="2"/>
  <c r="D637" i="2"/>
  <c r="E637" i="2"/>
  <c r="F637" i="2"/>
  <c r="G637" i="2"/>
  <c r="A637" i="2" s="1"/>
  <c r="I637" i="2"/>
  <c r="J637" i="2"/>
  <c r="B638" i="2"/>
  <c r="C638" i="2"/>
  <c r="D638" i="2"/>
  <c r="E638" i="2"/>
  <c r="F638" i="2"/>
  <c r="G638" i="2"/>
  <c r="A638" i="2" s="1"/>
  <c r="A639" i="2"/>
  <c r="B639" i="2"/>
  <c r="C639" i="2"/>
  <c r="D639" i="2"/>
  <c r="E639" i="2"/>
  <c r="F639" i="2"/>
  <c r="G639" i="2"/>
  <c r="A640" i="2"/>
  <c r="B640" i="2"/>
  <c r="C640" i="2"/>
  <c r="D640" i="2"/>
  <c r="E640" i="2"/>
  <c r="F640" i="2"/>
  <c r="G640" i="2"/>
  <c r="B641" i="2"/>
  <c r="C641" i="2"/>
  <c r="D641" i="2"/>
  <c r="E641" i="2"/>
  <c r="F641" i="2"/>
  <c r="G641" i="2"/>
  <c r="A641" i="2" s="1"/>
  <c r="B642" i="2"/>
  <c r="C642" i="2"/>
  <c r="D642" i="2"/>
  <c r="E642" i="2"/>
  <c r="H642" i="2"/>
  <c r="A642" i="2" s="1"/>
  <c r="F642" i="2" s="1"/>
  <c r="J642" i="2"/>
  <c r="A643" i="2"/>
  <c r="B643" i="2"/>
  <c r="C643" i="2"/>
  <c r="D643" i="2"/>
  <c r="E643" i="2"/>
  <c r="F643" i="2"/>
  <c r="G643" i="2"/>
  <c r="I643" i="2"/>
  <c r="J643" i="2"/>
  <c r="B644" i="2"/>
  <c r="C644" i="2"/>
  <c r="D644" i="2"/>
  <c r="E644" i="2"/>
  <c r="F644" i="2"/>
  <c r="G644" i="2"/>
  <c r="A644" i="2" s="1"/>
  <c r="I644" i="2"/>
  <c r="J644" i="2"/>
  <c r="B645" i="2"/>
  <c r="C645" i="2"/>
  <c r="D645" i="2"/>
  <c r="E645" i="2"/>
  <c r="F645" i="2"/>
  <c r="G645" i="2"/>
  <c r="A645" i="2" s="1"/>
  <c r="I645" i="2"/>
  <c r="J645" i="2"/>
  <c r="A646" i="2"/>
  <c r="B646" i="2"/>
  <c r="C646" i="2"/>
  <c r="D646" i="2"/>
  <c r="E646" i="2"/>
  <c r="F646" i="2"/>
  <c r="G646" i="2"/>
  <c r="I646" i="2"/>
  <c r="J646" i="2"/>
  <c r="A647" i="2"/>
  <c r="B647" i="2"/>
  <c r="C647" i="2"/>
  <c r="D647" i="2"/>
  <c r="E647" i="2"/>
  <c r="F647" i="2"/>
  <c r="G647" i="2"/>
  <c r="I647" i="2"/>
  <c r="J647" i="2"/>
  <c r="B648" i="2"/>
  <c r="C648" i="2"/>
  <c r="D648" i="2"/>
  <c r="E648" i="2"/>
  <c r="F648" i="2"/>
  <c r="G648" i="2"/>
  <c r="A648" i="2" s="1"/>
  <c r="I648" i="2"/>
  <c r="J648" i="2"/>
  <c r="B649" i="2"/>
  <c r="C649" i="2"/>
  <c r="D649" i="2"/>
  <c r="E649" i="2"/>
  <c r="F649" i="2"/>
  <c r="G649" i="2"/>
  <c r="A649" i="2" s="1"/>
  <c r="I649" i="2"/>
  <c r="J649" i="2"/>
  <c r="A650" i="2"/>
  <c r="B650" i="2"/>
  <c r="C650" i="2"/>
  <c r="D650" i="2"/>
  <c r="E650" i="2"/>
  <c r="F650" i="2"/>
  <c r="G650" i="2"/>
  <c r="I650" i="2"/>
  <c r="J650" i="2"/>
  <c r="A651" i="2"/>
  <c r="B651" i="2"/>
  <c r="C651" i="2"/>
  <c r="D651" i="2"/>
  <c r="E651" i="2"/>
  <c r="F651" i="2"/>
  <c r="G651" i="2"/>
  <c r="I651" i="2"/>
  <c r="J651" i="2"/>
  <c r="B652" i="2"/>
  <c r="C652" i="2"/>
  <c r="D652" i="2"/>
  <c r="E652" i="2"/>
  <c r="F652" i="2"/>
  <c r="G652" i="2"/>
  <c r="A652" i="2" s="1"/>
  <c r="I652" i="2"/>
  <c r="J652" i="2"/>
  <c r="B653" i="2"/>
  <c r="C653" i="2"/>
  <c r="D653" i="2"/>
  <c r="E653" i="2"/>
  <c r="F653" i="2"/>
  <c r="G653" i="2"/>
  <c r="A653" i="2" s="1"/>
  <c r="I653" i="2"/>
  <c r="J653" i="2"/>
  <c r="A654" i="2"/>
  <c r="B654" i="2"/>
  <c r="C654" i="2"/>
  <c r="D654" i="2"/>
  <c r="E654" i="2"/>
  <c r="F654" i="2"/>
  <c r="G654" i="2"/>
  <c r="A655" i="2"/>
  <c r="B655" i="2"/>
  <c r="C655" i="2"/>
  <c r="D655" i="2"/>
  <c r="E655" i="2"/>
  <c r="F655" i="2"/>
  <c r="G655" i="2"/>
  <c r="A656" i="2"/>
  <c r="B656" i="2"/>
  <c r="C656" i="2"/>
  <c r="D656" i="2"/>
  <c r="E656" i="2"/>
  <c r="F656" i="2"/>
  <c r="G656" i="2"/>
  <c r="A657" i="2"/>
  <c r="B657" i="2"/>
  <c r="C657" i="2"/>
  <c r="D657" i="2"/>
  <c r="E657" i="2"/>
  <c r="F657" i="2"/>
  <c r="G657" i="2"/>
  <c r="A658" i="2"/>
  <c r="B658" i="2"/>
  <c r="C658" i="2"/>
  <c r="D658" i="2"/>
  <c r="E658" i="2"/>
  <c r="F658" i="2"/>
  <c r="H658" i="2"/>
  <c r="J658" i="2"/>
  <c r="B659" i="2"/>
  <c r="C659" i="2"/>
  <c r="D659" i="2"/>
  <c r="E659" i="2"/>
  <c r="F659" i="2"/>
  <c r="G659" i="2"/>
  <c r="A659" i="2" s="1"/>
  <c r="I659" i="2"/>
  <c r="J659" i="2"/>
  <c r="B660" i="2"/>
  <c r="C660" i="2"/>
  <c r="D660" i="2"/>
  <c r="E660" i="2"/>
  <c r="F660" i="2"/>
  <c r="G660" i="2"/>
  <c r="A660" i="2" s="1"/>
  <c r="I660" i="2"/>
  <c r="J660" i="2"/>
  <c r="A661" i="2"/>
  <c r="B661" i="2"/>
  <c r="C661" i="2"/>
  <c r="D661" i="2"/>
  <c r="E661" i="2"/>
  <c r="F661" i="2"/>
  <c r="G661" i="2"/>
  <c r="I661" i="2"/>
  <c r="J661" i="2"/>
  <c r="A662" i="2"/>
  <c r="B662" i="2"/>
  <c r="C662" i="2"/>
  <c r="D662" i="2"/>
  <c r="E662" i="2"/>
  <c r="F662" i="2"/>
  <c r="G662" i="2"/>
  <c r="I662" i="2"/>
  <c r="J662" i="2"/>
  <c r="B663" i="2"/>
  <c r="C663" i="2"/>
  <c r="D663" i="2"/>
  <c r="E663" i="2"/>
  <c r="F663" i="2"/>
  <c r="G663" i="2"/>
  <c r="A663" i="2" s="1"/>
  <c r="I663" i="2"/>
  <c r="J663" i="2"/>
  <c r="B664" i="2"/>
  <c r="C664" i="2"/>
  <c r="D664" i="2"/>
  <c r="E664" i="2"/>
  <c r="F664" i="2"/>
  <c r="G664" i="2"/>
  <c r="A664" i="2" s="1"/>
  <c r="I664" i="2"/>
  <c r="J664" i="2"/>
  <c r="A665" i="2"/>
  <c r="B665" i="2"/>
  <c r="C665" i="2"/>
  <c r="D665" i="2"/>
  <c r="E665" i="2"/>
  <c r="F665" i="2"/>
  <c r="G665" i="2"/>
  <c r="I665" i="2"/>
  <c r="J665" i="2"/>
  <c r="A666" i="2"/>
  <c r="B666" i="2"/>
  <c r="C666" i="2"/>
  <c r="D666" i="2"/>
  <c r="E666" i="2"/>
  <c r="F666" i="2"/>
  <c r="G666" i="2"/>
  <c r="I666" i="2"/>
  <c r="J666" i="2"/>
  <c r="B667" i="2"/>
  <c r="C667" i="2"/>
  <c r="D667" i="2"/>
  <c r="E667" i="2"/>
  <c r="F667" i="2"/>
  <c r="G667" i="2"/>
  <c r="A667" i="2" s="1"/>
  <c r="I667" i="2"/>
  <c r="J667" i="2"/>
  <c r="B668" i="2"/>
  <c r="C668" i="2"/>
  <c r="D668" i="2"/>
  <c r="E668" i="2"/>
  <c r="F668" i="2"/>
  <c r="G668" i="2"/>
  <c r="A668" i="2" s="1"/>
  <c r="I668" i="2"/>
  <c r="J668" i="2"/>
  <c r="A669" i="2"/>
  <c r="B669" i="2"/>
  <c r="C669" i="2"/>
  <c r="D669" i="2"/>
  <c r="E669" i="2"/>
  <c r="F669" i="2"/>
  <c r="G669" i="2"/>
  <c r="I669" i="2"/>
  <c r="J669" i="2"/>
  <c r="A670" i="2"/>
  <c r="B670" i="2"/>
  <c r="C670" i="2"/>
  <c r="D670" i="2"/>
  <c r="E670" i="2"/>
  <c r="F670" i="2"/>
  <c r="G670" i="2"/>
  <c r="A671" i="2"/>
  <c r="B671" i="2"/>
  <c r="C671" i="2"/>
  <c r="D671" i="2"/>
  <c r="E671" i="2"/>
  <c r="F671" i="2"/>
  <c r="G671" i="2"/>
  <c r="B672" i="2"/>
  <c r="C672" i="2"/>
  <c r="D672" i="2"/>
  <c r="E672" i="2"/>
  <c r="F672" i="2"/>
  <c r="G672" i="2"/>
  <c r="A672" i="2" s="1"/>
  <c r="B673" i="2"/>
  <c r="C673" i="2"/>
  <c r="D673" i="2"/>
  <c r="E673" i="2"/>
  <c r="F673" i="2"/>
  <c r="G673" i="2"/>
  <c r="A673" i="2" s="1"/>
  <c r="B674" i="2"/>
  <c r="C674" i="2"/>
  <c r="D674" i="2"/>
  <c r="E674" i="2"/>
  <c r="F674" i="2"/>
  <c r="H674" i="2"/>
  <c r="A674" i="2" s="1"/>
  <c r="J674" i="2"/>
  <c r="A675" i="2"/>
  <c r="B675" i="2"/>
  <c r="C675" i="2"/>
  <c r="D675" i="2"/>
  <c r="E675" i="2"/>
  <c r="F675" i="2"/>
  <c r="G675" i="2"/>
  <c r="I675" i="2"/>
  <c r="J675" i="2"/>
  <c r="A676" i="2"/>
  <c r="B676" i="2"/>
  <c r="C676" i="2"/>
  <c r="D676" i="2"/>
  <c r="E676" i="2"/>
  <c r="F676" i="2"/>
  <c r="G676" i="2"/>
  <c r="I676" i="2"/>
  <c r="J676" i="2"/>
  <c r="B677" i="2"/>
  <c r="C677" i="2"/>
  <c r="D677" i="2"/>
  <c r="E677" i="2"/>
  <c r="F677" i="2"/>
  <c r="G677" i="2"/>
  <c r="A677" i="2" s="1"/>
  <c r="I677" i="2"/>
  <c r="J677" i="2"/>
  <c r="B678" i="2"/>
  <c r="C678" i="2"/>
  <c r="D678" i="2"/>
  <c r="E678" i="2"/>
  <c r="F678" i="2"/>
  <c r="G678" i="2"/>
  <c r="A678" i="2" s="1"/>
  <c r="I678" i="2"/>
  <c r="J678" i="2"/>
  <c r="B679" i="2"/>
  <c r="C679" i="2"/>
  <c r="D679" i="2"/>
  <c r="E679" i="2"/>
  <c r="F679" i="2"/>
  <c r="G679" i="2"/>
  <c r="A679" i="2" s="1"/>
  <c r="I679" i="2"/>
  <c r="J679" i="2"/>
  <c r="A680" i="2"/>
  <c r="B680" i="2"/>
  <c r="C680" i="2"/>
  <c r="D680" i="2"/>
  <c r="E680" i="2"/>
  <c r="F680" i="2"/>
  <c r="G680" i="2"/>
  <c r="I680" i="2"/>
  <c r="J680" i="2"/>
  <c r="A681" i="2"/>
  <c r="B681" i="2"/>
  <c r="C681" i="2"/>
  <c r="D681" i="2"/>
  <c r="E681" i="2"/>
  <c r="F681" i="2"/>
  <c r="G681" i="2"/>
  <c r="I681" i="2"/>
  <c r="J681" i="2"/>
  <c r="B682" i="2"/>
  <c r="C682" i="2"/>
  <c r="D682" i="2"/>
  <c r="E682" i="2"/>
  <c r="F682" i="2"/>
  <c r="G682" i="2"/>
  <c r="A682" i="2" s="1"/>
  <c r="I682" i="2"/>
  <c r="J682" i="2"/>
  <c r="B683" i="2"/>
  <c r="C683" i="2"/>
  <c r="D683" i="2"/>
  <c r="E683" i="2"/>
  <c r="F683" i="2"/>
  <c r="G683" i="2"/>
  <c r="A683" i="2" s="1"/>
  <c r="I683" i="2"/>
  <c r="J683" i="2"/>
  <c r="A684" i="2"/>
  <c r="B684" i="2"/>
  <c r="C684" i="2"/>
  <c r="D684" i="2"/>
  <c r="E684" i="2"/>
  <c r="F684" i="2"/>
  <c r="G684" i="2"/>
  <c r="I684" i="2"/>
  <c r="J684" i="2"/>
  <c r="A685" i="2"/>
  <c r="B685" i="2"/>
  <c r="C685" i="2"/>
  <c r="D685" i="2"/>
  <c r="E685" i="2"/>
  <c r="F685" i="2"/>
  <c r="G685" i="2"/>
  <c r="I685" i="2"/>
  <c r="J685" i="2"/>
  <c r="B686" i="2"/>
  <c r="C686" i="2"/>
  <c r="D686" i="2"/>
  <c r="E686" i="2"/>
  <c r="F686" i="2"/>
  <c r="G686" i="2"/>
  <c r="A686" i="2" s="1"/>
  <c r="A687" i="2"/>
  <c r="B687" i="2"/>
  <c r="C687" i="2"/>
  <c r="D687" i="2"/>
  <c r="E687" i="2"/>
  <c r="F687" i="2"/>
  <c r="G687" i="2"/>
  <c r="B688" i="2"/>
  <c r="C688" i="2"/>
  <c r="D688" i="2"/>
  <c r="E688" i="2"/>
  <c r="F688" i="2"/>
  <c r="G688" i="2"/>
  <c r="A688" i="2" s="1"/>
  <c r="B689" i="2"/>
  <c r="C689" i="2"/>
  <c r="D689" i="2"/>
  <c r="E689" i="2"/>
  <c r="F689" i="2"/>
  <c r="G689" i="2"/>
  <c r="A689" i="2" s="1"/>
  <c r="A690" i="2"/>
  <c r="F690" i="2" s="1"/>
  <c r="B690" i="2"/>
  <c r="C690" i="2"/>
  <c r="D690" i="2"/>
  <c r="E690" i="2"/>
  <c r="H690" i="2"/>
  <c r="J690" i="2"/>
  <c r="A691" i="2"/>
  <c r="B691" i="2"/>
  <c r="C691" i="2"/>
  <c r="D691" i="2"/>
  <c r="E691" i="2"/>
  <c r="F691" i="2"/>
  <c r="G691" i="2"/>
  <c r="I691" i="2"/>
  <c r="J691" i="2"/>
  <c r="B692" i="2"/>
  <c r="C692" i="2"/>
  <c r="D692" i="2"/>
  <c r="E692" i="2"/>
  <c r="F692" i="2"/>
  <c r="G692" i="2"/>
  <c r="A692" i="2" s="1"/>
  <c r="I692" i="2"/>
  <c r="J692" i="2"/>
  <c r="B693" i="2"/>
  <c r="C693" i="2"/>
  <c r="D693" i="2"/>
  <c r="E693" i="2"/>
  <c r="F693" i="2"/>
  <c r="G693" i="2"/>
  <c r="A693" i="2" s="1"/>
  <c r="I693" i="2"/>
  <c r="J693" i="2"/>
  <c r="A694" i="2"/>
  <c r="B694" i="2"/>
  <c r="C694" i="2"/>
  <c r="D694" i="2"/>
  <c r="E694" i="2"/>
  <c r="F694" i="2"/>
  <c r="G694" i="2"/>
  <c r="I694" i="2"/>
  <c r="J694" i="2"/>
  <c r="A695" i="2"/>
  <c r="B695" i="2"/>
  <c r="C695" i="2"/>
  <c r="D695" i="2"/>
  <c r="E695" i="2"/>
  <c r="F695" i="2"/>
  <c r="G695" i="2"/>
  <c r="I695" i="2"/>
  <c r="J695" i="2"/>
  <c r="B696" i="2"/>
  <c r="C696" i="2"/>
  <c r="D696" i="2"/>
  <c r="E696" i="2"/>
  <c r="F696" i="2"/>
  <c r="G696" i="2"/>
  <c r="A696" i="2" s="1"/>
  <c r="I696" i="2"/>
  <c r="J696" i="2"/>
  <c r="B697" i="2"/>
  <c r="C697" i="2"/>
  <c r="D697" i="2"/>
  <c r="E697" i="2"/>
  <c r="F697" i="2"/>
  <c r="G697" i="2"/>
  <c r="A697" i="2" s="1"/>
  <c r="I697" i="2"/>
  <c r="J697" i="2"/>
  <c r="A698" i="2"/>
  <c r="B698" i="2"/>
  <c r="C698" i="2"/>
  <c r="D698" i="2"/>
  <c r="E698" i="2"/>
  <c r="F698" i="2"/>
  <c r="G698" i="2"/>
  <c r="I698" i="2"/>
  <c r="J698" i="2"/>
  <c r="A699" i="2"/>
  <c r="B699" i="2"/>
  <c r="C699" i="2"/>
  <c r="D699" i="2"/>
  <c r="E699" i="2"/>
  <c r="F699" i="2"/>
  <c r="G699" i="2"/>
  <c r="I699" i="2"/>
  <c r="J699" i="2"/>
  <c r="B700" i="2"/>
  <c r="C700" i="2"/>
  <c r="D700" i="2"/>
  <c r="E700" i="2"/>
  <c r="F700" i="2"/>
  <c r="G700" i="2"/>
  <c r="A700" i="2" s="1"/>
  <c r="I700" i="2"/>
  <c r="J700" i="2"/>
  <c r="B701" i="2"/>
  <c r="C701" i="2"/>
  <c r="D701" i="2"/>
  <c r="E701" i="2"/>
  <c r="F701" i="2"/>
  <c r="G701" i="2"/>
  <c r="A701" i="2" s="1"/>
  <c r="I701" i="2"/>
  <c r="J701" i="2"/>
  <c r="A702" i="2"/>
  <c r="B702" i="2"/>
  <c r="C702" i="2"/>
  <c r="D702" i="2"/>
  <c r="E702" i="2"/>
  <c r="F702" i="2"/>
  <c r="G702" i="2"/>
  <c r="B703" i="2"/>
  <c r="C703" i="2"/>
  <c r="D703" i="2"/>
  <c r="E703" i="2"/>
  <c r="F703" i="2"/>
  <c r="G703" i="2"/>
  <c r="A703" i="2" s="1"/>
  <c r="A704" i="2"/>
  <c r="B704" i="2"/>
  <c r="C704" i="2"/>
  <c r="D704" i="2"/>
  <c r="E704" i="2"/>
  <c r="F704" i="2"/>
  <c r="G704" i="2"/>
  <c r="A705" i="2"/>
  <c r="B705" i="2"/>
  <c r="C705" i="2"/>
  <c r="D705" i="2"/>
  <c r="E705" i="2"/>
  <c r="F705" i="2"/>
  <c r="G705" i="2"/>
  <c r="A706" i="2"/>
  <c r="F706" i="2" s="1"/>
  <c r="B706" i="2"/>
  <c r="C706" i="2"/>
  <c r="D706" i="2"/>
  <c r="E706" i="2"/>
  <c r="H706" i="2"/>
  <c r="J706" i="2"/>
  <c r="A707" i="2"/>
  <c r="B707" i="2"/>
  <c r="C707" i="2"/>
  <c r="D707" i="2"/>
  <c r="E707" i="2"/>
  <c r="F707" i="2"/>
  <c r="G707" i="2"/>
  <c r="I707" i="2"/>
  <c r="J707" i="2"/>
  <c r="B708" i="2"/>
  <c r="C708" i="2"/>
  <c r="D708" i="2"/>
  <c r="E708" i="2"/>
  <c r="F708" i="2"/>
  <c r="G708" i="2"/>
  <c r="A708" i="2" s="1"/>
  <c r="I708" i="2"/>
  <c r="J708" i="2"/>
  <c r="B709" i="2"/>
  <c r="C709" i="2"/>
  <c r="D709" i="2"/>
  <c r="E709" i="2"/>
  <c r="F709" i="2"/>
  <c r="G709" i="2"/>
  <c r="A709" i="2" s="1"/>
  <c r="I709" i="2"/>
  <c r="J709" i="2"/>
  <c r="A710" i="2"/>
  <c r="B710" i="2"/>
  <c r="C710" i="2"/>
  <c r="D710" i="2"/>
  <c r="E710" i="2"/>
  <c r="F710" i="2"/>
  <c r="G710" i="2"/>
  <c r="I710" i="2"/>
  <c r="J710" i="2"/>
  <c r="A711" i="2"/>
  <c r="B711" i="2"/>
  <c r="C711" i="2"/>
  <c r="D711" i="2"/>
  <c r="E711" i="2"/>
  <c r="F711" i="2"/>
  <c r="G711" i="2"/>
  <c r="I711" i="2"/>
  <c r="J711" i="2"/>
  <c r="B712" i="2"/>
  <c r="C712" i="2"/>
  <c r="D712" i="2"/>
  <c r="E712" i="2"/>
  <c r="F712" i="2"/>
  <c r="G712" i="2"/>
  <c r="A712" i="2" s="1"/>
  <c r="I712" i="2"/>
  <c r="J712" i="2"/>
  <c r="B713" i="2"/>
  <c r="C713" i="2"/>
  <c r="D713" i="2"/>
  <c r="E713" i="2"/>
  <c r="F713" i="2"/>
  <c r="G713" i="2"/>
  <c r="A713" i="2" s="1"/>
  <c r="I713" i="2"/>
  <c r="J713" i="2"/>
  <c r="A714" i="2"/>
  <c r="B714" i="2"/>
  <c r="C714" i="2"/>
  <c r="D714" i="2"/>
  <c r="E714" i="2"/>
  <c r="F714" i="2"/>
  <c r="G714" i="2"/>
  <c r="I714" i="2"/>
  <c r="J714" i="2"/>
  <c r="A715" i="2"/>
  <c r="B715" i="2"/>
  <c r="C715" i="2"/>
  <c r="D715" i="2"/>
  <c r="E715" i="2"/>
  <c r="F715" i="2"/>
  <c r="G715" i="2"/>
  <c r="I715" i="2"/>
  <c r="J715" i="2"/>
  <c r="B716" i="2"/>
  <c r="C716" i="2"/>
  <c r="D716" i="2"/>
  <c r="E716" i="2"/>
  <c r="F716" i="2"/>
  <c r="G716" i="2"/>
  <c r="A716" i="2" s="1"/>
  <c r="I716" i="2"/>
  <c r="J716" i="2"/>
  <c r="B717" i="2"/>
  <c r="C717" i="2"/>
  <c r="D717" i="2"/>
  <c r="E717" i="2"/>
  <c r="F717" i="2"/>
  <c r="G717" i="2"/>
  <c r="A717" i="2" s="1"/>
  <c r="I717" i="2"/>
  <c r="J717" i="2"/>
  <c r="A718" i="2"/>
  <c r="B718" i="2"/>
  <c r="C718" i="2"/>
  <c r="D718" i="2"/>
  <c r="E718" i="2"/>
  <c r="F718" i="2"/>
  <c r="G718" i="2"/>
  <c r="B719" i="2"/>
  <c r="C719" i="2"/>
  <c r="D719" i="2"/>
  <c r="E719" i="2"/>
  <c r="F719" i="2"/>
  <c r="G719" i="2"/>
  <c r="A719" i="2" s="1"/>
  <c r="B720" i="2"/>
  <c r="C720" i="2"/>
  <c r="D720" i="2"/>
  <c r="E720" i="2"/>
  <c r="F720" i="2"/>
  <c r="G720" i="2"/>
  <c r="A720" i="2" s="1"/>
  <c r="A721" i="2"/>
  <c r="B721" i="2"/>
  <c r="C721" i="2"/>
  <c r="D721" i="2"/>
  <c r="E721" i="2"/>
  <c r="F721" i="2"/>
  <c r="G721" i="2"/>
  <c r="B722" i="2"/>
  <c r="C722" i="2"/>
  <c r="D722" i="2"/>
  <c r="E722" i="2"/>
  <c r="H722" i="2"/>
  <c r="A722" i="2" s="1"/>
  <c r="F722" i="2" s="1"/>
  <c r="J722" i="2"/>
  <c r="A723" i="2"/>
  <c r="B723" i="2"/>
  <c r="C723" i="2"/>
  <c r="D723" i="2"/>
  <c r="E723" i="2"/>
  <c r="F723" i="2"/>
  <c r="G723" i="2"/>
  <c r="I723" i="2"/>
  <c r="J723" i="2"/>
  <c r="A724" i="2"/>
  <c r="B724" i="2"/>
  <c r="C724" i="2"/>
  <c r="D724" i="2"/>
  <c r="E724" i="2"/>
  <c r="F724" i="2"/>
  <c r="G724" i="2"/>
  <c r="I724" i="2"/>
  <c r="J724" i="2"/>
  <c r="B725" i="2"/>
  <c r="C725" i="2"/>
  <c r="D725" i="2"/>
  <c r="E725" i="2"/>
  <c r="F725" i="2"/>
  <c r="G725" i="2"/>
  <c r="A725" i="2" s="1"/>
  <c r="I725" i="2"/>
  <c r="J725" i="2"/>
  <c r="B726" i="2"/>
  <c r="C726" i="2"/>
  <c r="D726" i="2"/>
  <c r="E726" i="2"/>
  <c r="F726" i="2"/>
  <c r="G726" i="2"/>
  <c r="A726" i="2" s="1"/>
  <c r="I726" i="2"/>
  <c r="J726" i="2"/>
  <c r="B727" i="2"/>
  <c r="C727" i="2"/>
  <c r="D727" i="2"/>
  <c r="E727" i="2"/>
  <c r="F727" i="2"/>
  <c r="G727" i="2"/>
  <c r="A727" i="2" s="1"/>
  <c r="I727" i="2"/>
  <c r="J727" i="2"/>
  <c r="A728" i="2"/>
  <c r="B728" i="2"/>
  <c r="C728" i="2"/>
  <c r="D728" i="2"/>
  <c r="E728" i="2"/>
  <c r="F728" i="2"/>
  <c r="G728" i="2"/>
  <c r="I728" i="2"/>
  <c r="J728" i="2"/>
  <c r="A729" i="2"/>
  <c r="B729" i="2"/>
  <c r="C729" i="2"/>
  <c r="D729" i="2"/>
  <c r="E729" i="2"/>
  <c r="F729" i="2"/>
  <c r="G729" i="2"/>
  <c r="I729" i="2"/>
  <c r="J729" i="2"/>
  <c r="B730" i="2"/>
  <c r="C730" i="2"/>
  <c r="D730" i="2"/>
  <c r="E730" i="2"/>
  <c r="F730" i="2"/>
  <c r="G730" i="2"/>
  <c r="A730" i="2" s="1"/>
  <c r="I730" i="2"/>
  <c r="J730" i="2"/>
  <c r="A731" i="2"/>
  <c r="B731" i="2"/>
  <c r="C731" i="2"/>
  <c r="D731" i="2"/>
  <c r="E731" i="2"/>
  <c r="F731" i="2"/>
  <c r="G731" i="2"/>
  <c r="I731" i="2"/>
  <c r="J731" i="2"/>
  <c r="A732" i="2"/>
  <c r="B732" i="2"/>
  <c r="C732" i="2"/>
  <c r="D732" i="2"/>
  <c r="E732" i="2"/>
  <c r="F732" i="2"/>
  <c r="G732" i="2"/>
  <c r="I732" i="2"/>
  <c r="J732" i="2"/>
  <c r="B733" i="2"/>
  <c r="C733" i="2"/>
  <c r="D733" i="2"/>
  <c r="E733" i="2"/>
  <c r="F733" i="2"/>
  <c r="G733" i="2"/>
  <c r="A733" i="2" s="1"/>
  <c r="I733" i="2"/>
  <c r="J733" i="2"/>
  <c r="B734" i="2"/>
  <c r="C734" i="2"/>
  <c r="D734" i="2"/>
  <c r="E734" i="2"/>
  <c r="F734" i="2"/>
  <c r="G734" i="2"/>
  <c r="A734" i="2" s="1"/>
  <c r="B735" i="2"/>
  <c r="C735" i="2"/>
  <c r="D735" i="2"/>
  <c r="E735" i="2"/>
  <c r="F735" i="2"/>
  <c r="G735" i="2"/>
  <c r="A735" i="2" s="1"/>
  <c r="B736" i="2"/>
  <c r="C736" i="2"/>
  <c r="D736" i="2"/>
  <c r="E736" i="2"/>
  <c r="F736" i="2"/>
  <c r="G736" i="2"/>
  <c r="A736" i="2" s="1"/>
  <c r="A737" i="2"/>
  <c r="B737" i="2"/>
  <c r="C737" i="2"/>
  <c r="D737" i="2"/>
  <c r="E737" i="2"/>
  <c r="F737" i="2"/>
  <c r="G737" i="2"/>
  <c r="B738" i="2"/>
  <c r="C738" i="2"/>
  <c r="D738" i="2"/>
  <c r="E738" i="2"/>
  <c r="H738" i="2"/>
  <c r="A738" i="2" s="1"/>
  <c r="F738" i="2" s="1"/>
  <c r="J738" i="2"/>
  <c r="A739" i="2"/>
  <c r="B739" i="2"/>
  <c r="C739" i="2"/>
  <c r="D739" i="2"/>
  <c r="E739" i="2"/>
  <c r="F739" i="2"/>
  <c r="G739" i="2"/>
  <c r="I739" i="2"/>
  <c r="J739" i="2"/>
  <c r="A740" i="2"/>
  <c r="B740" i="2"/>
  <c r="C740" i="2"/>
  <c r="D740" i="2"/>
  <c r="E740" i="2"/>
  <c r="F740" i="2"/>
  <c r="G740" i="2"/>
  <c r="I740" i="2"/>
  <c r="J740" i="2"/>
  <c r="B741" i="2"/>
  <c r="C741" i="2"/>
  <c r="D741" i="2"/>
  <c r="E741" i="2"/>
  <c r="F741" i="2"/>
  <c r="G741" i="2"/>
  <c r="A741" i="2" s="1"/>
  <c r="I741" i="2"/>
  <c r="J741" i="2"/>
  <c r="B742" i="2"/>
  <c r="C742" i="2"/>
  <c r="D742" i="2"/>
  <c r="E742" i="2"/>
  <c r="F742" i="2"/>
  <c r="G742" i="2"/>
  <c r="A742" i="2" s="1"/>
  <c r="I742" i="2"/>
  <c r="J742" i="2"/>
  <c r="A743" i="2"/>
  <c r="B743" i="2"/>
  <c r="C743" i="2"/>
  <c r="D743" i="2"/>
  <c r="E743" i="2"/>
  <c r="F743" i="2"/>
  <c r="G743" i="2"/>
  <c r="I743" i="2"/>
  <c r="J743" i="2"/>
  <c r="A744" i="2"/>
  <c r="B744" i="2"/>
  <c r="C744" i="2"/>
  <c r="D744" i="2"/>
  <c r="E744" i="2"/>
  <c r="F744" i="2"/>
  <c r="G744" i="2"/>
  <c r="I744" i="2"/>
  <c r="J744" i="2"/>
  <c r="B745" i="2"/>
  <c r="C745" i="2"/>
  <c r="D745" i="2"/>
  <c r="E745" i="2"/>
  <c r="F745" i="2"/>
  <c r="G745" i="2"/>
  <c r="A745" i="2" s="1"/>
  <c r="I745" i="2"/>
  <c r="J745" i="2"/>
  <c r="B746" i="2"/>
  <c r="C746" i="2"/>
  <c r="D746" i="2"/>
  <c r="E746" i="2"/>
  <c r="F746" i="2"/>
  <c r="G746" i="2"/>
  <c r="A746" i="2" s="1"/>
  <c r="I746" i="2"/>
  <c r="J746" i="2"/>
  <c r="A747" i="2"/>
  <c r="B747" i="2"/>
  <c r="C747" i="2"/>
  <c r="D747" i="2"/>
  <c r="E747" i="2"/>
  <c r="F747" i="2"/>
  <c r="G747" i="2"/>
  <c r="I747" i="2"/>
  <c r="J747" i="2"/>
  <c r="A748" i="2"/>
  <c r="B748" i="2"/>
  <c r="C748" i="2"/>
  <c r="D748" i="2"/>
  <c r="E748" i="2"/>
  <c r="F748" i="2"/>
  <c r="G748" i="2"/>
  <c r="I748" i="2"/>
  <c r="J748" i="2"/>
  <c r="B749" i="2"/>
  <c r="C749" i="2"/>
  <c r="D749" i="2"/>
  <c r="E749" i="2"/>
  <c r="F749" i="2"/>
  <c r="G749" i="2"/>
  <c r="A749" i="2" s="1"/>
  <c r="I749" i="2"/>
  <c r="J749" i="2"/>
  <c r="B750" i="2"/>
  <c r="C750" i="2"/>
  <c r="D750" i="2"/>
  <c r="E750" i="2"/>
  <c r="F750" i="2"/>
  <c r="G750" i="2"/>
  <c r="A750" i="2" s="1"/>
  <c r="A751" i="2"/>
  <c r="B751" i="2"/>
  <c r="C751" i="2"/>
  <c r="D751" i="2"/>
  <c r="E751" i="2"/>
  <c r="F751" i="2"/>
  <c r="G751" i="2"/>
  <c r="A752" i="2"/>
  <c r="B752" i="2"/>
  <c r="C752" i="2"/>
  <c r="D752" i="2"/>
  <c r="E752" i="2"/>
  <c r="F752" i="2"/>
  <c r="G752" i="2"/>
  <c r="A753" i="2"/>
  <c r="B753" i="2"/>
  <c r="C753" i="2"/>
  <c r="D753" i="2"/>
  <c r="E753" i="2"/>
  <c r="F753" i="2"/>
  <c r="G753" i="2"/>
  <c r="B754" i="2"/>
  <c r="C754" i="2"/>
  <c r="D754" i="2"/>
  <c r="E754" i="2"/>
  <c r="F754" i="2"/>
  <c r="H754" i="2"/>
  <c r="A754" i="2" s="1"/>
  <c r="J754" i="2"/>
  <c r="B755" i="2"/>
  <c r="C755" i="2"/>
  <c r="D755" i="2"/>
  <c r="E755" i="2"/>
  <c r="F755" i="2"/>
  <c r="G755" i="2"/>
  <c r="A755" i="2" s="1"/>
  <c r="I755" i="2"/>
  <c r="J755" i="2"/>
  <c r="A756" i="2"/>
  <c r="B756" i="2"/>
  <c r="C756" i="2"/>
  <c r="D756" i="2"/>
  <c r="E756" i="2"/>
  <c r="F756" i="2"/>
  <c r="G756" i="2"/>
  <c r="I756" i="2"/>
  <c r="J756" i="2"/>
  <c r="A757" i="2"/>
  <c r="B757" i="2"/>
  <c r="C757" i="2"/>
  <c r="D757" i="2"/>
  <c r="E757" i="2"/>
  <c r="F757" i="2"/>
  <c r="G757" i="2"/>
  <c r="I757" i="2"/>
  <c r="J757" i="2"/>
  <c r="B758" i="2"/>
  <c r="C758" i="2"/>
  <c r="D758" i="2"/>
  <c r="E758" i="2"/>
  <c r="F758" i="2"/>
  <c r="G758" i="2"/>
  <c r="A758" i="2" s="1"/>
  <c r="I758" i="2"/>
  <c r="J758" i="2"/>
  <c r="B759" i="2"/>
  <c r="C759" i="2"/>
  <c r="D759" i="2"/>
  <c r="E759" i="2"/>
  <c r="F759" i="2"/>
  <c r="G759" i="2"/>
  <c r="A759" i="2" s="1"/>
  <c r="I759" i="2"/>
  <c r="J759" i="2"/>
  <c r="A760" i="2"/>
  <c r="B760" i="2"/>
  <c r="C760" i="2"/>
  <c r="D760" i="2"/>
  <c r="E760" i="2"/>
  <c r="F760" i="2"/>
  <c r="G760" i="2"/>
  <c r="I760" i="2"/>
  <c r="J760" i="2"/>
  <c r="A761" i="2"/>
  <c r="B761" i="2"/>
  <c r="C761" i="2"/>
  <c r="D761" i="2"/>
  <c r="E761" i="2"/>
  <c r="F761" i="2"/>
  <c r="G761" i="2"/>
  <c r="I761" i="2"/>
  <c r="J761" i="2"/>
  <c r="B762" i="2"/>
  <c r="C762" i="2"/>
  <c r="D762" i="2"/>
  <c r="E762" i="2"/>
  <c r="F762" i="2"/>
  <c r="G762" i="2"/>
  <c r="A762" i="2" s="1"/>
  <c r="I762" i="2"/>
  <c r="J762" i="2"/>
  <c r="B763" i="2"/>
  <c r="C763" i="2"/>
  <c r="D763" i="2"/>
  <c r="E763" i="2"/>
  <c r="F763" i="2"/>
  <c r="G763" i="2"/>
  <c r="A763" i="2" s="1"/>
  <c r="I763" i="2"/>
  <c r="J763" i="2"/>
  <c r="A764" i="2"/>
  <c r="B764" i="2"/>
  <c r="C764" i="2"/>
  <c r="D764" i="2"/>
  <c r="E764" i="2"/>
  <c r="F764" i="2"/>
  <c r="G764" i="2"/>
  <c r="I764" i="2"/>
  <c r="J764" i="2"/>
  <c r="A765" i="2"/>
  <c r="B765" i="2"/>
  <c r="C765" i="2"/>
  <c r="D765" i="2"/>
  <c r="E765" i="2"/>
  <c r="F765" i="2"/>
  <c r="G765" i="2"/>
  <c r="I765" i="2"/>
  <c r="J765" i="2"/>
  <c r="B766" i="2"/>
  <c r="C766" i="2"/>
  <c r="D766" i="2"/>
  <c r="E766" i="2"/>
  <c r="F766" i="2"/>
  <c r="G766" i="2"/>
  <c r="A766" i="2" s="1"/>
  <c r="B767" i="2"/>
  <c r="C767" i="2"/>
  <c r="D767" i="2"/>
  <c r="E767" i="2"/>
  <c r="F767" i="2"/>
  <c r="G767" i="2"/>
  <c r="A767" i="2" s="1"/>
  <c r="A768" i="2"/>
  <c r="B768" i="2"/>
  <c r="C768" i="2"/>
  <c r="D768" i="2"/>
  <c r="E768" i="2"/>
  <c r="F768" i="2"/>
  <c r="G768" i="2"/>
  <c r="B769" i="2"/>
  <c r="C769" i="2"/>
  <c r="D769" i="2"/>
  <c r="E769" i="2"/>
  <c r="F769" i="2"/>
  <c r="G769" i="2"/>
  <c r="A769" i="2" s="1"/>
  <c r="B770" i="2"/>
  <c r="C770" i="2"/>
  <c r="D770" i="2"/>
  <c r="E770" i="2"/>
  <c r="F770" i="2"/>
  <c r="H770" i="2"/>
  <c r="A770" i="2" s="1"/>
  <c r="J770" i="2"/>
  <c r="O770" i="2"/>
  <c r="O786" i="2" s="1"/>
  <c r="B771" i="2"/>
  <c r="C771" i="2"/>
  <c r="D771" i="2"/>
  <c r="E771" i="2"/>
  <c r="F771" i="2"/>
  <c r="G771" i="2"/>
  <c r="A771" i="2" s="1"/>
  <c r="I771" i="2"/>
  <c r="J771" i="2"/>
  <c r="A772" i="2"/>
  <c r="B772" i="2"/>
  <c r="C772" i="2"/>
  <c r="D772" i="2"/>
  <c r="E772" i="2"/>
  <c r="F772" i="2"/>
  <c r="G772" i="2"/>
  <c r="I772" i="2"/>
  <c r="J772" i="2"/>
  <c r="A773" i="2"/>
  <c r="B773" i="2"/>
  <c r="C773" i="2"/>
  <c r="D773" i="2"/>
  <c r="E773" i="2"/>
  <c r="F773" i="2"/>
  <c r="G773" i="2"/>
  <c r="I773" i="2"/>
  <c r="J773" i="2"/>
  <c r="B774" i="2"/>
  <c r="C774" i="2"/>
  <c r="D774" i="2"/>
  <c r="E774" i="2"/>
  <c r="F774" i="2"/>
  <c r="G774" i="2"/>
  <c r="A774" i="2" s="1"/>
  <c r="I774" i="2"/>
  <c r="J774" i="2"/>
  <c r="A775" i="2"/>
  <c r="B775" i="2"/>
  <c r="C775" i="2"/>
  <c r="D775" i="2"/>
  <c r="E775" i="2"/>
  <c r="F775" i="2"/>
  <c r="G775" i="2"/>
  <c r="I775" i="2"/>
  <c r="J775" i="2"/>
  <c r="A776" i="2"/>
  <c r="B776" i="2"/>
  <c r="C776" i="2"/>
  <c r="D776" i="2"/>
  <c r="E776" i="2"/>
  <c r="F776" i="2"/>
  <c r="G776" i="2"/>
  <c r="I776" i="2"/>
  <c r="J776" i="2"/>
  <c r="B777" i="2"/>
  <c r="C777" i="2"/>
  <c r="D777" i="2"/>
  <c r="E777" i="2"/>
  <c r="F777" i="2"/>
  <c r="G777" i="2"/>
  <c r="A777" i="2" s="1"/>
  <c r="I777" i="2"/>
  <c r="J777" i="2"/>
  <c r="B778" i="2"/>
  <c r="C778" i="2"/>
  <c r="D778" i="2"/>
  <c r="E778" i="2"/>
  <c r="F778" i="2"/>
  <c r="G778" i="2"/>
  <c r="A778" i="2" s="1"/>
  <c r="I778" i="2"/>
  <c r="J778" i="2"/>
  <c r="A779" i="2"/>
  <c r="B779" i="2"/>
  <c r="C779" i="2"/>
  <c r="D779" i="2"/>
  <c r="E779" i="2"/>
  <c r="F779" i="2"/>
  <c r="G779" i="2"/>
  <c r="I779" i="2"/>
  <c r="J779" i="2"/>
  <c r="A780" i="2"/>
  <c r="B780" i="2"/>
  <c r="C780" i="2"/>
  <c r="D780" i="2"/>
  <c r="E780" i="2"/>
  <c r="F780" i="2"/>
  <c r="G780" i="2"/>
  <c r="I780" i="2"/>
  <c r="J780" i="2"/>
  <c r="B781" i="2"/>
  <c r="C781" i="2"/>
  <c r="D781" i="2"/>
  <c r="E781" i="2"/>
  <c r="F781" i="2"/>
  <c r="G781" i="2"/>
  <c r="A781" i="2" s="1"/>
  <c r="I781" i="2"/>
  <c r="J781" i="2"/>
  <c r="B782" i="2"/>
  <c r="C782" i="2"/>
  <c r="D782" i="2"/>
  <c r="E782" i="2"/>
  <c r="F782" i="2"/>
  <c r="G782" i="2"/>
  <c r="A782" i="2" s="1"/>
  <c r="B783" i="2"/>
  <c r="C783" i="2"/>
  <c r="D783" i="2"/>
  <c r="E783" i="2"/>
  <c r="F783" i="2"/>
  <c r="G783" i="2"/>
  <c r="A783" i="2" s="1"/>
  <c r="A784" i="2"/>
  <c r="B784" i="2"/>
  <c r="C784" i="2"/>
  <c r="D784" i="2"/>
  <c r="E784" i="2"/>
  <c r="F784" i="2"/>
  <c r="G784" i="2"/>
  <c r="B785" i="2"/>
  <c r="C785" i="2"/>
  <c r="D785" i="2"/>
  <c r="E785" i="2"/>
  <c r="F785" i="2"/>
  <c r="G785" i="2"/>
  <c r="A785" i="2" s="1"/>
  <c r="B786" i="2"/>
  <c r="C786" i="2"/>
  <c r="D786" i="2"/>
  <c r="E786" i="2"/>
  <c r="H786" i="2"/>
  <c r="A786" i="2" s="1"/>
  <c r="F786" i="2" s="1"/>
  <c r="J786" i="2"/>
  <c r="B787" i="2"/>
  <c r="C787" i="2"/>
  <c r="D787" i="2"/>
  <c r="E787" i="2"/>
  <c r="F787" i="2"/>
  <c r="G787" i="2"/>
  <c r="A787" i="2" s="1"/>
  <c r="I787" i="2"/>
  <c r="J787" i="2"/>
  <c r="B788" i="2"/>
  <c r="C788" i="2"/>
  <c r="D788" i="2"/>
  <c r="E788" i="2"/>
  <c r="F788" i="2"/>
  <c r="G788" i="2"/>
  <c r="A788" i="2" s="1"/>
  <c r="I788" i="2"/>
  <c r="J788" i="2"/>
  <c r="A789" i="2"/>
  <c r="B789" i="2"/>
  <c r="C789" i="2"/>
  <c r="D789" i="2"/>
  <c r="E789" i="2"/>
  <c r="F789" i="2"/>
  <c r="G789" i="2"/>
  <c r="I789" i="2"/>
  <c r="J789" i="2"/>
  <c r="A790" i="2"/>
  <c r="B790" i="2"/>
  <c r="C790" i="2"/>
  <c r="D790" i="2"/>
  <c r="E790" i="2"/>
  <c r="F790" i="2"/>
  <c r="G790" i="2"/>
  <c r="I790" i="2"/>
  <c r="J790" i="2"/>
  <c r="B791" i="2"/>
  <c r="C791" i="2"/>
  <c r="D791" i="2"/>
  <c r="E791" i="2"/>
  <c r="F791" i="2"/>
  <c r="G791" i="2"/>
  <c r="A791" i="2" s="1"/>
  <c r="I791" i="2"/>
  <c r="J791" i="2"/>
  <c r="B792" i="2"/>
  <c r="C792" i="2"/>
  <c r="D792" i="2"/>
  <c r="E792" i="2"/>
  <c r="F792" i="2"/>
  <c r="G792" i="2"/>
  <c r="A792" i="2" s="1"/>
  <c r="I792" i="2"/>
  <c r="J792" i="2"/>
  <c r="A793" i="2"/>
  <c r="B793" i="2"/>
  <c r="C793" i="2"/>
  <c r="D793" i="2"/>
  <c r="E793" i="2"/>
  <c r="F793" i="2"/>
  <c r="G793" i="2"/>
  <c r="I793" i="2"/>
  <c r="J793" i="2"/>
  <c r="A794" i="2"/>
  <c r="B794" i="2"/>
  <c r="C794" i="2"/>
  <c r="D794" i="2"/>
  <c r="E794" i="2"/>
  <c r="F794" i="2"/>
  <c r="G794" i="2"/>
  <c r="I794" i="2"/>
  <c r="J794" i="2"/>
  <c r="B795" i="2"/>
  <c r="C795" i="2"/>
  <c r="D795" i="2"/>
  <c r="E795" i="2"/>
  <c r="F795" i="2"/>
  <c r="G795" i="2"/>
  <c r="A795" i="2" s="1"/>
  <c r="I795" i="2"/>
  <c r="J795" i="2"/>
  <c r="B796" i="2"/>
  <c r="C796" i="2"/>
  <c r="D796" i="2"/>
  <c r="E796" i="2"/>
  <c r="F796" i="2"/>
  <c r="G796" i="2"/>
  <c r="A796" i="2" s="1"/>
  <c r="I796" i="2"/>
  <c r="J796" i="2"/>
  <c r="A797" i="2"/>
  <c r="B797" i="2"/>
  <c r="C797" i="2"/>
  <c r="D797" i="2"/>
  <c r="E797" i="2"/>
  <c r="F797" i="2"/>
  <c r="G797" i="2"/>
  <c r="I797" i="2"/>
  <c r="J797" i="2"/>
  <c r="A798" i="2"/>
  <c r="B798" i="2"/>
  <c r="C798" i="2"/>
  <c r="D798" i="2"/>
  <c r="E798" i="2"/>
  <c r="F798" i="2"/>
  <c r="G798" i="2"/>
  <c r="A799" i="2"/>
  <c r="B799" i="2"/>
  <c r="C799" i="2"/>
  <c r="D799" i="2"/>
  <c r="E799" i="2"/>
  <c r="F799" i="2"/>
  <c r="G799" i="2"/>
  <c r="A800" i="2"/>
  <c r="B800" i="2"/>
  <c r="C800" i="2"/>
  <c r="D800" i="2"/>
  <c r="E800" i="2"/>
  <c r="F800" i="2"/>
  <c r="G800" i="2"/>
  <c r="B801" i="2"/>
  <c r="C801" i="2"/>
  <c r="D801" i="2"/>
  <c r="E801" i="2"/>
  <c r="F801" i="2"/>
  <c r="G801" i="2"/>
  <c r="A801" i="2" s="1"/>
  <c r="B802" i="2"/>
  <c r="C802" i="2"/>
  <c r="D802" i="2"/>
  <c r="E802" i="2"/>
  <c r="H802" i="2"/>
  <c r="A802" i="2" s="1"/>
  <c r="F802" i="2" s="1"/>
  <c r="J802" i="2"/>
  <c r="O802" i="2"/>
  <c r="B803" i="2"/>
  <c r="C803" i="2"/>
  <c r="D803" i="2"/>
  <c r="E803" i="2"/>
  <c r="F803" i="2"/>
  <c r="G803" i="2"/>
  <c r="A803" i="2" s="1"/>
  <c r="I803" i="2"/>
  <c r="J803" i="2"/>
  <c r="A804" i="2"/>
  <c r="B804" i="2"/>
  <c r="C804" i="2"/>
  <c r="D804" i="2"/>
  <c r="E804" i="2"/>
  <c r="F804" i="2"/>
  <c r="G804" i="2"/>
  <c r="I804" i="2"/>
  <c r="J804" i="2"/>
  <c r="A805" i="2"/>
  <c r="B805" i="2"/>
  <c r="C805" i="2"/>
  <c r="D805" i="2"/>
  <c r="E805" i="2"/>
  <c r="F805" i="2"/>
  <c r="G805" i="2"/>
  <c r="I805" i="2"/>
  <c r="J805" i="2"/>
  <c r="B806" i="2"/>
  <c r="C806" i="2"/>
  <c r="D806" i="2"/>
  <c r="E806" i="2"/>
  <c r="F806" i="2"/>
  <c r="G806" i="2"/>
  <c r="A806" i="2" s="1"/>
  <c r="I806" i="2"/>
  <c r="J806" i="2"/>
  <c r="B807" i="2"/>
  <c r="C807" i="2"/>
  <c r="D807" i="2"/>
  <c r="E807" i="2"/>
  <c r="F807" i="2"/>
  <c r="G807" i="2"/>
  <c r="A807" i="2" s="1"/>
  <c r="I807" i="2"/>
  <c r="J807" i="2"/>
  <c r="A808" i="2"/>
  <c r="B808" i="2"/>
  <c r="C808" i="2"/>
  <c r="D808" i="2"/>
  <c r="E808" i="2"/>
  <c r="F808" i="2"/>
  <c r="G808" i="2"/>
  <c r="I808" i="2"/>
  <c r="J808" i="2"/>
  <c r="A809" i="2"/>
  <c r="B809" i="2"/>
  <c r="C809" i="2"/>
  <c r="D809" i="2"/>
  <c r="E809" i="2"/>
  <c r="F809" i="2"/>
  <c r="G809" i="2"/>
  <c r="I809" i="2"/>
  <c r="J809" i="2"/>
  <c r="B810" i="2"/>
  <c r="C810" i="2"/>
  <c r="D810" i="2"/>
  <c r="E810" i="2"/>
  <c r="F810" i="2"/>
  <c r="G810" i="2"/>
  <c r="A810" i="2" s="1"/>
  <c r="I810" i="2"/>
  <c r="J810" i="2"/>
  <c r="B811" i="2"/>
  <c r="C811" i="2"/>
  <c r="D811" i="2"/>
  <c r="E811" i="2"/>
  <c r="F811" i="2"/>
  <c r="G811" i="2"/>
  <c r="A811" i="2" s="1"/>
  <c r="I811" i="2"/>
  <c r="J811" i="2"/>
  <c r="A812" i="2"/>
  <c r="B812" i="2"/>
  <c r="C812" i="2"/>
  <c r="D812" i="2"/>
  <c r="E812" i="2"/>
  <c r="F812" i="2"/>
  <c r="G812" i="2"/>
  <c r="I812" i="2"/>
  <c r="J812" i="2"/>
  <c r="A813" i="2"/>
  <c r="B813" i="2"/>
  <c r="C813" i="2"/>
  <c r="D813" i="2"/>
  <c r="E813" i="2"/>
  <c r="F813" i="2"/>
  <c r="G813" i="2"/>
  <c r="I813" i="2"/>
  <c r="J813" i="2"/>
  <c r="B814" i="2"/>
  <c r="C814" i="2"/>
  <c r="D814" i="2"/>
  <c r="E814" i="2"/>
  <c r="F814" i="2"/>
  <c r="G814" i="2"/>
  <c r="A814" i="2" s="1"/>
  <c r="A815" i="2"/>
  <c r="B815" i="2"/>
  <c r="C815" i="2"/>
  <c r="D815" i="2"/>
  <c r="E815" i="2"/>
  <c r="F815" i="2"/>
  <c r="G815" i="2"/>
  <c r="B816" i="2"/>
  <c r="C816" i="2"/>
  <c r="D816" i="2"/>
  <c r="E816" i="2"/>
  <c r="F816" i="2"/>
  <c r="G816" i="2"/>
  <c r="A816" i="2" s="1"/>
  <c r="B817" i="2"/>
  <c r="C817" i="2"/>
  <c r="D817" i="2"/>
  <c r="E817" i="2"/>
  <c r="F817" i="2"/>
  <c r="G817" i="2"/>
  <c r="A817" i="2" s="1"/>
  <c r="B818" i="2"/>
  <c r="C818" i="2"/>
  <c r="D818" i="2"/>
  <c r="E818" i="2"/>
  <c r="F818" i="2"/>
  <c r="H818" i="2"/>
  <c r="A818" i="2" s="1"/>
  <c r="J818" i="2"/>
  <c r="O818" i="2"/>
  <c r="B819" i="2"/>
  <c r="C819" i="2"/>
  <c r="D819" i="2"/>
  <c r="E819" i="2"/>
  <c r="F819" i="2"/>
  <c r="G819" i="2"/>
  <c r="A819" i="2" s="1"/>
  <c r="I819" i="2"/>
  <c r="J819" i="2"/>
  <c r="B820" i="2"/>
  <c r="C820" i="2"/>
  <c r="D820" i="2"/>
  <c r="E820" i="2"/>
  <c r="F820" i="2"/>
  <c r="G820" i="2"/>
  <c r="A820" i="2" s="1"/>
  <c r="I820" i="2"/>
  <c r="J820" i="2"/>
  <c r="A821" i="2"/>
  <c r="B821" i="2"/>
  <c r="C821" i="2"/>
  <c r="D821" i="2"/>
  <c r="E821" i="2"/>
  <c r="F821" i="2"/>
  <c r="G821" i="2"/>
  <c r="I821" i="2"/>
  <c r="J821" i="2"/>
  <c r="A822" i="2"/>
  <c r="B822" i="2"/>
  <c r="C822" i="2"/>
  <c r="D822" i="2"/>
  <c r="E822" i="2"/>
  <c r="F822" i="2"/>
  <c r="G822" i="2"/>
  <c r="I822" i="2"/>
  <c r="J822" i="2"/>
  <c r="B823" i="2"/>
  <c r="C823" i="2"/>
  <c r="D823" i="2"/>
  <c r="E823" i="2"/>
  <c r="F823" i="2"/>
  <c r="G823" i="2"/>
  <c r="A823" i="2" s="1"/>
  <c r="I823" i="2"/>
  <c r="J823" i="2"/>
  <c r="B824" i="2"/>
  <c r="C824" i="2"/>
  <c r="D824" i="2"/>
  <c r="E824" i="2"/>
  <c r="F824" i="2"/>
  <c r="G824" i="2"/>
  <c r="A824" i="2" s="1"/>
  <c r="I824" i="2"/>
  <c r="J824" i="2"/>
  <c r="A825" i="2"/>
  <c r="B825" i="2"/>
  <c r="C825" i="2"/>
  <c r="D825" i="2"/>
  <c r="E825" i="2"/>
  <c r="F825" i="2"/>
  <c r="G825" i="2"/>
  <c r="I825" i="2"/>
  <c r="J825" i="2"/>
  <c r="A826" i="2"/>
  <c r="B826" i="2"/>
  <c r="C826" i="2"/>
  <c r="D826" i="2"/>
  <c r="E826" i="2"/>
  <c r="F826" i="2"/>
  <c r="G826" i="2"/>
  <c r="I826" i="2"/>
  <c r="J826" i="2"/>
  <c r="B827" i="2"/>
  <c r="C827" i="2"/>
  <c r="D827" i="2"/>
  <c r="E827" i="2"/>
  <c r="F827" i="2"/>
  <c r="G827" i="2"/>
  <c r="A827" i="2" s="1"/>
  <c r="I827" i="2"/>
  <c r="J827" i="2"/>
  <c r="B828" i="2"/>
  <c r="C828" i="2"/>
  <c r="D828" i="2"/>
  <c r="E828" i="2"/>
  <c r="F828" i="2"/>
  <c r="G828" i="2"/>
  <c r="A828" i="2" s="1"/>
  <c r="I828" i="2"/>
  <c r="J828" i="2"/>
  <c r="A829" i="2"/>
  <c r="B829" i="2"/>
  <c r="C829" i="2"/>
  <c r="D829" i="2"/>
  <c r="E829" i="2"/>
  <c r="F829" i="2"/>
  <c r="G829" i="2"/>
  <c r="I829" i="2"/>
  <c r="J829" i="2"/>
  <c r="A830" i="2"/>
  <c r="B830" i="2"/>
  <c r="C830" i="2"/>
  <c r="D830" i="2"/>
  <c r="E830" i="2"/>
  <c r="F830" i="2"/>
  <c r="G830" i="2"/>
  <c r="B831" i="2"/>
  <c r="C831" i="2"/>
  <c r="D831" i="2"/>
  <c r="E831" i="2"/>
  <c r="F831" i="2"/>
  <c r="G831" i="2"/>
  <c r="A831" i="2" s="1"/>
  <c r="B832" i="2"/>
  <c r="C832" i="2"/>
  <c r="D832" i="2"/>
  <c r="E832" i="2"/>
  <c r="F832" i="2"/>
  <c r="G832" i="2"/>
  <c r="A832" i="2" s="1"/>
  <c r="B833" i="2"/>
  <c r="C833" i="2"/>
  <c r="D833" i="2"/>
  <c r="E833" i="2"/>
  <c r="F833" i="2"/>
  <c r="G833" i="2"/>
  <c r="A833" i="2" s="1"/>
  <c r="A834" i="2"/>
  <c r="F834" i="2" s="1"/>
  <c r="B834" i="2"/>
  <c r="C834" i="2"/>
  <c r="D834" i="2"/>
  <c r="E834" i="2"/>
  <c r="H834" i="2"/>
  <c r="J834" i="2"/>
  <c r="O834" i="2"/>
  <c r="O850" i="2" s="1"/>
  <c r="O866" i="2" s="1"/>
  <c r="O882" i="2" s="1"/>
  <c r="O898" i="2" s="1"/>
  <c r="O914" i="2" s="1"/>
  <c r="O930" i="2" s="1"/>
  <c r="O946" i="2" s="1"/>
  <c r="O962" i="2" s="1"/>
  <c r="O978" i="2" s="1"/>
  <c r="O994" i="2" s="1"/>
  <c r="O1010" i="2" s="1"/>
  <c r="O1026" i="2" s="1"/>
  <c r="O1042" i="2" s="1"/>
  <c r="O1058" i="2" s="1"/>
  <c r="O1074" i="2" s="1"/>
  <c r="O1090" i="2" s="1"/>
  <c r="O1106" i="2" s="1"/>
  <c r="O1122" i="2" s="1"/>
  <c r="O1138" i="2" s="1"/>
  <c r="O1154" i="2" s="1"/>
  <c r="O1170" i="2" s="1"/>
  <c r="O1186" i="2" s="1"/>
  <c r="O1202" i="2" s="1"/>
  <c r="O1218" i="2" s="1"/>
  <c r="O1234" i="2" s="1"/>
  <c r="O1250" i="2" s="1"/>
  <c r="O1266" i="2" s="1"/>
  <c r="O1282" i="2" s="1"/>
  <c r="O1298" i="2" s="1"/>
  <c r="O1314" i="2" s="1"/>
  <c r="O1330" i="2" s="1"/>
  <c r="O1346" i="2" s="1"/>
  <c r="O1362" i="2" s="1"/>
  <c r="O1378" i="2" s="1"/>
  <c r="O1394" i="2" s="1"/>
  <c r="O1410" i="2" s="1"/>
  <c r="O1426" i="2" s="1"/>
  <c r="O1442" i="2" s="1"/>
  <c r="O1458" i="2" s="1"/>
  <c r="O1474" i="2" s="1"/>
  <c r="O1490" i="2" s="1"/>
  <c r="O1506" i="2" s="1"/>
  <c r="O1522" i="2" s="1"/>
  <c r="O1538" i="2" s="1"/>
  <c r="O1554" i="2" s="1"/>
  <c r="O1570" i="2" s="1"/>
  <c r="O1586" i="2" s="1"/>
  <c r="O1602" i="2" s="1"/>
  <c r="B835" i="2"/>
  <c r="C835" i="2"/>
  <c r="D835" i="2"/>
  <c r="E835" i="2"/>
  <c r="F835" i="2"/>
  <c r="G835" i="2"/>
  <c r="A835" i="2" s="1"/>
  <c r="I835" i="2"/>
  <c r="J835" i="2"/>
  <c r="B836" i="2"/>
  <c r="C836" i="2"/>
  <c r="D836" i="2"/>
  <c r="E836" i="2"/>
  <c r="F836" i="2"/>
  <c r="G836" i="2"/>
  <c r="A836" i="2" s="1"/>
  <c r="I836" i="2"/>
  <c r="J836" i="2"/>
  <c r="A837" i="2"/>
  <c r="B837" i="2"/>
  <c r="C837" i="2"/>
  <c r="D837" i="2"/>
  <c r="E837" i="2"/>
  <c r="F837" i="2"/>
  <c r="G837" i="2"/>
  <c r="I837" i="2"/>
  <c r="J837" i="2"/>
  <c r="A838" i="2"/>
  <c r="B838" i="2"/>
  <c r="C838" i="2"/>
  <c r="D838" i="2"/>
  <c r="E838" i="2"/>
  <c r="F838" i="2"/>
  <c r="G838" i="2"/>
  <c r="I838" i="2"/>
  <c r="J838" i="2"/>
  <c r="B839" i="2"/>
  <c r="C839" i="2"/>
  <c r="D839" i="2"/>
  <c r="E839" i="2"/>
  <c r="F839" i="2"/>
  <c r="G839" i="2"/>
  <c r="A839" i="2" s="1"/>
  <c r="I839" i="2"/>
  <c r="J839" i="2"/>
  <c r="B840" i="2"/>
  <c r="C840" i="2"/>
  <c r="D840" i="2"/>
  <c r="E840" i="2"/>
  <c r="F840" i="2"/>
  <c r="G840" i="2"/>
  <c r="A840" i="2" s="1"/>
  <c r="I840" i="2"/>
  <c r="J840" i="2"/>
  <c r="A841" i="2"/>
  <c r="B841" i="2"/>
  <c r="C841" i="2"/>
  <c r="D841" i="2"/>
  <c r="E841" i="2"/>
  <c r="F841" i="2"/>
  <c r="G841" i="2"/>
  <c r="I841" i="2"/>
  <c r="J841" i="2"/>
  <c r="A842" i="2"/>
  <c r="B842" i="2"/>
  <c r="C842" i="2"/>
  <c r="D842" i="2"/>
  <c r="E842" i="2"/>
  <c r="F842" i="2"/>
  <c r="G842" i="2"/>
  <c r="I842" i="2"/>
  <c r="J842" i="2"/>
  <c r="B843" i="2"/>
  <c r="C843" i="2"/>
  <c r="D843" i="2"/>
  <c r="E843" i="2"/>
  <c r="F843" i="2"/>
  <c r="G843" i="2"/>
  <c r="A843" i="2" s="1"/>
  <c r="I843" i="2"/>
  <c r="J843" i="2"/>
  <c r="B844" i="2"/>
  <c r="C844" i="2"/>
  <c r="D844" i="2"/>
  <c r="E844" i="2"/>
  <c r="F844" i="2"/>
  <c r="G844" i="2"/>
  <c r="A844" i="2" s="1"/>
  <c r="I844" i="2"/>
  <c r="J844" i="2"/>
  <c r="A845" i="2"/>
  <c r="B845" i="2"/>
  <c r="C845" i="2"/>
  <c r="D845" i="2"/>
  <c r="E845" i="2"/>
  <c r="F845" i="2"/>
  <c r="G845" i="2"/>
  <c r="I845" i="2"/>
  <c r="J845" i="2"/>
  <c r="A846" i="2"/>
  <c r="B846" i="2"/>
  <c r="C846" i="2"/>
  <c r="D846" i="2"/>
  <c r="E846" i="2"/>
  <c r="F846" i="2"/>
  <c r="G846" i="2"/>
  <c r="B847" i="2"/>
  <c r="C847" i="2"/>
  <c r="D847" i="2"/>
  <c r="E847" i="2"/>
  <c r="F847" i="2"/>
  <c r="G847" i="2"/>
  <c r="A847" i="2" s="1"/>
  <c r="B848" i="2"/>
  <c r="C848" i="2"/>
  <c r="D848" i="2"/>
  <c r="E848" i="2"/>
  <c r="F848" i="2"/>
  <c r="G848" i="2"/>
  <c r="A848" i="2" s="1"/>
  <c r="A849" i="2"/>
  <c r="B849" i="2"/>
  <c r="C849" i="2"/>
  <c r="D849" i="2"/>
  <c r="E849" i="2"/>
  <c r="F849" i="2"/>
  <c r="G849" i="2"/>
  <c r="A850" i="2"/>
  <c r="B850" i="2"/>
  <c r="C850" i="2"/>
  <c r="D850" i="2"/>
  <c r="E850" i="2"/>
  <c r="F850" i="2"/>
  <c r="H850" i="2"/>
  <c r="J850" i="2"/>
  <c r="A851" i="2"/>
  <c r="B851" i="2"/>
  <c r="C851" i="2"/>
  <c r="D851" i="2"/>
  <c r="E851" i="2"/>
  <c r="F851" i="2"/>
  <c r="G851" i="2"/>
  <c r="I851" i="2"/>
  <c r="J851" i="2"/>
  <c r="B852" i="2"/>
  <c r="C852" i="2"/>
  <c r="D852" i="2"/>
  <c r="E852" i="2"/>
  <c r="F852" i="2"/>
  <c r="G852" i="2"/>
  <c r="A852" i="2" s="1"/>
  <c r="I852" i="2"/>
  <c r="J852" i="2"/>
  <c r="B853" i="2"/>
  <c r="C853" i="2"/>
  <c r="D853" i="2"/>
  <c r="E853" i="2"/>
  <c r="F853" i="2"/>
  <c r="G853" i="2"/>
  <c r="A853" i="2" s="1"/>
  <c r="I853" i="2"/>
  <c r="J853" i="2"/>
  <c r="A854" i="2"/>
  <c r="B854" i="2"/>
  <c r="C854" i="2"/>
  <c r="D854" i="2"/>
  <c r="E854" i="2"/>
  <c r="F854" i="2"/>
  <c r="G854" i="2"/>
  <c r="I854" i="2"/>
  <c r="J854" i="2"/>
  <c r="A855" i="2"/>
  <c r="B855" i="2"/>
  <c r="C855" i="2"/>
  <c r="D855" i="2"/>
  <c r="E855" i="2"/>
  <c r="F855" i="2"/>
  <c r="G855" i="2"/>
  <c r="I855" i="2"/>
  <c r="J855" i="2"/>
  <c r="B856" i="2"/>
  <c r="C856" i="2"/>
  <c r="D856" i="2"/>
  <c r="E856" i="2"/>
  <c r="F856" i="2"/>
  <c r="G856" i="2"/>
  <c r="A856" i="2" s="1"/>
  <c r="I856" i="2"/>
  <c r="J856" i="2"/>
  <c r="B857" i="2"/>
  <c r="C857" i="2"/>
  <c r="D857" i="2"/>
  <c r="E857" i="2"/>
  <c r="F857" i="2"/>
  <c r="G857" i="2"/>
  <c r="A857" i="2" s="1"/>
  <c r="I857" i="2"/>
  <c r="J857" i="2"/>
  <c r="A858" i="2"/>
  <c r="B858" i="2"/>
  <c r="C858" i="2"/>
  <c r="D858" i="2"/>
  <c r="E858" i="2"/>
  <c r="F858" i="2"/>
  <c r="G858" i="2"/>
  <c r="I858" i="2"/>
  <c r="J858" i="2"/>
  <c r="A859" i="2"/>
  <c r="B859" i="2"/>
  <c r="C859" i="2"/>
  <c r="D859" i="2"/>
  <c r="E859" i="2"/>
  <c r="F859" i="2"/>
  <c r="G859" i="2"/>
  <c r="I859" i="2"/>
  <c r="J859" i="2"/>
  <c r="B860" i="2"/>
  <c r="C860" i="2"/>
  <c r="D860" i="2"/>
  <c r="E860" i="2"/>
  <c r="F860" i="2"/>
  <c r="G860" i="2"/>
  <c r="A860" i="2" s="1"/>
  <c r="I860" i="2"/>
  <c r="J860" i="2"/>
  <c r="B861" i="2"/>
  <c r="C861" i="2"/>
  <c r="D861" i="2"/>
  <c r="E861" i="2"/>
  <c r="F861" i="2"/>
  <c r="G861" i="2"/>
  <c r="A861" i="2" s="1"/>
  <c r="I861" i="2"/>
  <c r="J861" i="2"/>
  <c r="A862" i="2"/>
  <c r="B862" i="2"/>
  <c r="C862" i="2"/>
  <c r="D862" i="2"/>
  <c r="E862" i="2"/>
  <c r="F862" i="2"/>
  <c r="G862" i="2"/>
  <c r="A863" i="2"/>
  <c r="B863" i="2"/>
  <c r="C863" i="2"/>
  <c r="D863" i="2"/>
  <c r="E863" i="2"/>
  <c r="F863" i="2"/>
  <c r="G863" i="2"/>
  <c r="B864" i="2"/>
  <c r="C864" i="2"/>
  <c r="D864" i="2"/>
  <c r="E864" i="2"/>
  <c r="F864" i="2"/>
  <c r="G864" i="2"/>
  <c r="A864" i="2" s="1"/>
  <c r="A865" i="2"/>
  <c r="B865" i="2"/>
  <c r="C865" i="2"/>
  <c r="D865" i="2"/>
  <c r="E865" i="2"/>
  <c r="F865" i="2"/>
  <c r="G865" i="2"/>
  <c r="A866" i="2"/>
  <c r="F866" i="2" s="1"/>
  <c r="B866" i="2"/>
  <c r="C866" i="2"/>
  <c r="D866" i="2"/>
  <c r="E866" i="2"/>
  <c r="H866" i="2"/>
  <c r="J866" i="2"/>
  <c r="B867" i="2"/>
  <c r="C867" i="2"/>
  <c r="D867" i="2"/>
  <c r="E867" i="2"/>
  <c r="F867" i="2"/>
  <c r="G867" i="2"/>
  <c r="A867" i="2" s="1"/>
  <c r="I867" i="2"/>
  <c r="J867" i="2"/>
  <c r="B868" i="2"/>
  <c r="C868" i="2"/>
  <c r="D868" i="2"/>
  <c r="E868" i="2"/>
  <c r="F868" i="2"/>
  <c r="G868" i="2"/>
  <c r="A868" i="2" s="1"/>
  <c r="I868" i="2"/>
  <c r="J868" i="2"/>
  <c r="A869" i="2"/>
  <c r="B869" i="2"/>
  <c r="C869" i="2"/>
  <c r="D869" i="2"/>
  <c r="E869" i="2"/>
  <c r="F869" i="2"/>
  <c r="G869" i="2"/>
  <c r="I869" i="2"/>
  <c r="J869" i="2"/>
  <c r="A870" i="2"/>
  <c r="B870" i="2"/>
  <c r="C870" i="2"/>
  <c r="D870" i="2"/>
  <c r="E870" i="2"/>
  <c r="F870" i="2"/>
  <c r="G870" i="2"/>
  <c r="I870" i="2"/>
  <c r="J870" i="2"/>
  <c r="B871" i="2"/>
  <c r="C871" i="2"/>
  <c r="D871" i="2"/>
  <c r="E871" i="2"/>
  <c r="F871" i="2"/>
  <c r="G871" i="2"/>
  <c r="A871" i="2" s="1"/>
  <c r="I871" i="2"/>
  <c r="J871" i="2"/>
  <c r="A872" i="2"/>
  <c r="B872" i="2"/>
  <c r="C872" i="2"/>
  <c r="D872" i="2"/>
  <c r="E872" i="2"/>
  <c r="F872" i="2"/>
  <c r="G872" i="2"/>
  <c r="I872" i="2"/>
  <c r="J872" i="2"/>
  <c r="A873" i="2"/>
  <c r="B873" i="2"/>
  <c r="C873" i="2"/>
  <c r="D873" i="2"/>
  <c r="E873" i="2"/>
  <c r="F873" i="2"/>
  <c r="G873" i="2"/>
  <c r="I873" i="2"/>
  <c r="J873" i="2"/>
  <c r="B874" i="2"/>
  <c r="C874" i="2"/>
  <c r="D874" i="2"/>
  <c r="E874" i="2"/>
  <c r="F874" i="2"/>
  <c r="G874" i="2"/>
  <c r="A874" i="2" s="1"/>
  <c r="I874" i="2"/>
  <c r="J874" i="2"/>
  <c r="B875" i="2"/>
  <c r="C875" i="2"/>
  <c r="D875" i="2"/>
  <c r="E875" i="2"/>
  <c r="F875" i="2"/>
  <c r="G875" i="2"/>
  <c r="A875" i="2" s="1"/>
  <c r="I875" i="2"/>
  <c r="J875" i="2"/>
  <c r="A876" i="2"/>
  <c r="B876" i="2"/>
  <c r="C876" i="2"/>
  <c r="D876" i="2"/>
  <c r="E876" i="2"/>
  <c r="F876" i="2"/>
  <c r="G876" i="2"/>
  <c r="I876" i="2"/>
  <c r="J876" i="2"/>
  <c r="A877" i="2"/>
  <c r="B877" i="2"/>
  <c r="C877" i="2"/>
  <c r="D877" i="2"/>
  <c r="E877" i="2"/>
  <c r="F877" i="2"/>
  <c r="G877" i="2"/>
  <c r="I877" i="2"/>
  <c r="J877" i="2"/>
  <c r="B878" i="2"/>
  <c r="C878" i="2"/>
  <c r="D878" i="2"/>
  <c r="E878" i="2"/>
  <c r="F878" i="2"/>
  <c r="G878" i="2"/>
  <c r="A878" i="2" s="1"/>
  <c r="A879" i="2"/>
  <c r="B879" i="2"/>
  <c r="C879" i="2"/>
  <c r="D879" i="2"/>
  <c r="E879" i="2"/>
  <c r="F879" i="2"/>
  <c r="G879" i="2"/>
  <c r="B880" i="2"/>
  <c r="C880" i="2"/>
  <c r="D880" i="2"/>
  <c r="E880" i="2"/>
  <c r="F880" i="2"/>
  <c r="G880" i="2"/>
  <c r="A880" i="2" s="1"/>
  <c r="B881" i="2"/>
  <c r="C881" i="2"/>
  <c r="D881" i="2"/>
  <c r="E881" i="2"/>
  <c r="F881" i="2"/>
  <c r="G881" i="2"/>
  <c r="A881" i="2" s="1"/>
  <c r="B882" i="2"/>
  <c r="C882" i="2"/>
  <c r="D882" i="2"/>
  <c r="E882" i="2"/>
  <c r="H882" i="2"/>
  <c r="A882" i="2" s="1"/>
  <c r="F882" i="2" s="1"/>
  <c r="J882" i="2"/>
  <c r="A883" i="2"/>
  <c r="B883" i="2"/>
  <c r="C883" i="2"/>
  <c r="D883" i="2"/>
  <c r="E883" i="2"/>
  <c r="F883" i="2"/>
  <c r="G883" i="2"/>
  <c r="I883" i="2"/>
  <c r="J883" i="2"/>
  <c r="A884" i="2"/>
  <c r="B884" i="2"/>
  <c r="C884" i="2"/>
  <c r="D884" i="2"/>
  <c r="E884" i="2"/>
  <c r="F884" i="2"/>
  <c r="G884" i="2"/>
  <c r="I884" i="2"/>
  <c r="J884" i="2"/>
  <c r="B885" i="2"/>
  <c r="C885" i="2"/>
  <c r="D885" i="2"/>
  <c r="E885" i="2"/>
  <c r="F885" i="2"/>
  <c r="G885" i="2"/>
  <c r="A885" i="2" s="1"/>
  <c r="I885" i="2"/>
  <c r="J885" i="2"/>
  <c r="B886" i="2"/>
  <c r="C886" i="2"/>
  <c r="D886" i="2"/>
  <c r="E886" i="2"/>
  <c r="F886" i="2"/>
  <c r="G886" i="2"/>
  <c r="A886" i="2" s="1"/>
  <c r="I886" i="2"/>
  <c r="J886" i="2"/>
  <c r="A887" i="2"/>
  <c r="B887" i="2"/>
  <c r="C887" i="2"/>
  <c r="D887" i="2"/>
  <c r="E887" i="2"/>
  <c r="F887" i="2"/>
  <c r="G887" i="2"/>
  <c r="I887" i="2"/>
  <c r="J887" i="2"/>
  <c r="A888" i="2"/>
  <c r="B888" i="2"/>
  <c r="C888" i="2"/>
  <c r="D888" i="2"/>
  <c r="E888" i="2"/>
  <c r="F888" i="2"/>
  <c r="G888" i="2"/>
  <c r="I888" i="2"/>
  <c r="J888" i="2"/>
  <c r="B889" i="2"/>
  <c r="C889" i="2"/>
  <c r="D889" i="2"/>
  <c r="E889" i="2"/>
  <c r="F889" i="2"/>
  <c r="G889" i="2"/>
  <c r="A889" i="2" s="1"/>
  <c r="I889" i="2"/>
  <c r="J889" i="2"/>
  <c r="B890" i="2"/>
  <c r="C890" i="2"/>
  <c r="D890" i="2"/>
  <c r="E890" i="2"/>
  <c r="F890" i="2"/>
  <c r="G890" i="2"/>
  <c r="A890" i="2" s="1"/>
  <c r="I890" i="2"/>
  <c r="J890" i="2"/>
  <c r="A891" i="2"/>
  <c r="B891" i="2"/>
  <c r="C891" i="2"/>
  <c r="D891" i="2"/>
  <c r="E891" i="2"/>
  <c r="F891" i="2"/>
  <c r="G891" i="2"/>
  <c r="I891" i="2"/>
  <c r="J891" i="2"/>
  <c r="A892" i="2"/>
  <c r="B892" i="2"/>
  <c r="C892" i="2"/>
  <c r="D892" i="2"/>
  <c r="E892" i="2"/>
  <c r="F892" i="2"/>
  <c r="G892" i="2"/>
  <c r="I892" i="2"/>
  <c r="J892" i="2"/>
  <c r="B893" i="2"/>
  <c r="C893" i="2"/>
  <c r="D893" i="2"/>
  <c r="E893" i="2"/>
  <c r="F893" i="2"/>
  <c r="G893" i="2"/>
  <c r="A893" i="2" s="1"/>
  <c r="I893" i="2"/>
  <c r="J893" i="2"/>
  <c r="B894" i="2"/>
  <c r="C894" i="2"/>
  <c r="D894" i="2"/>
  <c r="E894" i="2"/>
  <c r="F894" i="2"/>
  <c r="G894" i="2"/>
  <c r="A894" i="2" s="1"/>
  <c r="B895" i="2"/>
  <c r="C895" i="2"/>
  <c r="D895" i="2"/>
  <c r="E895" i="2"/>
  <c r="F895" i="2"/>
  <c r="G895" i="2"/>
  <c r="A895" i="2" s="1"/>
  <c r="A896" i="2"/>
  <c r="B896" i="2"/>
  <c r="C896" i="2"/>
  <c r="D896" i="2"/>
  <c r="E896" i="2"/>
  <c r="F896" i="2"/>
  <c r="G896" i="2"/>
  <c r="B897" i="2"/>
  <c r="C897" i="2"/>
  <c r="D897" i="2"/>
  <c r="E897" i="2"/>
  <c r="F897" i="2"/>
  <c r="G897" i="2"/>
  <c r="A897" i="2" s="1"/>
  <c r="A898" i="2"/>
  <c r="F898" i="2" s="1"/>
  <c r="B898" i="2"/>
  <c r="C898" i="2"/>
  <c r="D898" i="2"/>
  <c r="E898" i="2"/>
  <c r="H898" i="2"/>
  <c r="J898" i="2"/>
  <c r="A899" i="2"/>
  <c r="B899" i="2"/>
  <c r="C899" i="2"/>
  <c r="D899" i="2"/>
  <c r="E899" i="2"/>
  <c r="F899" i="2"/>
  <c r="G899" i="2"/>
  <c r="I899" i="2"/>
  <c r="J899" i="2"/>
  <c r="B900" i="2"/>
  <c r="C900" i="2"/>
  <c r="D900" i="2"/>
  <c r="E900" i="2"/>
  <c r="F900" i="2"/>
  <c r="G900" i="2"/>
  <c r="A900" i="2" s="1"/>
  <c r="I900" i="2"/>
  <c r="J900" i="2"/>
  <c r="B901" i="2"/>
  <c r="C901" i="2"/>
  <c r="D901" i="2"/>
  <c r="E901" i="2"/>
  <c r="F901" i="2"/>
  <c r="G901" i="2"/>
  <c r="A901" i="2" s="1"/>
  <c r="I901" i="2"/>
  <c r="J901" i="2"/>
  <c r="A902" i="2"/>
  <c r="B902" i="2"/>
  <c r="C902" i="2"/>
  <c r="D902" i="2"/>
  <c r="E902" i="2"/>
  <c r="F902" i="2"/>
  <c r="G902" i="2"/>
  <c r="I902" i="2"/>
  <c r="J902" i="2"/>
  <c r="A903" i="2"/>
  <c r="B903" i="2"/>
  <c r="C903" i="2"/>
  <c r="D903" i="2"/>
  <c r="E903" i="2"/>
  <c r="F903" i="2"/>
  <c r="G903" i="2"/>
  <c r="I903" i="2"/>
  <c r="J903" i="2"/>
  <c r="B904" i="2"/>
  <c r="C904" i="2"/>
  <c r="D904" i="2"/>
  <c r="E904" i="2"/>
  <c r="F904" i="2"/>
  <c r="G904" i="2"/>
  <c r="A904" i="2" s="1"/>
  <c r="I904" i="2"/>
  <c r="J904" i="2"/>
  <c r="B905" i="2"/>
  <c r="C905" i="2"/>
  <c r="D905" i="2"/>
  <c r="E905" i="2"/>
  <c r="F905" i="2"/>
  <c r="G905" i="2"/>
  <c r="A905" i="2" s="1"/>
  <c r="I905" i="2"/>
  <c r="J905" i="2"/>
  <c r="A906" i="2"/>
  <c r="B906" i="2"/>
  <c r="C906" i="2"/>
  <c r="D906" i="2"/>
  <c r="E906" i="2"/>
  <c r="F906" i="2"/>
  <c r="G906" i="2"/>
  <c r="I906" i="2"/>
  <c r="J906" i="2"/>
  <c r="A907" i="2"/>
  <c r="B907" i="2"/>
  <c r="C907" i="2"/>
  <c r="D907" i="2"/>
  <c r="E907" i="2"/>
  <c r="F907" i="2"/>
  <c r="G907" i="2"/>
  <c r="I907" i="2"/>
  <c r="J907" i="2"/>
  <c r="B908" i="2"/>
  <c r="C908" i="2"/>
  <c r="D908" i="2"/>
  <c r="E908" i="2"/>
  <c r="F908" i="2"/>
  <c r="G908" i="2"/>
  <c r="A908" i="2" s="1"/>
  <c r="I908" i="2"/>
  <c r="J908" i="2"/>
  <c r="B909" i="2"/>
  <c r="C909" i="2"/>
  <c r="D909" i="2"/>
  <c r="E909" i="2"/>
  <c r="F909" i="2"/>
  <c r="G909" i="2"/>
  <c r="A909" i="2" s="1"/>
  <c r="I909" i="2"/>
  <c r="J909" i="2"/>
  <c r="A910" i="2"/>
  <c r="B910" i="2"/>
  <c r="C910" i="2"/>
  <c r="D910" i="2"/>
  <c r="E910" i="2"/>
  <c r="F910" i="2"/>
  <c r="G910" i="2"/>
  <c r="A911" i="2"/>
  <c r="B911" i="2"/>
  <c r="C911" i="2"/>
  <c r="D911" i="2"/>
  <c r="E911" i="2"/>
  <c r="F911" i="2"/>
  <c r="G911" i="2"/>
  <c r="B912" i="2"/>
  <c r="C912" i="2"/>
  <c r="D912" i="2"/>
  <c r="E912" i="2"/>
  <c r="F912" i="2"/>
  <c r="G912" i="2"/>
  <c r="A912" i="2" s="1"/>
  <c r="A913" i="2"/>
  <c r="B913" i="2"/>
  <c r="C913" i="2"/>
  <c r="D913" i="2"/>
  <c r="E913" i="2"/>
  <c r="F913" i="2"/>
  <c r="G913" i="2"/>
  <c r="A914" i="2"/>
  <c r="B914" i="2"/>
  <c r="C914" i="2"/>
  <c r="D914" i="2"/>
  <c r="E914" i="2"/>
  <c r="F914" i="2"/>
  <c r="H914" i="2"/>
  <c r="J914" i="2"/>
  <c r="B915" i="2"/>
  <c r="C915" i="2"/>
  <c r="D915" i="2"/>
  <c r="E915" i="2"/>
  <c r="F915" i="2"/>
  <c r="G915" i="2"/>
  <c r="A915" i="2" s="1"/>
  <c r="I915" i="2"/>
  <c r="J915" i="2"/>
  <c r="A916" i="2"/>
  <c r="B916" i="2"/>
  <c r="C916" i="2"/>
  <c r="D916" i="2"/>
  <c r="E916" i="2"/>
  <c r="F916" i="2"/>
  <c r="G916" i="2"/>
  <c r="I916" i="2"/>
  <c r="J916" i="2"/>
  <c r="A917" i="2"/>
  <c r="B917" i="2"/>
  <c r="C917" i="2"/>
  <c r="D917" i="2"/>
  <c r="E917" i="2"/>
  <c r="F917" i="2"/>
  <c r="G917" i="2"/>
  <c r="I917" i="2"/>
  <c r="J917" i="2"/>
  <c r="B918" i="2"/>
  <c r="C918" i="2"/>
  <c r="D918" i="2"/>
  <c r="E918" i="2"/>
  <c r="F918" i="2"/>
  <c r="G918" i="2"/>
  <c r="A918" i="2" s="1"/>
  <c r="I918" i="2"/>
  <c r="J918" i="2"/>
  <c r="B919" i="2"/>
  <c r="C919" i="2"/>
  <c r="D919" i="2"/>
  <c r="E919" i="2"/>
  <c r="F919" i="2"/>
  <c r="G919" i="2"/>
  <c r="A919" i="2" s="1"/>
  <c r="I919" i="2"/>
  <c r="J919" i="2"/>
  <c r="A920" i="2"/>
  <c r="B920" i="2"/>
  <c r="C920" i="2"/>
  <c r="D920" i="2"/>
  <c r="E920" i="2"/>
  <c r="F920" i="2"/>
  <c r="G920" i="2"/>
  <c r="I920" i="2"/>
  <c r="J920" i="2"/>
  <c r="A921" i="2"/>
  <c r="B921" i="2"/>
  <c r="C921" i="2"/>
  <c r="D921" i="2"/>
  <c r="E921" i="2"/>
  <c r="F921" i="2"/>
  <c r="G921" i="2"/>
  <c r="I921" i="2"/>
  <c r="J921" i="2"/>
  <c r="B922" i="2"/>
  <c r="C922" i="2"/>
  <c r="D922" i="2"/>
  <c r="E922" i="2"/>
  <c r="F922" i="2"/>
  <c r="G922" i="2"/>
  <c r="A922" i="2" s="1"/>
  <c r="I922" i="2"/>
  <c r="J922" i="2"/>
  <c r="B923" i="2"/>
  <c r="C923" i="2"/>
  <c r="D923" i="2"/>
  <c r="E923" i="2"/>
  <c r="F923" i="2"/>
  <c r="G923" i="2"/>
  <c r="A923" i="2" s="1"/>
  <c r="I923" i="2"/>
  <c r="J923" i="2"/>
  <c r="B924" i="2"/>
  <c r="C924" i="2"/>
  <c r="D924" i="2"/>
  <c r="E924" i="2"/>
  <c r="F924" i="2"/>
  <c r="G924" i="2"/>
  <c r="A924" i="2" s="1"/>
  <c r="I924" i="2"/>
  <c r="J924" i="2"/>
  <c r="A925" i="2"/>
  <c r="B925" i="2"/>
  <c r="C925" i="2"/>
  <c r="D925" i="2"/>
  <c r="E925" i="2"/>
  <c r="F925" i="2"/>
  <c r="G925" i="2"/>
  <c r="I925" i="2"/>
  <c r="J925" i="2"/>
  <c r="A926" i="2"/>
  <c r="B926" i="2"/>
  <c r="C926" i="2"/>
  <c r="D926" i="2"/>
  <c r="E926" i="2"/>
  <c r="F926" i="2"/>
  <c r="G926" i="2"/>
  <c r="A927" i="2"/>
  <c r="B927" i="2"/>
  <c r="C927" i="2"/>
  <c r="D927" i="2"/>
  <c r="E927" i="2"/>
  <c r="F927" i="2"/>
  <c r="G927" i="2"/>
  <c r="B928" i="2"/>
  <c r="C928" i="2"/>
  <c r="D928" i="2"/>
  <c r="E928" i="2"/>
  <c r="F928" i="2"/>
  <c r="G928" i="2"/>
  <c r="A928" i="2" s="1"/>
  <c r="B929" i="2"/>
  <c r="C929" i="2"/>
  <c r="D929" i="2"/>
  <c r="E929" i="2"/>
  <c r="F929" i="2"/>
  <c r="G929" i="2"/>
  <c r="A929" i="2" s="1"/>
  <c r="B930" i="2"/>
  <c r="C930" i="2"/>
  <c r="D930" i="2"/>
  <c r="E930" i="2"/>
  <c r="H930" i="2"/>
  <c r="A930" i="2" s="1"/>
  <c r="F930" i="2" s="1"/>
  <c r="J930" i="2"/>
  <c r="B931" i="2"/>
  <c r="C931" i="2"/>
  <c r="D931" i="2"/>
  <c r="E931" i="2"/>
  <c r="F931" i="2"/>
  <c r="G931" i="2"/>
  <c r="A931" i="2" s="1"/>
  <c r="I931" i="2"/>
  <c r="J931" i="2"/>
  <c r="A932" i="2"/>
  <c r="B932" i="2"/>
  <c r="C932" i="2"/>
  <c r="D932" i="2"/>
  <c r="E932" i="2"/>
  <c r="F932" i="2"/>
  <c r="G932" i="2"/>
  <c r="I932" i="2"/>
  <c r="J932" i="2"/>
  <c r="A933" i="2"/>
  <c r="B933" i="2"/>
  <c r="C933" i="2"/>
  <c r="D933" i="2"/>
  <c r="E933" i="2"/>
  <c r="F933" i="2"/>
  <c r="G933" i="2"/>
  <c r="I933" i="2"/>
  <c r="J933" i="2"/>
  <c r="B934" i="2"/>
  <c r="C934" i="2"/>
  <c r="D934" i="2"/>
  <c r="E934" i="2"/>
  <c r="F934" i="2"/>
  <c r="G934" i="2"/>
  <c r="A934" i="2" s="1"/>
  <c r="I934" i="2"/>
  <c r="J934" i="2"/>
  <c r="B935" i="2"/>
  <c r="C935" i="2"/>
  <c r="D935" i="2"/>
  <c r="E935" i="2"/>
  <c r="F935" i="2"/>
  <c r="G935" i="2"/>
  <c r="A935" i="2" s="1"/>
  <c r="I935" i="2"/>
  <c r="J935" i="2"/>
  <c r="A936" i="2"/>
  <c r="B936" i="2"/>
  <c r="C936" i="2"/>
  <c r="D936" i="2"/>
  <c r="E936" i="2"/>
  <c r="F936" i="2"/>
  <c r="G936" i="2"/>
  <c r="I936" i="2"/>
  <c r="J936" i="2"/>
  <c r="A937" i="2"/>
  <c r="B937" i="2"/>
  <c r="C937" i="2"/>
  <c r="D937" i="2"/>
  <c r="E937" i="2"/>
  <c r="F937" i="2"/>
  <c r="G937" i="2"/>
  <c r="I937" i="2"/>
  <c r="J937" i="2"/>
  <c r="B938" i="2"/>
  <c r="C938" i="2"/>
  <c r="D938" i="2"/>
  <c r="E938" i="2"/>
  <c r="F938" i="2"/>
  <c r="G938" i="2"/>
  <c r="A938" i="2" s="1"/>
  <c r="I938" i="2"/>
  <c r="J938" i="2"/>
  <c r="B939" i="2"/>
  <c r="C939" i="2"/>
  <c r="D939" i="2"/>
  <c r="E939" i="2"/>
  <c r="F939" i="2"/>
  <c r="G939" i="2"/>
  <c r="A939" i="2" s="1"/>
  <c r="I939" i="2"/>
  <c r="J939" i="2"/>
  <c r="A940" i="2"/>
  <c r="B940" i="2"/>
  <c r="C940" i="2"/>
  <c r="D940" i="2"/>
  <c r="E940" i="2"/>
  <c r="F940" i="2"/>
  <c r="G940" i="2"/>
  <c r="I940" i="2"/>
  <c r="J940" i="2"/>
  <c r="A941" i="2"/>
  <c r="B941" i="2"/>
  <c r="C941" i="2"/>
  <c r="D941" i="2"/>
  <c r="E941" i="2"/>
  <c r="F941" i="2"/>
  <c r="G941" i="2"/>
  <c r="I941" i="2"/>
  <c r="J941" i="2"/>
  <c r="B942" i="2"/>
  <c r="C942" i="2"/>
  <c r="D942" i="2"/>
  <c r="E942" i="2"/>
  <c r="F942" i="2"/>
  <c r="G942" i="2"/>
  <c r="A942" i="2" s="1"/>
  <c r="B943" i="2"/>
  <c r="C943" i="2"/>
  <c r="D943" i="2"/>
  <c r="E943" i="2"/>
  <c r="F943" i="2"/>
  <c r="G943" i="2"/>
  <c r="A943" i="2" s="1"/>
  <c r="B944" i="2"/>
  <c r="C944" i="2"/>
  <c r="D944" i="2"/>
  <c r="E944" i="2"/>
  <c r="F944" i="2"/>
  <c r="G944" i="2"/>
  <c r="A944" i="2" s="1"/>
  <c r="B945" i="2"/>
  <c r="C945" i="2"/>
  <c r="D945" i="2"/>
  <c r="E945" i="2"/>
  <c r="F945" i="2"/>
  <c r="G945" i="2"/>
  <c r="A945" i="2" s="1"/>
  <c r="A946" i="2"/>
  <c r="F946" i="2" s="1"/>
  <c r="B946" i="2"/>
  <c r="C946" i="2"/>
  <c r="D946" i="2"/>
  <c r="E946" i="2"/>
  <c r="H946" i="2"/>
  <c r="J946" i="2"/>
  <c r="A947" i="2"/>
  <c r="B947" i="2"/>
  <c r="C947" i="2"/>
  <c r="D947" i="2"/>
  <c r="E947" i="2"/>
  <c r="F947" i="2"/>
  <c r="G947" i="2"/>
  <c r="I947" i="2"/>
  <c r="J947" i="2"/>
  <c r="B948" i="2"/>
  <c r="C948" i="2"/>
  <c r="D948" i="2"/>
  <c r="E948" i="2"/>
  <c r="F948" i="2"/>
  <c r="G948" i="2"/>
  <c r="A948" i="2" s="1"/>
  <c r="I948" i="2"/>
  <c r="J948" i="2"/>
  <c r="B949" i="2"/>
  <c r="C949" i="2"/>
  <c r="D949" i="2"/>
  <c r="E949" i="2"/>
  <c r="F949" i="2"/>
  <c r="G949" i="2"/>
  <c r="A949" i="2" s="1"/>
  <c r="I949" i="2"/>
  <c r="J949" i="2"/>
  <c r="A950" i="2"/>
  <c r="B950" i="2"/>
  <c r="C950" i="2"/>
  <c r="D950" i="2"/>
  <c r="E950" i="2"/>
  <c r="F950" i="2"/>
  <c r="G950" i="2"/>
  <c r="I950" i="2"/>
  <c r="J950" i="2"/>
  <c r="A951" i="2"/>
  <c r="B951" i="2"/>
  <c r="C951" i="2"/>
  <c r="D951" i="2"/>
  <c r="E951" i="2"/>
  <c r="F951" i="2"/>
  <c r="G951" i="2"/>
  <c r="I951" i="2"/>
  <c r="J951" i="2"/>
  <c r="B952" i="2"/>
  <c r="C952" i="2"/>
  <c r="D952" i="2"/>
  <c r="E952" i="2"/>
  <c r="F952" i="2"/>
  <c r="G952" i="2"/>
  <c r="A952" i="2" s="1"/>
  <c r="I952" i="2"/>
  <c r="J952" i="2"/>
  <c r="B953" i="2"/>
  <c r="C953" i="2"/>
  <c r="D953" i="2"/>
  <c r="E953" i="2"/>
  <c r="F953" i="2"/>
  <c r="G953" i="2"/>
  <c r="A953" i="2" s="1"/>
  <c r="I953" i="2"/>
  <c r="J953" i="2"/>
  <c r="A954" i="2"/>
  <c r="B954" i="2"/>
  <c r="C954" i="2"/>
  <c r="D954" i="2"/>
  <c r="E954" i="2"/>
  <c r="F954" i="2"/>
  <c r="G954" i="2"/>
  <c r="I954" i="2"/>
  <c r="J954" i="2"/>
  <c r="A955" i="2"/>
  <c r="B955" i="2"/>
  <c r="C955" i="2"/>
  <c r="D955" i="2"/>
  <c r="E955" i="2"/>
  <c r="F955" i="2"/>
  <c r="G955" i="2"/>
  <c r="I955" i="2"/>
  <c r="J955" i="2"/>
  <c r="B956" i="2"/>
  <c r="C956" i="2"/>
  <c r="D956" i="2"/>
  <c r="E956" i="2"/>
  <c r="F956" i="2"/>
  <c r="G956" i="2"/>
  <c r="A956" i="2" s="1"/>
  <c r="I956" i="2"/>
  <c r="J956" i="2"/>
  <c r="B957" i="2"/>
  <c r="C957" i="2"/>
  <c r="D957" i="2"/>
  <c r="E957" i="2"/>
  <c r="F957" i="2"/>
  <c r="G957" i="2"/>
  <c r="A957" i="2" s="1"/>
  <c r="I957" i="2"/>
  <c r="J957" i="2"/>
  <c r="A958" i="2"/>
  <c r="B958" i="2"/>
  <c r="C958" i="2"/>
  <c r="D958" i="2"/>
  <c r="E958" i="2"/>
  <c r="F958" i="2"/>
  <c r="G958" i="2"/>
  <c r="A959" i="2"/>
  <c r="B959" i="2"/>
  <c r="C959" i="2"/>
  <c r="D959" i="2"/>
  <c r="E959" i="2"/>
  <c r="F959" i="2"/>
  <c r="G959" i="2"/>
  <c r="A960" i="2"/>
  <c r="B960" i="2"/>
  <c r="C960" i="2"/>
  <c r="D960" i="2"/>
  <c r="E960" i="2"/>
  <c r="F960" i="2"/>
  <c r="G960" i="2"/>
  <c r="A961" i="2"/>
  <c r="B961" i="2"/>
  <c r="C961" i="2"/>
  <c r="D961" i="2"/>
  <c r="E961" i="2"/>
  <c r="F961" i="2"/>
  <c r="G961" i="2"/>
  <c r="B962" i="2"/>
  <c r="C962" i="2"/>
  <c r="D962" i="2"/>
  <c r="E962" i="2"/>
  <c r="H962" i="2"/>
  <c r="A962" i="2" s="1"/>
  <c r="F962" i="2" s="1"/>
  <c r="J962" i="2"/>
  <c r="B963" i="2"/>
  <c r="C963" i="2"/>
  <c r="D963" i="2"/>
  <c r="E963" i="2"/>
  <c r="F963" i="2"/>
  <c r="G963" i="2"/>
  <c r="A963" i="2" s="1"/>
  <c r="I963" i="2"/>
  <c r="J963" i="2"/>
  <c r="A964" i="2"/>
  <c r="B964" i="2"/>
  <c r="C964" i="2"/>
  <c r="D964" i="2"/>
  <c r="E964" i="2"/>
  <c r="F964" i="2"/>
  <c r="G964" i="2"/>
  <c r="I964" i="2"/>
  <c r="J964" i="2"/>
  <c r="A965" i="2"/>
  <c r="B965" i="2"/>
  <c r="C965" i="2"/>
  <c r="D965" i="2"/>
  <c r="E965" i="2"/>
  <c r="F965" i="2"/>
  <c r="G965" i="2"/>
  <c r="I965" i="2"/>
  <c r="J965" i="2"/>
  <c r="B966" i="2"/>
  <c r="C966" i="2"/>
  <c r="D966" i="2"/>
  <c r="E966" i="2"/>
  <c r="F966" i="2"/>
  <c r="G966" i="2"/>
  <c r="A966" i="2" s="1"/>
  <c r="I966" i="2"/>
  <c r="J966" i="2"/>
  <c r="B967" i="2"/>
  <c r="C967" i="2"/>
  <c r="D967" i="2"/>
  <c r="E967" i="2"/>
  <c r="F967" i="2"/>
  <c r="G967" i="2"/>
  <c r="A967" i="2" s="1"/>
  <c r="I967" i="2"/>
  <c r="J967" i="2"/>
  <c r="B968" i="2"/>
  <c r="C968" i="2"/>
  <c r="D968" i="2"/>
  <c r="E968" i="2"/>
  <c r="F968" i="2"/>
  <c r="G968" i="2"/>
  <c r="A968" i="2" s="1"/>
  <c r="I968" i="2"/>
  <c r="J968" i="2"/>
  <c r="A969" i="2"/>
  <c r="B969" i="2"/>
  <c r="C969" i="2"/>
  <c r="D969" i="2"/>
  <c r="E969" i="2"/>
  <c r="F969" i="2"/>
  <c r="G969" i="2"/>
  <c r="I969" i="2"/>
  <c r="J969" i="2"/>
  <c r="A970" i="2"/>
  <c r="B970" i="2"/>
  <c r="C970" i="2"/>
  <c r="D970" i="2"/>
  <c r="E970" i="2"/>
  <c r="F970" i="2"/>
  <c r="G970" i="2"/>
  <c r="I970" i="2"/>
  <c r="J970" i="2"/>
  <c r="B971" i="2"/>
  <c r="C971" i="2"/>
  <c r="D971" i="2"/>
  <c r="E971" i="2"/>
  <c r="F971" i="2"/>
  <c r="G971" i="2"/>
  <c r="A971" i="2" s="1"/>
  <c r="I971" i="2"/>
  <c r="J971" i="2"/>
  <c r="B972" i="2"/>
  <c r="C972" i="2"/>
  <c r="D972" i="2"/>
  <c r="E972" i="2"/>
  <c r="F972" i="2"/>
  <c r="G972" i="2"/>
  <c r="A972" i="2" s="1"/>
  <c r="I972" i="2"/>
  <c r="J972" i="2"/>
  <c r="A973" i="2"/>
  <c r="B973" i="2"/>
  <c r="C973" i="2"/>
  <c r="D973" i="2"/>
  <c r="E973" i="2"/>
  <c r="F973" i="2"/>
  <c r="G973" i="2"/>
  <c r="I973" i="2"/>
  <c r="J973" i="2"/>
  <c r="A974" i="2"/>
  <c r="B974" i="2"/>
  <c r="C974" i="2"/>
  <c r="D974" i="2"/>
  <c r="E974" i="2"/>
  <c r="F974" i="2"/>
  <c r="G974" i="2"/>
  <c r="B975" i="2"/>
  <c r="C975" i="2"/>
  <c r="D975" i="2"/>
  <c r="E975" i="2"/>
  <c r="F975" i="2"/>
  <c r="G975" i="2"/>
  <c r="A975" i="2" s="1"/>
  <c r="B976" i="2"/>
  <c r="C976" i="2"/>
  <c r="D976" i="2"/>
  <c r="E976" i="2"/>
  <c r="F976" i="2"/>
  <c r="G976" i="2"/>
  <c r="A976" i="2" s="1"/>
  <c r="B977" i="2"/>
  <c r="C977" i="2"/>
  <c r="D977" i="2"/>
  <c r="E977" i="2"/>
  <c r="F977" i="2"/>
  <c r="G977" i="2"/>
  <c r="A977" i="2" s="1"/>
  <c r="B978" i="2"/>
  <c r="C978" i="2"/>
  <c r="D978" i="2"/>
  <c r="E978" i="2"/>
  <c r="H978" i="2"/>
  <c r="A978" i="2" s="1"/>
  <c r="F978" i="2" s="1"/>
  <c r="J978" i="2"/>
  <c r="B979" i="2"/>
  <c r="C979" i="2"/>
  <c r="D979" i="2"/>
  <c r="E979" i="2"/>
  <c r="F979" i="2"/>
  <c r="G979" i="2"/>
  <c r="A979" i="2" s="1"/>
  <c r="I979" i="2"/>
  <c r="J979" i="2"/>
  <c r="B980" i="2"/>
  <c r="C980" i="2"/>
  <c r="D980" i="2"/>
  <c r="E980" i="2"/>
  <c r="F980" i="2"/>
  <c r="G980" i="2"/>
  <c r="A980" i="2" s="1"/>
  <c r="I980" i="2"/>
  <c r="J980" i="2"/>
  <c r="A981" i="2"/>
  <c r="B981" i="2"/>
  <c r="C981" i="2"/>
  <c r="D981" i="2"/>
  <c r="E981" i="2"/>
  <c r="F981" i="2"/>
  <c r="G981" i="2"/>
  <c r="I981" i="2"/>
  <c r="J981" i="2"/>
  <c r="A982" i="2"/>
  <c r="B982" i="2"/>
  <c r="C982" i="2"/>
  <c r="D982" i="2"/>
  <c r="E982" i="2"/>
  <c r="F982" i="2"/>
  <c r="G982" i="2"/>
  <c r="I982" i="2"/>
  <c r="J982" i="2"/>
  <c r="B983" i="2"/>
  <c r="C983" i="2"/>
  <c r="D983" i="2"/>
  <c r="E983" i="2"/>
  <c r="F983" i="2"/>
  <c r="G983" i="2"/>
  <c r="A983" i="2" s="1"/>
  <c r="I983" i="2"/>
  <c r="J983" i="2"/>
  <c r="B984" i="2"/>
  <c r="C984" i="2"/>
  <c r="D984" i="2"/>
  <c r="E984" i="2"/>
  <c r="F984" i="2"/>
  <c r="G984" i="2"/>
  <c r="A984" i="2" s="1"/>
  <c r="I984" i="2"/>
  <c r="J984" i="2"/>
  <c r="A985" i="2"/>
  <c r="B985" i="2"/>
  <c r="C985" i="2"/>
  <c r="D985" i="2"/>
  <c r="E985" i="2"/>
  <c r="F985" i="2"/>
  <c r="G985" i="2"/>
  <c r="I985" i="2"/>
  <c r="J985" i="2"/>
  <c r="A986" i="2"/>
  <c r="B986" i="2"/>
  <c r="C986" i="2"/>
  <c r="D986" i="2"/>
  <c r="E986" i="2"/>
  <c r="F986" i="2"/>
  <c r="G986" i="2"/>
  <c r="I986" i="2"/>
  <c r="J986" i="2"/>
  <c r="B987" i="2"/>
  <c r="C987" i="2"/>
  <c r="D987" i="2"/>
  <c r="E987" i="2"/>
  <c r="F987" i="2"/>
  <c r="G987" i="2"/>
  <c r="A987" i="2" s="1"/>
  <c r="I987" i="2"/>
  <c r="J987" i="2"/>
  <c r="B988" i="2"/>
  <c r="C988" i="2"/>
  <c r="D988" i="2"/>
  <c r="E988" i="2"/>
  <c r="F988" i="2"/>
  <c r="G988" i="2"/>
  <c r="A988" i="2" s="1"/>
  <c r="I988" i="2"/>
  <c r="J988" i="2"/>
  <c r="A989" i="2"/>
  <c r="B989" i="2"/>
  <c r="C989" i="2"/>
  <c r="D989" i="2"/>
  <c r="E989" i="2"/>
  <c r="F989" i="2"/>
  <c r="G989" i="2"/>
  <c r="I989" i="2"/>
  <c r="J989" i="2"/>
  <c r="A990" i="2"/>
  <c r="B990" i="2"/>
  <c r="C990" i="2"/>
  <c r="D990" i="2"/>
  <c r="E990" i="2"/>
  <c r="F990" i="2"/>
  <c r="G990" i="2"/>
  <c r="A991" i="2"/>
  <c r="B991" i="2"/>
  <c r="C991" i="2"/>
  <c r="D991" i="2"/>
  <c r="E991" i="2"/>
  <c r="F991" i="2"/>
  <c r="G991" i="2"/>
  <c r="B992" i="2"/>
  <c r="C992" i="2"/>
  <c r="D992" i="2"/>
  <c r="E992" i="2"/>
  <c r="F992" i="2"/>
  <c r="G992" i="2"/>
  <c r="A992" i="2" s="1"/>
  <c r="B993" i="2"/>
  <c r="C993" i="2"/>
  <c r="D993" i="2"/>
  <c r="E993" i="2"/>
  <c r="F993" i="2"/>
  <c r="G993" i="2"/>
  <c r="A993" i="2" s="1"/>
  <c r="A994" i="2"/>
  <c r="F994" i="2" s="1"/>
  <c r="B994" i="2"/>
  <c r="C994" i="2"/>
  <c r="D994" i="2"/>
  <c r="E994" i="2"/>
  <c r="H994" i="2"/>
  <c r="J994" i="2"/>
  <c r="B995" i="2"/>
  <c r="C995" i="2"/>
  <c r="D995" i="2"/>
  <c r="E995" i="2"/>
  <c r="F995" i="2"/>
  <c r="G995" i="2"/>
  <c r="A995" i="2" s="1"/>
  <c r="I995" i="2"/>
  <c r="J995" i="2"/>
  <c r="B996" i="2"/>
  <c r="C996" i="2"/>
  <c r="D996" i="2"/>
  <c r="E996" i="2"/>
  <c r="F996" i="2"/>
  <c r="G996" i="2"/>
  <c r="A996" i="2" s="1"/>
  <c r="I996" i="2"/>
  <c r="J996" i="2"/>
  <c r="B997" i="2"/>
  <c r="C997" i="2"/>
  <c r="D997" i="2"/>
  <c r="E997" i="2"/>
  <c r="F997" i="2"/>
  <c r="G997" i="2"/>
  <c r="A997" i="2" s="1"/>
  <c r="I997" i="2"/>
  <c r="J997" i="2"/>
  <c r="A998" i="2"/>
  <c r="B998" i="2"/>
  <c r="C998" i="2"/>
  <c r="D998" i="2"/>
  <c r="E998" i="2"/>
  <c r="F998" i="2"/>
  <c r="G998" i="2"/>
  <c r="I998" i="2"/>
  <c r="J998" i="2"/>
  <c r="A999" i="2"/>
  <c r="B999" i="2"/>
  <c r="C999" i="2"/>
  <c r="D999" i="2"/>
  <c r="E999" i="2"/>
  <c r="F999" i="2"/>
  <c r="G999" i="2"/>
  <c r="I999" i="2"/>
  <c r="J999" i="2"/>
  <c r="B1000" i="2"/>
  <c r="C1000" i="2"/>
  <c r="D1000" i="2"/>
  <c r="E1000" i="2"/>
  <c r="F1000" i="2"/>
  <c r="G1000" i="2"/>
  <c r="A1000" i="2" s="1"/>
  <c r="I1000" i="2"/>
  <c r="J1000" i="2"/>
  <c r="B1001" i="2"/>
  <c r="C1001" i="2"/>
  <c r="D1001" i="2"/>
  <c r="E1001" i="2"/>
  <c r="F1001" i="2"/>
  <c r="G1001" i="2"/>
  <c r="A1001" i="2" s="1"/>
  <c r="I1001" i="2"/>
  <c r="J1001" i="2"/>
  <c r="A1002" i="2"/>
  <c r="B1002" i="2"/>
  <c r="C1002" i="2"/>
  <c r="D1002" i="2"/>
  <c r="E1002" i="2"/>
  <c r="F1002" i="2"/>
  <c r="G1002" i="2"/>
  <c r="I1002" i="2"/>
  <c r="J1002" i="2"/>
  <c r="A1003" i="2"/>
  <c r="B1003" i="2"/>
  <c r="C1003" i="2"/>
  <c r="D1003" i="2"/>
  <c r="E1003" i="2"/>
  <c r="F1003" i="2"/>
  <c r="G1003" i="2"/>
  <c r="I1003" i="2"/>
  <c r="J1003" i="2"/>
  <c r="B1004" i="2"/>
  <c r="C1004" i="2"/>
  <c r="D1004" i="2"/>
  <c r="E1004" i="2"/>
  <c r="F1004" i="2"/>
  <c r="G1004" i="2"/>
  <c r="A1004" i="2" s="1"/>
  <c r="I1004" i="2"/>
  <c r="J1004" i="2"/>
  <c r="A1005" i="2"/>
  <c r="B1005" i="2"/>
  <c r="C1005" i="2"/>
  <c r="D1005" i="2"/>
  <c r="E1005" i="2"/>
  <c r="F1005" i="2"/>
  <c r="G1005" i="2"/>
  <c r="I1005" i="2"/>
  <c r="J1005" i="2"/>
  <c r="A1006" i="2"/>
  <c r="B1006" i="2"/>
  <c r="C1006" i="2"/>
  <c r="D1006" i="2"/>
  <c r="E1006" i="2"/>
  <c r="F1006" i="2"/>
  <c r="G1006" i="2"/>
  <c r="A1007" i="2"/>
  <c r="B1007" i="2"/>
  <c r="C1007" i="2"/>
  <c r="D1007" i="2"/>
  <c r="E1007" i="2"/>
  <c r="F1007" i="2"/>
  <c r="G1007" i="2"/>
  <c r="A1008" i="2"/>
  <c r="B1008" i="2"/>
  <c r="C1008" i="2"/>
  <c r="D1008" i="2"/>
  <c r="E1008" i="2"/>
  <c r="F1008" i="2"/>
  <c r="G1008" i="2"/>
  <c r="B1009" i="2"/>
  <c r="C1009" i="2"/>
  <c r="D1009" i="2"/>
  <c r="E1009" i="2"/>
  <c r="F1009" i="2"/>
  <c r="G1009" i="2"/>
  <c r="A1009" i="2" s="1"/>
  <c r="B1010" i="2"/>
  <c r="C1010" i="2"/>
  <c r="D1010" i="2"/>
  <c r="E1010" i="2"/>
  <c r="H1010" i="2"/>
  <c r="A1010" i="2" s="1"/>
  <c r="F1010" i="2" s="1"/>
  <c r="J1010" i="2"/>
  <c r="B1011" i="2"/>
  <c r="C1011" i="2"/>
  <c r="D1011" i="2"/>
  <c r="E1011" i="2"/>
  <c r="F1011" i="2"/>
  <c r="G1011" i="2"/>
  <c r="A1011" i="2" s="1"/>
  <c r="I1011" i="2"/>
  <c r="J1011" i="2"/>
  <c r="B1012" i="2"/>
  <c r="C1012" i="2"/>
  <c r="D1012" i="2"/>
  <c r="E1012" i="2"/>
  <c r="F1012" i="2"/>
  <c r="G1012" i="2"/>
  <c r="A1012" i="2" s="1"/>
  <c r="I1012" i="2"/>
  <c r="J1012" i="2"/>
  <c r="A1013" i="2"/>
  <c r="B1013" i="2"/>
  <c r="C1013" i="2"/>
  <c r="D1013" i="2"/>
  <c r="E1013" i="2"/>
  <c r="F1013" i="2"/>
  <c r="G1013" i="2"/>
  <c r="I1013" i="2"/>
  <c r="J1013" i="2"/>
  <c r="A1014" i="2"/>
  <c r="B1014" i="2"/>
  <c r="C1014" i="2"/>
  <c r="D1014" i="2"/>
  <c r="E1014" i="2"/>
  <c r="F1014" i="2"/>
  <c r="G1014" i="2"/>
  <c r="I1014" i="2"/>
  <c r="J1014" i="2"/>
  <c r="B1015" i="2"/>
  <c r="C1015" i="2"/>
  <c r="D1015" i="2"/>
  <c r="E1015" i="2"/>
  <c r="F1015" i="2"/>
  <c r="G1015" i="2"/>
  <c r="A1015" i="2" s="1"/>
  <c r="I1015" i="2"/>
  <c r="J1015" i="2"/>
  <c r="B1016" i="2"/>
  <c r="C1016" i="2"/>
  <c r="D1016" i="2"/>
  <c r="E1016" i="2"/>
  <c r="F1016" i="2"/>
  <c r="G1016" i="2"/>
  <c r="A1016" i="2" s="1"/>
  <c r="I1016" i="2"/>
  <c r="J1016" i="2"/>
  <c r="A1017" i="2"/>
  <c r="B1017" i="2"/>
  <c r="C1017" i="2"/>
  <c r="D1017" i="2"/>
  <c r="E1017" i="2"/>
  <c r="F1017" i="2"/>
  <c r="G1017" i="2"/>
  <c r="I1017" i="2"/>
  <c r="J1017" i="2"/>
  <c r="A1018" i="2"/>
  <c r="B1018" i="2"/>
  <c r="C1018" i="2"/>
  <c r="D1018" i="2"/>
  <c r="E1018" i="2"/>
  <c r="F1018" i="2"/>
  <c r="G1018" i="2"/>
  <c r="I1018" i="2"/>
  <c r="J1018" i="2"/>
  <c r="B1019" i="2"/>
  <c r="C1019" i="2"/>
  <c r="D1019" i="2"/>
  <c r="E1019" i="2"/>
  <c r="F1019" i="2"/>
  <c r="G1019" i="2"/>
  <c r="A1019" i="2" s="1"/>
  <c r="I1019" i="2"/>
  <c r="J1019" i="2"/>
  <c r="A1020" i="2"/>
  <c r="B1020" i="2"/>
  <c r="C1020" i="2"/>
  <c r="D1020" i="2"/>
  <c r="E1020" i="2"/>
  <c r="F1020" i="2"/>
  <c r="G1020" i="2"/>
  <c r="I1020" i="2"/>
  <c r="J1020" i="2"/>
  <c r="A1021" i="2"/>
  <c r="B1021" i="2"/>
  <c r="C1021" i="2"/>
  <c r="D1021" i="2"/>
  <c r="E1021" i="2"/>
  <c r="F1021" i="2"/>
  <c r="G1021" i="2"/>
  <c r="I1021" i="2"/>
  <c r="J1021" i="2"/>
  <c r="B1022" i="2"/>
  <c r="C1022" i="2"/>
  <c r="D1022" i="2"/>
  <c r="E1022" i="2"/>
  <c r="F1022" i="2"/>
  <c r="G1022" i="2"/>
  <c r="A1022" i="2" s="1"/>
  <c r="B1023" i="2"/>
  <c r="C1023" i="2"/>
  <c r="D1023" i="2"/>
  <c r="E1023" i="2"/>
  <c r="F1023" i="2"/>
  <c r="G1023" i="2"/>
  <c r="A1023" i="2" s="1"/>
  <c r="B1024" i="2"/>
  <c r="C1024" i="2"/>
  <c r="D1024" i="2"/>
  <c r="E1024" i="2"/>
  <c r="F1024" i="2"/>
  <c r="G1024" i="2"/>
  <c r="A1024" i="2" s="1"/>
  <c r="B1025" i="2"/>
  <c r="C1025" i="2"/>
  <c r="D1025" i="2"/>
  <c r="E1025" i="2"/>
  <c r="F1025" i="2"/>
  <c r="G1025" i="2"/>
  <c r="A1025" i="2" s="1"/>
  <c r="A1026" i="2"/>
  <c r="F1026" i="2" s="1"/>
  <c r="B1026" i="2"/>
  <c r="C1026" i="2"/>
  <c r="D1026" i="2"/>
  <c r="E1026" i="2"/>
  <c r="H1026" i="2"/>
  <c r="J1026" i="2"/>
  <c r="A1027" i="2"/>
  <c r="B1027" i="2"/>
  <c r="C1027" i="2"/>
  <c r="D1027" i="2"/>
  <c r="E1027" i="2"/>
  <c r="F1027" i="2"/>
  <c r="G1027" i="2"/>
  <c r="I1027" i="2"/>
  <c r="J1027" i="2"/>
  <c r="B1028" i="2"/>
  <c r="C1028" i="2"/>
  <c r="D1028" i="2"/>
  <c r="E1028" i="2"/>
  <c r="F1028" i="2"/>
  <c r="G1028" i="2"/>
  <c r="A1028" i="2" s="1"/>
  <c r="I1028" i="2"/>
  <c r="J1028" i="2"/>
  <c r="B1029" i="2"/>
  <c r="C1029" i="2"/>
  <c r="D1029" i="2"/>
  <c r="E1029" i="2"/>
  <c r="F1029" i="2"/>
  <c r="G1029" i="2"/>
  <c r="A1029" i="2" s="1"/>
  <c r="I1029" i="2"/>
  <c r="J1029" i="2"/>
  <c r="A1030" i="2"/>
  <c r="B1030" i="2"/>
  <c r="C1030" i="2"/>
  <c r="D1030" i="2"/>
  <c r="E1030" i="2"/>
  <c r="F1030" i="2"/>
  <c r="G1030" i="2"/>
  <c r="I1030" i="2"/>
  <c r="J1030" i="2"/>
  <c r="A1031" i="2"/>
  <c r="B1031" i="2"/>
  <c r="C1031" i="2"/>
  <c r="D1031" i="2"/>
  <c r="E1031" i="2"/>
  <c r="F1031" i="2"/>
  <c r="G1031" i="2"/>
  <c r="I1031" i="2"/>
  <c r="J1031" i="2"/>
  <c r="B1032" i="2"/>
  <c r="C1032" i="2"/>
  <c r="D1032" i="2"/>
  <c r="E1032" i="2"/>
  <c r="F1032" i="2"/>
  <c r="G1032" i="2"/>
  <c r="A1032" i="2" s="1"/>
  <c r="I1032" i="2"/>
  <c r="J1032" i="2"/>
  <c r="B1033" i="2"/>
  <c r="C1033" i="2"/>
  <c r="D1033" i="2"/>
  <c r="E1033" i="2"/>
  <c r="F1033" i="2"/>
  <c r="G1033" i="2"/>
  <c r="A1033" i="2" s="1"/>
  <c r="I1033" i="2"/>
  <c r="J1033" i="2"/>
  <c r="A1034" i="2"/>
  <c r="B1034" i="2"/>
  <c r="C1034" i="2"/>
  <c r="D1034" i="2"/>
  <c r="E1034" i="2"/>
  <c r="F1034" i="2"/>
  <c r="G1034" i="2"/>
  <c r="I1034" i="2"/>
  <c r="J1034" i="2"/>
  <c r="A1035" i="2"/>
  <c r="B1035" i="2"/>
  <c r="C1035" i="2"/>
  <c r="D1035" i="2"/>
  <c r="E1035" i="2"/>
  <c r="F1035" i="2"/>
  <c r="G1035" i="2"/>
  <c r="I1035" i="2"/>
  <c r="J1035" i="2"/>
  <c r="B1036" i="2"/>
  <c r="C1036" i="2"/>
  <c r="D1036" i="2"/>
  <c r="E1036" i="2"/>
  <c r="F1036" i="2"/>
  <c r="G1036" i="2"/>
  <c r="A1036" i="2" s="1"/>
  <c r="I1036" i="2"/>
  <c r="J1036" i="2"/>
  <c r="B1037" i="2"/>
  <c r="C1037" i="2"/>
  <c r="D1037" i="2"/>
  <c r="E1037" i="2"/>
  <c r="F1037" i="2"/>
  <c r="G1037" i="2"/>
  <c r="A1037" i="2" s="1"/>
  <c r="I1037" i="2"/>
  <c r="J1037" i="2"/>
  <c r="A1038" i="2"/>
  <c r="B1038" i="2"/>
  <c r="C1038" i="2"/>
  <c r="D1038" i="2"/>
  <c r="E1038" i="2"/>
  <c r="F1038" i="2"/>
  <c r="G1038" i="2"/>
  <c r="B1039" i="2"/>
  <c r="C1039" i="2"/>
  <c r="D1039" i="2"/>
  <c r="E1039" i="2"/>
  <c r="F1039" i="2"/>
  <c r="G1039" i="2"/>
  <c r="A1039" i="2" s="1"/>
  <c r="B1040" i="2"/>
  <c r="C1040" i="2"/>
  <c r="D1040" i="2"/>
  <c r="E1040" i="2"/>
  <c r="F1040" i="2"/>
  <c r="G1040" i="2"/>
  <c r="A1040" i="2" s="1"/>
  <c r="A1041" i="2"/>
  <c r="B1041" i="2"/>
  <c r="C1041" i="2"/>
  <c r="D1041" i="2"/>
  <c r="E1041" i="2"/>
  <c r="F1041" i="2"/>
  <c r="G1041" i="2"/>
  <c r="A1042" i="2"/>
  <c r="B1042" i="2"/>
  <c r="C1042" i="2"/>
  <c r="D1042" i="2"/>
  <c r="E1042" i="2"/>
  <c r="F1042" i="2"/>
  <c r="H1042" i="2"/>
  <c r="J1042" i="2"/>
  <c r="A1043" i="2"/>
  <c r="B1043" i="2"/>
  <c r="C1043" i="2"/>
  <c r="D1043" i="2"/>
  <c r="E1043" i="2"/>
  <c r="F1043" i="2"/>
  <c r="G1043" i="2"/>
  <c r="I1043" i="2"/>
  <c r="J1043" i="2"/>
  <c r="B1044" i="2"/>
  <c r="C1044" i="2"/>
  <c r="D1044" i="2"/>
  <c r="E1044" i="2"/>
  <c r="F1044" i="2"/>
  <c r="G1044" i="2"/>
  <c r="A1044" i="2" s="1"/>
  <c r="I1044" i="2"/>
  <c r="J1044" i="2"/>
  <c r="B1045" i="2"/>
  <c r="C1045" i="2"/>
  <c r="D1045" i="2"/>
  <c r="E1045" i="2"/>
  <c r="F1045" i="2"/>
  <c r="G1045" i="2"/>
  <c r="A1045" i="2" s="1"/>
  <c r="I1045" i="2"/>
  <c r="J1045" i="2"/>
  <c r="A1046" i="2"/>
  <c r="B1046" i="2"/>
  <c r="C1046" i="2"/>
  <c r="D1046" i="2"/>
  <c r="E1046" i="2"/>
  <c r="F1046" i="2"/>
  <c r="G1046" i="2"/>
  <c r="I1046" i="2"/>
  <c r="J1046" i="2"/>
  <c r="A1047" i="2"/>
  <c r="B1047" i="2"/>
  <c r="C1047" i="2"/>
  <c r="D1047" i="2"/>
  <c r="E1047" i="2"/>
  <c r="F1047" i="2"/>
  <c r="G1047" i="2"/>
  <c r="I1047" i="2"/>
  <c r="J1047" i="2"/>
  <c r="B1048" i="2"/>
  <c r="C1048" i="2"/>
  <c r="D1048" i="2"/>
  <c r="E1048" i="2"/>
  <c r="F1048" i="2"/>
  <c r="G1048" i="2"/>
  <c r="A1048" i="2" s="1"/>
  <c r="I1048" i="2"/>
  <c r="J1048" i="2"/>
  <c r="A1049" i="2"/>
  <c r="B1049" i="2"/>
  <c r="C1049" i="2"/>
  <c r="D1049" i="2"/>
  <c r="E1049" i="2"/>
  <c r="F1049" i="2"/>
  <c r="G1049" i="2"/>
  <c r="I1049" i="2"/>
  <c r="J1049" i="2"/>
  <c r="A1050" i="2"/>
  <c r="B1050" i="2"/>
  <c r="C1050" i="2"/>
  <c r="D1050" i="2"/>
  <c r="E1050" i="2"/>
  <c r="F1050" i="2"/>
  <c r="G1050" i="2"/>
  <c r="I1050" i="2"/>
  <c r="J1050" i="2"/>
  <c r="B1051" i="2"/>
  <c r="C1051" i="2"/>
  <c r="D1051" i="2"/>
  <c r="E1051" i="2"/>
  <c r="F1051" i="2"/>
  <c r="G1051" i="2"/>
  <c r="A1051" i="2" s="1"/>
  <c r="I1051" i="2"/>
  <c r="J1051" i="2"/>
  <c r="B1052" i="2"/>
  <c r="C1052" i="2"/>
  <c r="D1052" i="2"/>
  <c r="E1052" i="2"/>
  <c r="F1052" i="2"/>
  <c r="G1052" i="2"/>
  <c r="A1052" i="2" s="1"/>
  <c r="I1052" i="2"/>
  <c r="J1052" i="2"/>
  <c r="A1053" i="2"/>
  <c r="B1053" i="2"/>
  <c r="C1053" i="2"/>
  <c r="D1053" i="2"/>
  <c r="E1053" i="2"/>
  <c r="F1053" i="2"/>
  <c r="G1053" i="2"/>
  <c r="I1053" i="2"/>
  <c r="J1053" i="2"/>
  <c r="A1054" i="2"/>
  <c r="B1054" i="2"/>
  <c r="C1054" i="2"/>
  <c r="D1054" i="2"/>
  <c r="E1054" i="2"/>
  <c r="F1054" i="2"/>
  <c r="G1054" i="2"/>
  <c r="A1055" i="2"/>
  <c r="B1055" i="2"/>
  <c r="C1055" i="2"/>
  <c r="D1055" i="2"/>
  <c r="E1055" i="2"/>
  <c r="F1055" i="2"/>
  <c r="G1055" i="2"/>
  <c r="B1056" i="2"/>
  <c r="C1056" i="2"/>
  <c r="D1056" i="2"/>
  <c r="E1056" i="2"/>
  <c r="F1056" i="2"/>
  <c r="G1056" i="2"/>
  <c r="A1056" i="2" s="1"/>
  <c r="B1057" i="2"/>
  <c r="C1057" i="2"/>
  <c r="D1057" i="2"/>
  <c r="E1057" i="2"/>
  <c r="F1057" i="2"/>
  <c r="G1057" i="2"/>
  <c r="A1057" i="2" s="1"/>
  <c r="A1058" i="2"/>
  <c r="F1058" i="2" s="1"/>
  <c r="B1058" i="2"/>
  <c r="C1058" i="2"/>
  <c r="D1058" i="2"/>
  <c r="E1058" i="2"/>
  <c r="H1058" i="2"/>
  <c r="J1058" i="2"/>
  <c r="B1059" i="2"/>
  <c r="C1059" i="2"/>
  <c r="D1059" i="2"/>
  <c r="E1059" i="2"/>
  <c r="F1059" i="2"/>
  <c r="G1059" i="2"/>
  <c r="A1059" i="2" s="1"/>
  <c r="I1059" i="2"/>
  <c r="J1059" i="2"/>
  <c r="B1060" i="2"/>
  <c r="C1060" i="2"/>
  <c r="D1060" i="2"/>
  <c r="E1060" i="2"/>
  <c r="F1060" i="2"/>
  <c r="G1060" i="2"/>
  <c r="A1060" i="2" s="1"/>
  <c r="I1060" i="2"/>
  <c r="J1060" i="2"/>
  <c r="A1061" i="2"/>
  <c r="B1061" i="2"/>
  <c r="C1061" i="2"/>
  <c r="D1061" i="2"/>
  <c r="E1061" i="2"/>
  <c r="F1061" i="2"/>
  <c r="G1061" i="2"/>
  <c r="I1061" i="2"/>
  <c r="J1061" i="2"/>
  <c r="A1062" i="2"/>
  <c r="B1062" i="2"/>
  <c r="C1062" i="2"/>
  <c r="D1062" i="2"/>
  <c r="E1062" i="2"/>
  <c r="F1062" i="2"/>
  <c r="G1062" i="2"/>
  <c r="I1062" i="2"/>
  <c r="J1062" i="2"/>
  <c r="B1063" i="2"/>
  <c r="C1063" i="2"/>
  <c r="D1063" i="2"/>
  <c r="E1063" i="2"/>
  <c r="F1063" i="2"/>
  <c r="G1063" i="2"/>
  <c r="A1063" i="2" s="1"/>
  <c r="I1063" i="2"/>
  <c r="J1063" i="2"/>
  <c r="A1064" i="2"/>
  <c r="B1064" i="2"/>
  <c r="C1064" i="2"/>
  <c r="D1064" i="2"/>
  <c r="E1064" i="2"/>
  <c r="F1064" i="2"/>
  <c r="G1064" i="2"/>
  <c r="I1064" i="2"/>
  <c r="J1064" i="2"/>
  <c r="A1065" i="2"/>
  <c r="B1065" i="2"/>
  <c r="C1065" i="2"/>
  <c r="D1065" i="2"/>
  <c r="E1065" i="2"/>
  <c r="F1065" i="2"/>
  <c r="G1065" i="2"/>
  <c r="I1065" i="2"/>
  <c r="J1065" i="2"/>
  <c r="B1066" i="2"/>
  <c r="C1066" i="2"/>
  <c r="D1066" i="2"/>
  <c r="E1066" i="2"/>
  <c r="F1066" i="2"/>
  <c r="G1066" i="2"/>
  <c r="A1066" i="2" s="1"/>
  <c r="I1066" i="2"/>
  <c r="J1066" i="2"/>
  <c r="B1067" i="2"/>
  <c r="C1067" i="2"/>
  <c r="D1067" i="2"/>
  <c r="E1067" i="2"/>
  <c r="F1067" i="2"/>
  <c r="G1067" i="2"/>
  <c r="A1067" i="2" s="1"/>
  <c r="I1067" i="2"/>
  <c r="J1067" i="2"/>
  <c r="A1068" i="2"/>
  <c r="B1068" i="2"/>
  <c r="C1068" i="2"/>
  <c r="D1068" i="2"/>
  <c r="E1068" i="2"/>
  <c r="F1068" i="2"/>
  <c r="G1068" i="2"/>
  <c r="I1068" i="2"/>
  <c r="J1068" i="2"/>
  <c r="A1069" i="2"/>
  <c r="B1069" i="2"/>
  <c r="C1069" i="2"/>
  <c r="D1069" i="2"/>
  <c r="E1069" i="2"/>
  <c r="F1069" i="2"/>
  <c r="G1069" i="2"/>
  <c r="I1069" i="2"/>
  <c r="J1069" i="2"/>
  <c r="B1070" i="2"/>
  <c r="C1070" i="2"/>
  <c r="D1070" i="2"/>
  <c r="E1070" i="2"/>
  <c r="F1070" i="2"/>
  <c r="G1070" i="2"/>
  <c r="A1070" i="2" s="1"/>
  <c r="A1071" i="2"/>
  <c r="B1071" i="2"/>
  <c r="C1071" i="2"/>
  <c r="D1071" i="2"/>
  <c r="E1071" i="2"/>
  <c r="F1071" i="2"/>
  <c r="G1071" i="2"/>
  <c r="B1072" i="2"/>
  <c r="C1072" i="2"/>
  <c r="D1072" i="2"/>
  <c r="E1072" i="2"/>
  <c r="F1072" i="2"/>
  <c r="G1072" i="2"/>
  <c r="A1072" i="2" s="1"/>
  <c r="B1073" i="2"/>
  <c r="C1073" i="2"/>
  <c r="D1073" i="2"/>
  <c r="E1073" i="2"/>
  <c r="F1073" i="2"/>
  <c r="G1073" i="2"/>
  <c r="A1073" i="2" s="1"/>
  <c r="B1074" i="2"/>
  <c r="C1074" i="2"/>
  <c r="D1074" i="2"/>
  <c r="E1074" i="2"/>
  <c r="H1074" i="2"/>
  <c r="A1074" i="2" s="1"/>
  <c r="F1074" i="2" s="1"/>
  <c r="J1074" i="2"/>
  <c r="A1075" i="2"/>
  <c r="B1075" i="2"/>
  <c r="C1075" i="2"/>
  <c r="D1075" i="2"/>
  <c r="E1075" i="2"/>
  <c r="F1075" i="2"/>
  <c r="G1075" i="2"/>
  <c r="I1075" i="2"/>
  <c r="J1075" i="2"/>
  <c r="A1076" i="2"/>
  <c r="B1076" i="2"/>
  <c r="C1076" i="2"/>
  <c r="D1076" i="2"/>
  <c r="E1076" i="2"/>
  <c r="F1076" i="2"/>
  <c r="G1076" i="2"/>
  <c r="I1076" i="2"/>
  <c r="J1076" i="2"/>
  <c r="B1077" i="2"/>
  <c r="C1077" i="2"/>
  <c r="D1077" i="2"/>
  <c r="E1077" i="2"/>
  <c r="F1077" i="2"/>
  <c r="G1077" i="2"/>
  <c r="A1077" i="2" s="1"/>
  <c r="I1077" i="2"/>
  <c r="J1077" i="2"/>
  <c r="B1078" i="2"/>
  <c r="C1078" i="2"/>
  <c r="D1078" i="2"/>
  <c r="E1078" i="2"/>
  <c r="F1078" i="2"/>
  <c r="G1078" i="2"/>
  <c r="A1078" i="2" s="1"/>
  <c r="I1078" i="2"/>
  <c r="J1078" i="2"/>
  <c r="A1079" i="2"/>
  <c r="B1079" i="2"/>
  <c r="C1079" i="2"/>
  <c r="D1079" i="2"/>
  <c r="E1079" i="2"/>
  <c r="F1079" i="2"/>
  <c r="G1079" i="2"/>
  <c r="I1079" i="2"/>
  <c r="J1079" i="2"/>
  <c r="A1080" i="2"/>
  <c r="B1080" i="2"/>
  <c r="C1080" i="2"/>
  <c r="D1080" i="2"/>
  <c r="E1080" i="2"/>
  <c r="F1080" i="2"/>
  <c r="G1080" i="2"/>
  <c r="I1080" i="2"/>
  <c r="J1080" i="2"/>
  <c r="B1081" i="2"/>
  <c r="C1081" i="2"/>
  <c r="D1081" i="2"/>
  <c r="E1081" i="2"/>
  <c r="F1081" i="2"/>
  <c r="G1081" i="2"/>
  <c r="A1081" i="2" s="1"/>
  <c r="I1081" i="2"/>
  <c r="J1081" i="2"/>
  <c r="B1082" i="2"/>
  <c r="C1082" i="2"/>
  <c r="D1082" i="2"/>
  <c r="E1082" i="2"/>
  <c r="F1082" i="2"/>
  <c r="G1082" i="2"/>
  <c r="A1082" i="2" s="1"/>
  <c r="I1082" i="2"/>
  <c r="J1082" i="2"/>
  <c r="A1083" i="2"/>
  <c r="B1083" i="2"/>
  <c r="C1083" i="2"/>
  <c r="D1083" i="2"/>
  <c r="E1083" i="2"/>
  <c r="F1083" i="2"/>
  <c r="G1083" i="2"/>
  <c r="I1083" i="2"/>
  <c r="J1083" i="2"/>
  <c r="A1084" i="2"/>
  <c r="B1084" i="2"/>
  <c r="C1084" i="2"/>
  <c r="D1084" i="2"/>
  <c r="E1084" i="2"/>
  <c r="F1084" i="2"/>
  <c r="G1084" i="2"/>
  <c r="I1084" i="2"/>
  <c r="J1084" i="2"/>
  <c r="B1085" i="2"/>
  <c r="C1085" i="2"/>
  <c r="D1085" i="2"/>
  <c r="E1085" i="2"/>
  <c r="F1085" i="2"/>
  <c r="G1085" i="2"/>
  <c r="A1085" i="2" s="1"/>
  <c r="I1085" i="2"/>
  <c r="J1085" i="2"/>
  <c r="B1086" i="2"/>
  <c r="C1086" i="2"/>
  <c r="D1086" i="2"/>
  <c r="E1086" i="2"/>
  <c r="F1086" i="2"/>
  <c r="G1086" i="2"/>
  <c r="A1086" i="2" s="1"/>
  <c r="B1087" i="2"/>
  <c r="C1087" i="2"/>
  <c r="D1087" i="2"/>
  <c r="E1087" i="2"/>
  <c r="F1087" i="2"/>
  <c r="G1087" i="2"/>
  <c r="A1087" i="2" s="1"/>
  <c r="A1088" i="2"/>
  <c r="B1088" i="2"/>
  <c r="C1088" i="2"/>
  <c r="D1088" i="2"/>
  <c r="E1088" i="2"/>
  <c r="F1088" i="2"/>
  <c r="G1088" i="2"/>
  <c r="A1089" i="2"/>
  <c r="B1089" i="2"/>
  <c r="C1089" i="2"/>
  <c r="D1089" i="2"/>
  <c r="E1089" i="2"/>
  <c r="F1089" i="2"/>
  <c r="G1089" i="2"/>
  <c r="A1090" i="2"/>
  <c r="B1090" i="2"/>
  <c r="C1090" i="2"/>
  <c r="D1090" i="2"/>
  <c r="E1090" i="2"/>
  <c r="F1090" i="2"/>
  <c r="H1090" i="2"/>
  <c r="J1090" i="2"/>
  <c r="A1091" i="2"/>
  <c r="B1091" i="2"/>
  <c r="C1091" i="2"/>
  <c r="D1091" i="2"/>
  <c r="E1091" i="2"/>
  <c r="F1091" i="2"/>
  <c r="G1091" i="2"/>
  <c r="I1091" i="2"/>
  <c r="J1091" i="2"/>
  <c r="B1092" i="2"/>
  <c r="C1092" i="2"/>
  <c r="D1092" i="2"/>
  <c r="E1092" i="2"/>
  <c r="F1092" i="2"/>
  <c r="G1092" i="2"/>
  <c r="A1092" i="2" s="1"/>
  <c r="I1092" i="2"/>
  <c r="J1092" i="2"/>
  <c r="A1093" i="2"/>
  <c r="B1093" i="2"/>
  <c r="C1093" i="2"/>
  <c r="D1093" i="2"/>
  <c r="E1093" i="2"/>
  <c r="F1093" i="2"/>
  <c r="G1093" i="2"/>
  <c r="I1093" i="2"/>
  <c r="J1093" i="2"/>
  <c r="A1094" i="2"/>
  <c r="B1094" i="2"/>
  <c r="C1094" i="2"/>
  <c r="D1094" i="2"/>
  <c r="E1094" i="2"/>
  <c r="F1094" i="2"/>
  <c r="G1094" i="2"/>
  <c r="I1094" i="2"/>
  <c r="J1094" i="2"/>
  <c r="B1095" i="2"/>
  <c r="C1095" i="2"/>
  <c r="D1095" i="2"/>
  <c r="E1095" i="2"/>
  <c r="F1095" i="2"/>
  <c r="G1095" i="2"/>
  <c r="A1095" i="2" s="1"/>
  <c r="I1095" i="2"/>
  <c r="J1095" i="2"/>
  <c r="B1096" i="2"/>
  <c r="C1096" i="2"/>
  <c r="D1096" i="2"/>
  <c r="E1096" i="2"/>
  <c r="F1096" i="2"/>
  <c r="G1096" i="2"/>
  <c r="A1096" i="2" s="1"/>
  <c r="I1096" i="2"/>
  <c r="J1096" i="2"/>
  <c r="A1097" i="2"/>
  <c r="B1097" i="2"/>
  <c r="C1097" i="2"/>
  <c r="D1097" i="2"/>
  <c r="E1097" i="2"/>
  <c r="F1097" i="2"/>
  <c r="G1097" i="2"/>
  <c r="I1097" i="2"/>
  <c r="J1097" i="2"/>
  <c r="A1098" i="2"/>
  <c r="B1098" i="2"/>
  <c r="C1098" i="2"/>
  <c r="D1098" i="2"/>
  <c r="E1098" i="2"/>
  <c r="F1098" i="2"/>
  <c r="G1098" i="2"/>
  <c r="I1098" i="2"/>
  <c r="J1098" i="2"/>
  <c r="B1099" i="2"/>
  <c r="C1099" i="2"/>
  <c r="D1099" i="2"/>
  <c r="E1099" i="2"/>
  <c r="F1099" i="2"/>
  <c r="G1099" i="2"/>
  <c r="A1099" i="2" s="1"/>
  <c r="I1099" i="2"/>
  <c r="J1099" i="2"/>
  <c r="B1100" i="2"/>
  <c r="C1100" i="2"/>
  <c r="D1100" i="2"/>
  <c r="E1100" i="2"/>
  <c r="F1100" i="2"/>
  <c r="G1100" i="2"/>
  <c r="A1100" i="2" s="1"/>
  <c r="I1100" i="2"/>
  <c r="J1100" i="2"/>
  <c r="B1101" i="2"/>
  <c r="C1101" i="2"/>
  <c r="D1101" i="2"/>
  <c r="E1101" i="2"/>
  <c r="F1101" i="2"/>
  <c r="G1101" i="2"/>
  <c r="A1101" i="2" s="1"/>
  <c r="I1101" i="2"/>
  <c r="J1101" i="2"/>
  <c r="A1102" i="2"/>
  <c r="B1102" i="2"/>
  <c r="C1102" i="2"/>
  <c r="D1102" i="2"/>
  <c r="E1102" i="2"/>
  <c r="F1102" i="2"/>
  <c r="G1102" i="2"/>
  <c r="A1103" i="2"/>
  <c r="B1103" i="2"/>
  <c r="C1103" i="2"/>
  <c r="D1103" i="2"/>
  <c r="E1103" i="2"/>
  <c r="F1103" i="2"/>
  <c r="G1103" i="2"/>
  <c r="B1104" i="2"/>
  <c r="C1104" i="2"/>
  <c r="D1104" i="2"/>
  <c r="E1104" i="2"/>
  <c r="F1104" i="2"/>
  <c r="G1104" i="2"/>
  <c r="A1104" i="2" s="1"/>
  <c r="A1105" i="2"/>
  <c r="B1105" i="2"/>
  <c r="C1105" i="2"/>
  <c r="D1105" i="2"/>
  <c r="E1105" i="2"/>
  <c r="F1105" i="2"/>
  <c r="G1105" i="2"/>
  <c r="A1106" i="2"/>
  <c r="F1106" i="2" s="1"/>
  <c r="B1106" i="2"/>
  <c r="C1106" i="2"/>
  <c r="D1106" i="2"/>
  <c r="E1106" i="2"/>
  <c r="H1106" i="2"/>
  <c r="J1106" i="2"/>
  <c r="B1107" i="2"/>
  <c r="C1107" i="2"/>
  <c r="D1107" i="2"/>
  <c r="E1107" i="2"/>
  <c r="F1107" i="2"/>
  <c r="G1107" i="2"/>
  <c r="A1107" i="2" s="1"/>
  <c r="I1107" i="2"/>
  <c r="J1107" i="2"/>
  <c r="A1108" i="2"/>
  <c r="B1108" i="2"/>
  <c r="C1108" i="2"/>
  <c r="D1108" i="2"/>
  <c r="E1108" i="2"/>
  <c r="F1108" i="2"/>
  <c r="G1108" i="2"/>
  <c r="I1108" i="2"/>
  <c r="J1108" i="2"/>
  <c r="A1109" i="2"/>
  <c r="B1109" i="2"/>
  <c r="C1109" i="2"/>
  <c r="D1109" i="2"/>
  <c r="E1109" i="2"/>
  <c r="F1109" i="2"/>
  <c r="G1109" i="2"/>
  <c r="I1109" i="2"/>
  <c r="J1109" i="2"/>
  <c r="B1110" i="2"/>
  <c r="C1110" i="2"/>
  <c r="D1110" i="2"/>
  <c r="E1110" i="2"/>
  <c r="F1110" i="2"/>
  <c r="G1110" i="2"/>
  <c r="A1110" i="2" s="1"/>
  <c r="I1110" i="2"/>
  <c r="J1110" i="2"/>
  <c r="B1111" i="2"/>
  <c r="C1111" i="2"/>
  <c r="D1111" i="2"/>
  <c r="E1111" i="2"/>
  <c r="F1111" i="2"/>
  <c r="G1111" i="2"/>
  <c r="A1111" i="2" s="1"/>
  <c r="I1111" i="2"/>
  <c r="J1111" i="2"/>
  <c r="A1112" i="2"/>
  <c r="B1112" i="2"/>
  <c r="C1112" i="2"/>
  <c r="D1112" i="2"/>
  <c r="E1112" i="2"/>
  <c r="F1112" i="2"/>
  <c r="G1112" i="2"/>
  <c r="I1112" i="2"/>
  <c r="J1112" i="2"/>
  <c r="A1113" i="2"/>
  <c r="B1113" i="2"/>
  <c r="C1113" i="2"/>
  <c r="D1113" i="2"/>
  <c r="E1113" i="2"/>
  <c r="F1113" i="2"/>
  <c r="G1113" i="2"/>
  <c r="I1113" i="2"/>
  <c r="J1113" i="2"/>
  <c r="B1114" i="2"/>
  <c r="C1114" i="2"/>
  <c r="D1114" i="2"/>
  <c r="E1114" i="2"/>
  <c r="F1114" i="2"/>
  <c r="G1114" i="2"/>
  <c r="A1114" i="2" s="1"/>
  <c r="I1114" i="2"/>
  <c r="J1114" i="2"/>
  <c r="B1115" i="2"/>
  <c r="C1115" i="2"/>
  <c r="D1115" i="2"/>
  <c r="E1115" i="2"/>
  <c r="F1115" i="2"/>
  <c r="G1115" i="2"/>
  <c r="A1115" i="2" s="1"/>
  <c r="I1115" i="2"/>
  <c r="J1115" i="2"/>
  <c r="A1116" i="2"/>
  <c r="B1116" i="2"/>
  <c r="C1116" i="2"/>
  <c r="D1116" i="2"/>
  <c r="E1116" i="2"/>
  <c r="F1116" i="2"/>
  <c r="G1116" i="2"/>
  <c r="I1116" i="2"/>
  <c r="J1116" i="2"/>
  <c r="A1117" i="2"/>
  <c r="B1117" i="2"/>
  <c r="C1117" i="2"/>
  <c r="D1117" i="2"/>
  <c r="E1117" i="2"/>
  <c r="F1117" i="2"/>
  <c r="G1117" i="2"/>
  <c r="I1117" i="2"/>
  <c r="J1117" i="2"/>
  <c r="B1118" i="2"/>
  <c r="C1118" i="2"/>
  <c r="D1118" i="2"/>
  <c r="E1118" i="2"/>
  <c r="F1118" i="2"/>
  <c r="G1118" i="2"/>
  <c r="A1118" i="2" s="1"/>
  <c r="A1119" i="2"/>
  <c r="B1119" i="2"/>
  <c r="C1119" i="2"/>
  <c r="D1119" i="2"/>
  <c r="E1119" i="2"/>
  <c r="F1119" i="2"/>
  <c r="G1119" i="2"/>
  <c r="B1120" i="2"/>
  <c r="C1120" i="2"/>
  <c r="D1120" i="2"/>
  <c r="E1120" i="2"/>
  <c r="F1120" i="2"/>
  <c r="G1120" i="2"/>
  <c r="A1120" i="2" s="1"/>
  <c r="B1121" i="2"/>
  <c r="C1121" i="2"/>
  <c r="D1121" i="2"/>
  <c r="E1121" i="2"/>
  <c r="F1121" i="2"/>
  <c r="G1121" i="2"/>
  <c r="A1121" i="2" s="1"/>
  <c r="A1122" i="2"/>
  <c r="F1122" i="2" s="1"/>
  <c r="B1122" i="2"/>
  <c r="C1122" i="2"/>
  <c r="D1122" i="2"/>
  <c r="E1122" i="2"/>
  <c r="H1122" i="2"/>
  <c r="J1122" i="2"/>
  <c r="B1123" i="2"/>
  <c r="C1123" i="2"/>
  <c r="D1123" i="2"/>
  <c r="E1123" i="2"/>
  <c r="F1123" i="2"/>
  <c r="G1123" i="2"/>
  <c r="A1123" i="2" s="1"/>
  <c r="I1123" i="2"/>
  <c r="J1123" i="2"/>
  <c r="B1124" i="2"/>
  <c r="C1124" i="2"/>
  <c r="D1124" i="2"/>
  <c r="E1124" i="2"/>
  <c r="F1124" i="2"/>
  <c r="G1124" i="2"/>
  <c r="A1124" i="2" s="1"/>
  <c r="I1124" i="2"/>
  <c r="J1124" i="2"/>
  <c r="A1125" i="2"/>
  <c r="B1125" i="2"/>
  <c r="C1125" i="2"/>
  <c r="D1125" i="2"/>
  <c r="E1125" i="2"/>
  <c r="F1125" i="2"/>
  <c r="G1125" i="2"/>
  <c r="I1125" i="2"/>
  <c r="J1125" i="2"/>
  <c r="A1126" i="2"/>
  <c r="B1126" i="2"/>
  <c r="C1126" i="2"/>
  <c r="D1126" i="2"/>
  <c r="E1126" i="2"/>
  <c r="F1126" i="2"/>
  <c r="G1126" i="2"/>
  <c r="I1126" i="2"/>
  <c r="J1126" i="2"/>
  <c r="B1127" i="2"/>
  <c r="C1127" i="2"/>
  <c r="D1127" i="2"/>
  <c r="E1127" i="2"/>
  <c r="F1127" i="2"/>
  <c r="G1127" i="2"/>
  <c r="A1127" i="2" s="1"/>
  <c r="I1127" i="2"/>
  <c r="J1127" i="2"/>
  <c r="B1128" i="2"/>
  <c r="C1128" i="2"/>
  <c r="D1128" i="2"/>
  <c r="E1128" i="2"/>
  <c r="F1128" i="2"/>
  <c r="G1128" i="2"/>
  <c r="A1128" i="2" s="1"/>
  <c r="I1128" i="2"/>
  <c r="J1128" i="2"/>
  <c r="A1129" i="2"/>
  <c r="B1129" i="2"/>
  <c r="C1129" i="2"/>
  <c r="D1129" i="2"/>
  <c r="E1129" i="2"/>
  <c r="F1129" i="2"/>
  <c r="G1129" i="2"/>
  <c r="I1129" i="2"/>
  <c r="J1129" i="2"/>
  <c r="A1130" i="2"/>
  <c r="B1130" i="2"/>
  <c r="C1130" i="2"/>
  <c r="D1130" i="2"/>
  <c r="E1130" i="2"/>
  <c r="F1130" i="2"/>
  <c r="G1130" i="2"/>
  <c r="I1130" i="2"/>
  <c r="J1130" i="2"/>
  <c r="B1131" i="2"/>
  <c r="C1131" i="2"/>
  <c r="D1131" i="2"/>
  <c r="E1131" i="2"/>
  <c r="F1131" i="2"/>
  <c r="G1131" i="2"/>
  <c r="A1131" i="2" s="1"/>
  <c r="I1131" i="2"/>
  <c r="J1131" i="2"/>
  <c r="B1132" i="2"/>
  <c r="C1132" i="2"/>
  <c r="D1132" i="2"/>
  <c r="E1132" i="2"/>
  <c r="F1132" i="2"/>
  <c r="G1132" i="2"/>
  <c r="A1132" i="2" s="1"/>
  <c r="I1132" i="2"/>
  <c r="J1132" i="2"/>
  <c r="A1133" i="2"/>
  <c r="B1133" i="2"/>
  <c r="C1133" i="2"/>
  <c r="D1133" i="2"/>
  <c r="E1133" i="2"/>
  <c r="F1133" i="2"/>
  <c r="G1133" i="2"/>
  <c r="I1133" i="2"/>
  <c r="J1133" i="2"/>
  <c r="A1134" i="2"/>
  <c r="B1134" i="2"/>
  <c r="C1134" i="2"/>
  <c r="D1134" i="2"/>
  <c r="E1134" i="2"/>
  <c r="F1134" i="2"/>
  <c r="G1134" i="2"/>
  <c r="A1135" i="2"/>
  <c r="B1135" i="2"/>
  <c r="C1135" i="2"/>
  <c r="D1135" i="2"/>
  <c r="E1135" i="2"/>
  <c r="F1135" i="2"/>
  <c r="G1135" i="2"/>
  <c r="B1136" i="2"/>
  <c r="C1136" i="2"/>
  <c r="D1136" i="2"/>
  <c r="E1136" i="2"/>
  <c r="F1136" i="2"/>
  <c r="G1136" i="2"/>
  <c r="A1136" i="2" s="1"/>
  <c r="B1137" i="2"/>
  <c r="C1137" i="2"/>
  <c r="D1137" i="2"/>
  <c r="E1137" i="2"/>
  <c r="F1137" i="2"/>
  <c r="G1137" i="2"/>
  <c r="A1137" i="2" s="1"/>
  <c r="A1138" i="2"/>
  <c r="F1138" i="2" s="1"/>
  <c r="B1138" i="2"/>
  <c r="C1138" i="2"/>
  <c r="D1138" i="2"/>
  <c r="E1138" i="2"/>
  <c r="H1138" i="2"/>
  <c r="J1138" i="2"/>
  <c r="B1139" i="2"/>
  <c r="C1139" i="2"/>
  <c r="D1139" i="2"/>
  <c r="E1139" i="2"/>
  <c r="F1139" i="2"/>
  <c r="G1139" i="2"/>
  <c r="A1139" i="2" s="1"/>
  <c r="I1139" i="2"/>
  <c r="J1139" i="2"/>
  <c r="B1140" i="2"/>
  <c r="C1140" i="2"/>
  <c r="D1140" i="2"/>
  <c r="E1140" i="2"/>
  <c r="F1140" i="2"/>
  <c r="G1140" i="2"/>
  <c r="A1140" i="2" s="1"/>
  <c r="I1140" i="2"/>
  <c r="J1140" i="2"/>
  <c r="B1141" i="2"/>
  <c r="C1141" i="2"/>
  <c r="D1141" i="2"/>
  <c r="E1141" i="2"/>
  <c r="F1141" i="2"/>
  <c r="G1141" i="2"/>
  <c r="A1141" i="2" s="1"/>
  <c r="I1141" i="2"/>
  <c r="J1141" i="2"/>
  <c r="A1142" i="2"/>
  <c r="B1142" i="2"/>
  <c r="C1142" i="2"/>
  <c r="D1142" i="2"/>
  <c r="E1142" i="2"/>
  <c r="F1142" i="2"/>
  <c r="G1142" i="2"/>
  <c r="I1142" i="2"/>
  <c r="J1142" i="2"/>
  <c r="A1143" i="2"/>
  <c r="B1143" i="2"/>
  <c r="C1143" i="2"/>
  <c r="D1143" i="2"/>
  <c r="E1143" i="2"/>
  <c r="F1143" i="2"/>
  <c r="G1143" i="2"/>
  <c r="I1143" i="2"/>
  <c r="J1143" i="2"/>
  <c r="B1144" i="2"/>
  <c r="C1144" i="2"/>
  <c r="D1144" i="2"/>
  <c r="E1144" i="2"/>
  <c r="F1144" i="2"/>
  <c r="G1144" i="2"/>
  <c r="A1144" i="2" s="1"/>
  <c r="I1144" i="2"/>
  <c r="J1144" i="2"/>
  <c r="B1145" i="2"/>
  <c r="C1145" i="2"/>
  <c r="D1145" i="2"/>
  <c r="E1145" i="2"/>
  <c r="F1145" i="2"/>
  <c r="G1145" i="2"/>
  <c r="A1145" i="2" s="1"/>
  <c r="I1145" i="2"/>
  <c r="J1145" i="2"/>
  <c r="A1146" i="2"/>
  <c r="B1146" i="2"/>
  <c r="C1146" i="2"/>
  <c r="D1146" i="2"/>
  <c r="E1146" i="2"/>
  <c r="F1146" i="2"/>
  <c r="G1146" i="2"/>
  <c r="I1146" i="2"/>
  <c r="J1146" i="2"/>
  <c r="A1147" i="2"/>
  <c r="B1147" i="2"/>
  <c r="C1147" i="2"/>
  <c r="D1147" i="2"/>
  <c r="E1147" i="2"/>
  <c r="F1147" i="2"/>
  <c r="G1147" i="2"/>
  <c r="I1147" i="2"/>
  <c r="J1147" i="2"/>
  <c r="B1148" i="2"/>
  <c r="C1148" i="2"/>
  <c r="D1148" i="2"/>
  <c r="E1148" i="2"/>
  <c r="F1148" i="2"/>
  <c r="G1148" i="2"/>
  <c r="A1148" i="2" s="1"/>
  <c r="I1148" i="2"/>
  <c r="J1148" i="2"/>
  <c r="A1149" i="2"/>
  <c r="B1149" i="2"/>
  <c r="C1149" i="2"/>
  <c r="D1149" i="2"/>
  <c r="E1149" i="2"/>
  <c r="F1149" i="2"/>
  <c r="G1149" i="2"/>
  <c r="I1149" i="2"/>
  <c r="J1149" i="2"/>
  <c r="A1150" i="2"/>
  <c r="B1150" i="2"/>
  <c r="C1150" i="2"/>
  <c r="D1150" i="2"/>
  <c r="E1150" i="2"/>
  <c r="F1150" i="2"/>
  <c r="G1150" i="2"/>
  <c r="A1151" i="2"/>
  <c r="B1151" i="2"/>
  <c r="C1151" i="2"/>
  <c r="D1151" i="2"/>
  <c r="E1151" i="2"/>
  <c r="F1151" i="2"/>
  <c r="G1151" i="2"/>
  <c r="A1152" i="2"/>
  <c r="B1152" i="2"/>
  <c r="C1152" i="2"/>
  <c r="D1152" i="2"/>
  <c r="E1152" i="2"/>
  <c r="F1152" i="2"/>
  <c r="G1152" i="2"/>
  <c r="B1153" i="2"/>
  <c r="C1153" i="2"/>
  <c r="D1153" i="2"/>
  <c r="E1153" i="2"/>
  <c r="F1153" i="2"/>
  <c r="G1153" i="2"/>
  <c r="A1153" i="2" s="1"/>
  <c r="B1154" i="2"/>
  <c r="C1154" i="2"/>
  <c r="D1154" i="2"/>
  <c r="E1154" i="2"/>
  <c r="H1154" i="2"/>
  <c r="A1154" i="2" s="1"/>
  <c r="F1154" i="2" s="1"/>
  <c r="J1154" i="2"/>
  <c r="B1155" i="2"/>
  <c r="C1155" i="2"/>
  <c r="D1155" i="2"/>
  <c r="E1155" i="2"/>
  <c r="F1155" i="2"/>
  <c r="G1155" i="2"/>
  <c r="A1155" i="2" s="1"/>
  <c r="I1155" i="2"/>
  <c r="J1155" i="2"/>
  <c r="A1156" i="2"/>
  <c r="B1156" i="2"/>
  <c r="C1156" i="2"/>
  <c r="D1156" i="2"/>
  <c r="E1156" i="2"/>
  <c r="F1156" i="2"/>
  <c r="G1156" i="2"/>
  <c r="I1156" i="2"/>
  <c r="J1156" i="2"/>
  <c r="A1157" i="2"/>
  <c r="B1157" i="2"/>
  <c r="C1157" i="2"/>
  <c r="D1157" i="2"/>
  <c r="E1157" i="2"/>
  <c r="F1157" i="2"/>
  <c r="G1157" i="2"/>
  <c r="I1157" i="2"/>
  <c r="J1157" i="2"/>
  <c r="B1158" i="2"/>
  <c r="C1158" i="2"/>
  <c r="D1158" i="2"/>
  <c r="E1158" i="2"/>
  <c r="F1158" i="2"/>
  <c r="G1158" i="2"/>
  <c r="A1158" i="2" s="1"/>
  <c r="I1158" i="2"/>
  <c r="J1158" i="2"/>
  <c r="B1159" i="2"/>
  <c r="C1159" i="2"/>
  <c r="D1159" i="2"/>
  <c r="E1159" i="2"/>
  <c r="F1159" i="2"/>
  <c r="G1159" i="2"/>
  <c r="A1159" i="2" s="1"/>
  <c r="I1159" i="2"/>
  <c r="J1159" i="2"/>
  <c r="A1160" i="2"/>
  <c r="B1160" i="2"/>
  <c r="C1160" i="2"/>
  <c r="D1160" i="2"/>
  <c r="E1160" i="2"/>
  <c r="F1160" i="2"/>
  <c r="G1160" i="2"/>
  <c r="I1160" i="2"/>
  <c r="J1160" i="2"/>
  <c r="A1161" i="2"/>
  <c r="B1161" i="2"/>
  <c r="C1161" i="2"/>
  <c r="D1161" i="2"/>
  <c r="E1161" i="2"/>
  <c r="F1161" i="2"/>
  <c r="G1161" i="2"/>
  <c r="I1161" i="2"/>
  <c r="J1161" i="2"/>
  <c r="B1162" i="2"/>
  <c r="C1162" i="2"/>
  <c r="D1162" i="2"/>
  <c r="E1162" i="2"/>
  <c r="F1162" i="2"/>
  <c r="G1162" i="2"/>
  <c r="A1162" i="2" s="1"/>
  <c r="I1162" i="2"/>
  <c r="J1162" i="2"/>
  <c r="B1163" i="2"/>
  <c r="C1163" i="2"/>
  <c r="D1163" i="2"/>
  <c r="E1163" i="2"/>
  <c r="F1163" i="2"/>
  <c r="G1163" i="2"/>
  <c r="A1163" i="2" s="1"/>
  <c r="I1163" i="2"/>
  <c r="J1163" i="2"/>
  <c r="A1164" i="2"/>
  <c r="B1164" i="2"/>
  <c r="C1164" i="2"/>
  <c r="D1164" i="2"/>
  <c r="E1164" i="2"/>
  <c r="F1164" i="2"/>
  <c r="G1164" i="2"/>
  <c r="I1164" i="2"/>
  <c r="J1164" i="2"/>
  <c r="A1165" i="2"/>
  <c r="B1165" i="2"/>
  <c r="C1165" i="2"/>
  <c r="D1165" i="2"/>
  <c r="E1165" i="2"/>
  <c r="F1165" i="2"/>
  <c r="G1165" i="2"/>
  <c r="I1165" i="2"/>
  <c r="J1165" i="2"/>
  <c r="B1166" i="2"/>
  <c r="C1166" i="2"/>
  <c r="D1166" i="2"/>
  <c r="E1166" i="2"/>
  <c r="F1166" i="2"/>
  <c r="G1166" i="2"/>
  <c r="A1166" i="2" s="1"/>
  <c r="A1167" i="2"/>
  <c r="B1167" i="2"/>
  <c r="C1167" i="2"/>
  <c r="D1167" i="2"/>
  <c r="E1167" i="2"/>
  <c r="F1167" i="2"/>
  <c r="G1167" i="2"/>
  <c r="B1168" i="2"/>
  <c r="C1168" i="2"/>
  <c r="D1168" i="2"/>
  <c r="E1168" i="2"/>
  <c r="F1168" i="2"/>
  <c r="G1168" i="2"/>
  <c r="A1168" i="2" s="1"/>
  <c r="B1169" i="2"/>
  <c r="C1169" i="2"/>
  <c r="D1169" i="2"/>
  <c r="E1169" i="2"/>
  <c r="F1169" i="2"/>
  <c r="G1169" i="2"/>
  <c r="A1169" i="2" s="1"/>
  <c r="A1170" i="2"/>
  <c r="F1170" i="2" s="1"/>
  <c r="B1170" i="2"/>
  <c r="C1170" i="2"/>
  <c r="D1170" i="2"/>
  <c r="E1170" i="2"/>
  <c r="H1170" i="2"/>
  <c r="J1170" i="2"/>
  <c r="B1171" i="2"/>
  <c r="C1171" i="2"/>
  <c r="D1171" i="2"/>
  <c r="E1171" i="2"/>
  <c r="F1171" i="2"/>
  <c r="G1171" i="2"/>
  <c r="A1171" i="2" s="1"/>
  <c r="I1171" i="2"/>
  <c r="J1171" i="2"/>
  <c r="B1172" i="2"/>
  <c r="C1172" i="2"/>
  <c r="D1172" i="2"/>
  <c r="E1172" i="2"/>
  <c r="F1172" i="2"/>
  <c r="G1172" i="2"/>
  <c r="A1172" i="2" s="1"/>
  <c r="I1172" i="2"/>
  <c r="J1172" i="2"/>
  <c r="A1173" i="2"/>
  <c r="B1173" i="2"/>
  <c r="C1173" i="2"/>
  <c r="D1173" i="2"/>
  <c r="E1173" i="2"/>
  <c r="F1173" i="2"/>
  <c r="G1173" i="2"/>
  <c r="I1173" i="2"/>
  <c r="J1173" i="2"/>
  <c r="A1174" i="2"/>
  <c r="B1174" i="2"/>
  <c r="C1174" i="2"/>
  <c r="D1174" i="2"/>
  <c r="E1174" i="2"/>
  <c r="F1174" i="2"/>
  <c r="G1174" i="2"/>
  <c r="I1174" i="2"/>
  <c r="J1174" i="2"/>
  <c r="B1175" i="2"/>
  <c r="C1175" i="2"/>
  <c r="D1175" i="2"/>
  <c r="E1175" i="2"/>
  <c r="F1175" i="2"/>
  <c r="G1175" i="2"/>
  <c r="A1175" i="2" s="1"/>
  <c r="I1175" i="2"/>
  <c r="J1175" i="2"/>
  <c r="B1176" i="2"/>
  <c r="C1176" i="2"/>
  <c r="D1176" i="2"/>
  <c r="E1176" i="2"/>
  <c r="F1176" i="2"/>
  <c r="G1176" i="2"/>
  <c r="A1176" i="2" s="1"/>
  <c r="I1176" i="2"/>
  <c r="J1176" i="2"/>
  <c r="A1177" i="2"/>
  <c r="B1177" i="2"/>
  <c r="C1177" i="2"/>
  <c r="D1177" i="2"/>
  <c r="E1177" i="2"/>
  <c r="F1177" i="2"/>
  <c r="G1177" i="2"/>
  <c r="I1177" i="2"/>
  <c r="J1177" i="2"/>
  <c r="A1178" i="2"/>
  <c r="B1178" i="2"/>
  <c r="C1178" i="2"/>
  <c r="D1178" i="2"/>
  <c r="E1178" i="2"/>
  <c r="F1178" i="2"/>
  <c r="G1178" i="2"/>
  <c r="I1178" i="2"/>
  <c r="J1178" i="2"/>
  <c r="B1179" i="2"/>
  <c r="C1179" i="2"/>
  <c r="D1179" i="2"/>
  <c r="E1179" i="2"/>
  <c r="F1179" i="2"/>
  <c r="G1179" i="2"/>
  <c r="A1179" i="2" s="1"/>
  <c r="I1179" i="2"/>
  <c r="J1179" i="2"/>
  <c r="B1180" i="2"/>
  <c r="C1180" i="2"/>
  <c r="D1180" i="2"/>
  <c r="E1180" i="2"/>
  <c r="F1180" i="2"/>
  <c r="G1180" i="2"/>
  <c r="A1180" i="2" s="1"/>
  <c r="I1180" i="2"/>
  <c r="J1180" i="2"/>
  <c r="A1181" i="2"/>
  <c r="B1181" i="2"/>
  <c r="C1181" i="2"/>
  <c r="D1181" i="2"/>
  <c r="E1181" i="2"/>
  <c r="F1181" i="2"/>
  <c r="G1181" i="2"/>
  <c r="I1181" i="2"/>
  <c r="J1181" i="2"/>
  <c r="A1182" i="2"/>
  <c r="B1182" i="2"/>
  <c r="C1182" i="2"/>
  <c r="D1182" i="2"/>
  <c r="E1182" i="2"/>
  <c r="F1182" i="2"/>
  <c r="G1182" i="2"/>
  <c r="A1183" i="2"/>
  <c r="B1183" i="2"/>
  <c r="C1183" i="2"/>
  <c r="D1183" i="2"/>
  <c r="E1183" i="2"/>
  <c r="F1183" i="2"/>
  <c r="G1183" i="2"/>
  <c r="B1184" i="2"/>
  <c r="C1184" i="2"/>
  <c r="D1184" i="2"/>
  <c r="E1184" i="2"/>
  <c r="F1184" i="2"/>
  <c r="G1184" i="2"/>
  <c r="A1184" i="2" s="1"/>
  <c r="B1185" i="2"/>
  <c r="C1185" i="2"/>
  <c r="D1185" i="2"/>
  <c r="E1185" i="2"/>
  <c r="F1185" i="2"/>
  <c r="G1185" i="2"/>
  <c r="A1185" i="2" s="1"/>
  <c r="A1186" i="2"/>
  <c r="F1186" i="2" s="1"/>
  <c r="B1186" i="2"/>
  <c r="C1186" i="2"/>
  <c r="D1186" i="2"/>
  <c r="E1186" i="2"/>
  <c r="H1186" i="2"/>
  <c r="J1186" i="2"/>
  <c r="B1187" i="2"/>
  <c r="C1187" i="2"/>
  <c r="D1187" i="2"/>
  <c r="E1187" i="2"/>
  <c r="F1187" i="2"/>
  <c r="G1187" i="2"/>
  <c r="A1187" i="2" s="1"/>
  <c r="I1187" i="2"/>
  <c r="J1187" i="2"/>
  <c r="B1188" i="2"/>
  <c r="C1188" i="2"/>
  <c r="D1188" i="2"/>
  <c r="E1188" i="2"/>
  <c r="F1188" i="2"/>
  <c r="G1188" i="2"/>
  <c r="A1188" i="2" s="1"/>
  <c r="I1188" i="2"/>
  <c r="J1188" i="2"/>
  <c r="B1189" i="2"/>
  <c r="C1189" i="2"/>
  <c r="D1189" i="2"/>
  <c r="E1189" i="2"/>
  <c r="F1189" i="2"/>
  <c r="G1189" i="2"/>
  <c r="A1189" i="2" s="1"/>
  <c r="I1189" i="2"/>
  <c r="J1189" i="2"/>
  <c r="A1190" i="2"/>
  <c r="B1190" i="2"/>
  <c r="C1190" i="2"/>
  <c r="D1190" i="2"/>
  <c r="E1190" i="2"/>
  <c r="F1190" i="2"/>
  <c r="G1190" i="2"/>
  <c r="I1190" i="2"/>
  <c r="J1190" i="2"/>
  <c r="A1191" i="2"/>
  <c r="B1191" i="2"/>
  <c r="C1191" i="2"/>
  <c r="D1191" i="2"/>
  <c r="E1191" i="2"/>
  <c r="F1191" i="2"/>
  <c r="G1191" i="2"/>
  <c r="I1191" i="2"/>
  <c r="J1191" i="2"/>
  <c r="B1192" i="2"/>
  <c r="C1192" i="2"/>
  <c r="D1192" i="2"/>
  <c r="E1192" i="2"/>
  <c r="F1192" i="2"/>
  <c r="G1192" i="2"/>
  <c r="A1192" i="2" s="1"/>
  <c r="I1192" i="2"/>
  <c r="J1192" i="2"/>
  <c r="B1193" i="2"/>
  <c r="C1193" i="2"/>
  <c r="D1193" i="2"/>
  <c r="E1193" i="2"/>
  <c r="F1193" i="2"/>
  <c r="G1193" i="2"/>
  <c r="A1193" i="2" s="1"/>
  <c r="I1193" i="2"/>
  <c r="J1193" i="2"/>
  <c r="A1194" i="2"/>
  <c r="B1194" i="2"/>
  <c r="C1194" i="2"/>
  <c r="D1194" i="2"/>
  <c r="E1194" i="2"/>
  <c r="F1194" i="2"/>
  <c r="G1194" i="2"/>
  <c r="I1194" i="2"/>
  <c r="J1194" i="2"/>
  <c r="A1195" i="2"/>
  <c r="B1195" i="2"/>
  <c r="C1195" i="2"/>
  <c r="D1195" i="2"/>
  <c r="E1195" i="2"/>
  <c r="F1195" i="2"/>
  <c r="G1195" i="2"/>
  <c r="I1195" i="2"/>
  <c r="J1195" i="2"/>
  <c r="B1196" i="2"/>
  <c r="C1196" i="2"/>
  <c r="D1196" i="2"/>
  <c r="E1196" i="2"/>
  <c r="F1196" i="2"/>
  <c r="G1196" i="2"/>
  <c r="A1196" i="2" s="1"/>
  <c r="I1196" i="2"/>
  <c r="J1196" i="2"/>
  <c r="A1197" i="2"/>
  <c r="B1197" i="2"/>
  <c r="C1197" i="2"/>
  <c r="D1197" i="2"/>
  <c r="E1197" i="2"/>
  <c r="F1197" i="2"/>
  <c r="G1197" i="2"/>
  <c r="I1197" i="2"/>
  <c r="J1197" i="2"/>
  <c r="A1198" i="2"/>
  <c r="B1198" i="2"/>
  <c r="C1198" i="2"/>
  <c r="D1198" i="2"/>
  <c r="E1198" i="2"/>
  <c r="F1198" i="2"/>
  <c r="G1198" i="2"/>
  <c r="A1199" i="2"/>
  <c r="B1199" i="2"/>
  <c r="C1199" i="2"/>
  <c r="D1199" i="2"/>
  <c r="E1199" i="2"/>
  <c r="F1199" i="2"/>
  <c r="G1199" i="2"/>
  <c r="A1200" i="2"/>
  <c r="B1200" i="2"/>
  <c r="C1200" i="2"/>
  <c r="D1200" i="2"/>
  <c r="E1200" i="2"/>
  <c r="F1200" i="2"/>
  <c r="G1200" i="2"/>
  <c r="B1201" i="2"/>
  <c r="C1201" i="2"/>
  <c r="D1201" i="2"/>
  <c r="E1201" i="2"/>
  <c r="F1201" i="2"/>
  <c r="G1201" i="2"/>
  <c r="A1201" i="2" s="1"/>
  <c r="B1202" i="2"/>
  <c r="C1202" i="2"/>
  <c r="D1202" i="2"/>
  <c r="E1202" i="2"/>
  <c r="H1202" i="2"/>
  <c r="A1202" i="2" s="1"/>
  <c r="F1202" i="2" s="1"/>
  <c r="J1202" i="2"/>
  <c r="B1203" i="2"/>
  <c r="C1203" i="2"/>
  <c r="D1203" i="2"/>
  <c r="E1203" i="2"/>
  <c r="F1203" i="2"/>
  <c r="G1203" i="2"/>
  <c r="A1203" i="2" s="1"/>
  <c r="I1203" i="2"/>
  <c r="J1203" i="2"/>
  <c r="A1204" i="2"/>
  <c r="B1204" i="2"/>
  <c r="C1204" i="2"/>
  <c r="D1204" i="2"/>
  <c r="E1204" i="2"/>
  <c r="F1204" i="2"/>
  <c r="G1204" i="2"/>
  <c r="I1204" i="2"/>
  <c r="J1204" i="2"/>
  <c r="A1205" i="2"/>
  <c r="B1205" i="2"/>
  <c r="C1205" i="2"/>
  <c r="D1205" i="2"/>
  <c r="E1205" i="2"/>
  <c r="F1205" i="2"/>
  <c r="G1205" i="2"/>
  <c r="I1205" i="2"/>
  <c r="J1205" i="2"/>
  <c r="B1206" i="2"/>
  <c r="C1206" i="2"/>
  <c r="D1206" i="2"/>
  <c r="E1206" i="2"/>
  <c r="F1206" i="2"/>
  <c r="G1206" i="2"/>
  <c r="A1206" i="2" s="1"/>
  <c r="I1206" i="2"/>
  <c r="J1206" i="2"/>
  <c r="B1207" i="2"/>
  <c r="C1207" i="2"/>
  <c r="D1207" i="2"/>
  <c r="E1207" i="2"/>
  <c r="F1207" i="2"/>
  <c r="G1207" i="2"/>
  <c r="A1207" i="2" s="1"/>
  <c r="I1207" i="2"/>
  <c r="J1207" i="2"/>
  <c r="A1208" i="2"/>
  <c r="B1208" i="2"/>
  <c r="C1208" i="2"/>
  <c r="D1208" i="2"/>
  <c r="E1208" i="2"/>
  <c r="F1208" i="2"/>
  <c r="G1208" i="2"/>
  <c r="I1208" i="2"/>
  <c r="J1208" i="2"/>
  <c r="A1209" i="2"/>
  <c r="B1209" i="2"/>
  <c r="C1209" i="2"/>
  <c r="D1209" i="2"/>
  <c r="E1209" i="2"/>
  <c r="F1209" i="2"/>
  <c r="G1209" i="2"/>
  <c r="I1209" i="2"/>
  <c r="J1209" i="2"/>
  <c r="B1210" i="2"/>
  <c r="C1210" i="2"/>
  <c r="D1210" i="2"/>
  <c r="E1210" i="2"/>
  <c r="F1210" i="2"/>
  <c r="G1210" i="2"/>
  <c r="A1210" i="2" s="1"/>
  <c r="I1210" i="2"/>
  <c r="J1210" i="2"/>
  <c r="B1211" i="2"/>
  <c r="C1211" i="2"/>
  <c r="D1211" i="2"/>
  <c r="E1211" i="2"/>
  <c r="F1211" i="2"/>
  <c r="G1211" i="2"/>
  <c r="A1211" i="2" s="1"/>
  <c r="I1211" i="2"/>
  <c r="J1211" i="2"/>
  <c r="A1212" i="2"/>
  <c r="B1212" i="2"/>
  <c r="C1212" i="2"/>
  <c r="D1212" i="2"/>
  <c r="E1212" i="2"/>
  <c r="F1212" i="2"/>
  <c r="G1212" i="2"/>
  <c r="I1212" i="2"/>
  <c r="J1212" i="2"/>
  <c r="A1213" i="2"/>
  <c r="B1213" i="2"/>
  <c r="C1213" i="2"/>
  <c r="D1213" i="2"/>
  <c r="E1213" i="2"/>
  <c r="F1213" i="2"/>
  <c r="G1213" i="2"/>
  <c r="I1213" i="2"/>
  <c r="J1213" i="2"/>
  <c r="B1214" i="2"/>
  <c r="C1214" i="2"/>
  <c r="D1214" i="2"/>
  <c r="E1214" i="2"/>
  <c r="F1214" i="2"/>
  <c r="G1214" i="2"/>
  <c r="A1214" i="2" s="1"/>
  <c r="A1215" i="2"/>
  <c r="B1215" i="2"/>
  <c r="C1215" i="2"/>
  <c r="D1215" i="2"/>
  <c r="E1215" i="2"/>
  <c r="F1215" i="2"/>
  <c r="G1215" i="2"/>
  <c r="B1216" i="2"/>
  <c r="C1216" i="2"/>
  <c r="D1216" i="2"/>
  <c r="E1216" i="2"/>
  <c r="F1216" i="2"/>
  <c r="G1216" i="2"/>
  <c r="A1216" i="2" s="1"/>
  <c r="B1217" i="2"/>
  <c r="C1217" i="2"/>
  <c r="D1217" i="2"/>
  <c r="E1217" i="2"/>
  <c r="F1217" i="2"/>
  <c r="G1217" i="2"/>
  <c r="A1217" i="2" s="1"/>
  <c r="A1218" i="2"/>
  <c r="F1218" i="2" s="1"/>
  <c r="B1218" i="2"/>
  <c r="C1218" i="2"/>
  <c r="D1218" i="2"/>
  <c r="E1218" i="2"/>
  <c r="H1218" i="2"/>
  <c r="J1218" i="2"/>
  <c r="B1219" i="2"/>
  <c r="C1219" i="2"/>
  <c r="D1219" i="2"/>
  <c r="E1219" i="2"/>
  <c r="F1219" i="2"/>
  <c r="G1219" i="2"/>
  <c r="A1219" i="2" s="1"/>
  <c r="I1219" i="2"/>
  <c r="J1219" i="2"/>
  <c r="B1220" i="2"/>
  <c r="C1220" i="2"/>
  <c r="D1220" i="2"/>
  <c r="E1220" i="2"/>
  <c r="F1220" i="2"/>
  <c r="G1220" i="2"/>
  <c r="A1220" i="2" s="1"/>
  <c r="I1220" i="2"/>
  <c r="J1220" i="2"/>
  <c r="A1221" i="2"/>
  <c r="B1221" i="2"/>
  <c r="C1221" i="2"/>
  <c r="D1221" i="2"/>
  <c r="E1221" i="2"/>
  <c r="F1221" i="2"/>
  <c r="G1221" i="2"/>
  <c r="I1221" i="2"/>
  <c r="J1221" i="2"/>
  <c r="A1222" i="2"/>
  <c r="B1222" i="2"/>
  <c r="C1222" i="2"/>
  <c r="D1222" i="2"/>
  <c r="E1222" i="2"/>
  <c r="F1222" i="2"/>
  <c r="G1222" i="2"/>
  <c r="I1222" i="2"/>
  <c r="J1222" i="2"/>
  <c r="B1223" i="2"/>
  <c r="C1223" i="2"/>
  <c r="D1223" i="2"/>
  <c r="E1223" i="2"/>
  <c r="F1223" i="2"/>
  <c r="G1223" i="2"/>
  <c r="A1223" i="2" s="1"/>
  <c r="I1223" i="2"/>
  <c r="J1223" i="2"/>
  <c r="B1224" i="2"/>
  <c r="C1224" i="2"/>
  <c r="D1224" i="2"/>
  <c r="E1224" i="2"/>
  <c r="F1224" i="2"/>
  <c r="G1224" i="2"/>
  <c r="A1224" i="2" s="1"/>
  <c r="I1224" i="2"/>
  <c r="J1224" i="2"/>
  <c r="A1225" i="2"/>
  <c r="B1225" i="2"/>
  <c r="C1225" i="2"/>
  <c r="D1225" i="2"/>
  <c r="E1225" i="2"/>
  <c r="F1225" i="2"/>
  <c r="G1225" i="2"/>
  <c r="I1225" i="2"/>
  <c r="J1225" i="2"/>
  <c r="A1226" i="2"/>
  <c r="B1226" i="2"/>
  <c r="C1226" i="2"/>
  <c r="D1226" i="2"/>
  <c r="E1226" i="2"/>
  <c r="F1226" i="2"/>
  <c r="G1226" i="2"/>
  <c r="I1226" i="2"/>
  <c r="J1226" i="2"/>
  <c r="B1227" i="2"/>
  <c r="C1227" i="2"/>
  <c r="D1227" i="2"/>
  <c r="E1227" i="2"/>
  <c r="F1227" i="2"/>
  <c r="G1227" i="2"/>
  <c r="A1227" i="2" s="1"/>
  <c r="I1227" i="2"/>
  <c r="J1227" i="2"/>
  <c r="B1228" i="2"/>
  <c r="C1228" i="2"/>
  <c r="D1228" i="2"/>
  <c r="E1228" i="2"/>
  <c r="F1228" i="2"/>
  <c r="G1228" i="2"/>
  <c r="A1228" i="2" s="1"/>
  <c r="I1228" i="2"/>
  <c r="J1228" i="2"/>
  <c r="A1229" i="2"/>
  <c r="B1229" i="2"/>
  <c r="C1229" i="2"/>
  <c r="D1229" i="2"/>
  <c r="E1229" i="2"/>
  <c r="F1229" i="2"/>
  <c r="G1229" i="2"/>
  <c r="I1229" i="2"/>
  <c r="J1229" i="2"/>
  <c r="A1230" i="2"/>
  <c r="B1230" i="2"/>
  <c r="C1230" i="2"/>
  <c r="D1230" i="2"/>
  <c r="E1230" i="2"/>
  <c r="F1230" i="2"/>
  <c r="G1230" i="2"/>
  <c r="A1231" i="2"/>
  <c r="B1231" i="2"/>
  <c r="C1231" i="2"/>
  <c r="D1231" i="2"/>
  <c r="E1231" i="2"/>
  <c r="F1231" i="2"/>
  <c r="G1231" i="2"/>
  <c r="B1232" i="2"/>
  <c r="C1232" i="2"/>
  <c r="D1232" i="2"/>
  <c r="E1232" i="2"/>
  <c r="F1232" i="2"/>
  <c r="G1232" i="2"/>
  <c r="A1232" i="2" s="1"/>
  <c r="B1233" i="2"/>
  <c r="C1233" i="2"/>
  <c r="D1233" i="2"/>
  <c r="E1233" i="2"/>
  <c r="F1233" i="2"/>
  <c r="G1233" i="2"/>
  <c r="A1233" i="2" s="1"/>
  <c r="A1234" i="2"/>
  <c r="F1234" i="2" s="1"/>
  <c r="B1234" i="2"/>
  <c r="C1234" i="2"/>
  <c r="D1234" i="2"/>
  <c r="E1234" i="2"/>
  <c r="H1234" i="2"/>
  <c r="J1234" i="2"/>
  <c r="B1235" i="2"/>
  <c r="C1235" i="2"/>
  <c r="D1235" i="2"/>
  <c r="E1235" i="2"/>
  <c r="F1235" i="2"/>
  <c r="G1235" i="2"/>
  <c r="A1235" i="2" s="1"/>
  <c r="I1235" i="2"/>
  <c r="J1235" i="2"/>
  <c r="B1236" i="2"/>
  <c r="C1236" i="2"/>
  <c r="D1236" i="2"/>
  <c r="E1236" i="2"/>
  <c r="F1236" i="2"/>
  <c r="G1236" i="2"/>
  <c r="A1236" i="2" s="1"/>
  <c r="I1236" i="2"/>
  <c r="J1236" i="2"/>
  <c r="B1237" i="2"/>
  <c r="C1237" i="2"/>
  <c r="D1237" i="2"/>
  <c r="E1237" i="2"/>
  <c r="F1237" i="2"/>
  <c r="G1237" i="2"/>
  <c r="A1237" i="2" s="1"/>
  <c r="I1237" i="2"/>
  <c r="J1237" i="2"/>
  <c r="A1238" i="2"/>
  <c r="B1238" i="2"/>
  <c r="C1238" i="2"/>
  <c r="D1238" i="2"/>
  <c r="E1238" i="2"/>
  <c r="F1238" i="2"/>
  <c r="G1238" i="2"/>
  <c r="I1238" i="2"/>
  <c r="J1238" i="2"/>
  <c r="A1239" i="2"/>
  <c r="B1239" i="2"/>
  <c r="C1239" i="2"/>
  <c r="D1239" i="2"/>
  <c r="E1239" i="2"/>
  <c r="F1239" i="2"/>
  <c r="G1239" i="2"/>
  <c r="I1239" i="2"/>
  <c r="J1239" i="2"/>
  <c r="B1240" i="2"/>
  <c r="C1240" i="2"/>
  <c r="D1240" i="2"/>
  <c r="E1240" i="2"/>
  <c r="F1240" i="2"/>
  <c r="G1240" i="2"/>
  <c r="A1240" i="2" s="1"/>
  <c r="I1240" i="2"/>
  <c r="J1240" i="2"/>
  <c r="B1241" i="2"/>
  <c r="C1241" i="2"/>
  <c r="D1241" i="2"/>
  <c r="E1241" i="2"/>
  <c r="F1241" i="2"/>
  <c r="G1241" i="2"/>
  <c r="A1241" i="2" s="1"/>
  <c r="I1241" i="2"/>
  <c r="J1241" i="2"/>
  <c r="A1242" i="2"/>
  <c r="B1242" i="2"/>
  <c r="C1242" i="2"/>
  <c r="D1242" i="2"/>
  <c r="E1242" i="2"/>
  <c r="F1242" i="2"/>
  <c r="G1242" i="2"/>
  <c r="I1242" i="2"/>
  <c r="J1242" i="2"/>
  <c r="A1243" i="2"/>
  <c r="B1243" i="2"/>
  <c r="C1243" i="2"/>
  <c r="D1243" i="2"/>
  <c r="E1243" i="2"/>
  <c r="F1243" i="2"/>
  <c r="G1243" i="2"/>
  <c r="I1243" i="2"/>
  <c r="J1243" i="2"/>
  <c r="B1244" i="2"/>
  <c r="C1244" i="2"/>
  <c r="D1244" i="2"/>
  <c r="E1244" i="2"/>
  <c r="F1244" i="2"/>
  <c r="G1244" i="2"/>
  <c r="A1244" i="2" s="1"/>
  <c r="I1244" i="2"/>
  <c r="J1244" i="2"/>
  <c r="A1245" i="2"/>
  <c r="B1245" i="2"/>
  <c r="C1245" i="2"/>
  <c r="D1245" i="2"/>
  <c r="E1245" i="2"/>
  <c r="F1245" i="2"/>
  <c r="G1245" i="2"/>
  <c r="I1245" i="2"/>
  <c r="J1245" i="2"/>
  <c r="A1246" i="2"/>
  <c r="B1246" i="2"/>
  <c r="C1246" i="2"/>
  <c r="D1246" i="2"/>
  <c r="E1246" i="2"/>
  <c r="F1246" i="2"/>
  <c r="G1246" i="2"/>
  <c r="A1247" i="2"/>
  <c r="B1247" i="2"/>
  <c r="C1247" i="2"/>
  <c r="D1247" i="2"/>
  <c r="E1247" i="2"/>
  <c r="F1247" i="2"/>
  <c r="G1247" i="2"/>
  <c r="A1248" i="2"/>
  <c r="B1248" i="2"/>
  <c r="C1248" i="2"/>
  <c r="D1248" i="2"/>
  <c r="E1248" i="2"/>
  <c r="F1248" i="2"/>
  <c r="G1248" i="2"/>
  <c r="B1249" i="2"/>
  <c r="C1249" i="2"/>
  <c r="D1249" i="2"/>
  <c r="E1249" i="2"/>
  <c r="F1249" i="2"/>
  <c r="G1249" i="2"/>
  <c r="A1249" i="2" s="1"/>
  <c r="B1250" i="2"/>
  <c r="C1250" i="2"/>
  <c r="D1250" i="2"/>
  <c r="E1250" i="2"/>
  <c r="H1250" i="2"/>
  <c r="A1250" i="2" s="1"/>
  <c r="F1250" i="2" s="1"/>
  <c r="J1250" i="2"/>
  <c r="B1251" i="2"/>
  <c r="C1251" i="2"/>
  <c r="D1251" i="2"/>
  <c r="E1251" i="2"/>
  <c r="F1251" i="2"/>
  <c r="G1251" i="2"/>
  <c r="A1251" i="2" s="1"/>
  <c r="I1251" i="2"/>
  <c r="J1251" i="2"/>
  <c r="A1252" i="2"/>
  <c r="B1252" i="2"/>
  <c r="C1252" i="2"/>
  <c r="D1252" i="2"/>
  <c r="E1252" i="2"/>
  <c r="F1252" i="2"/>
  <c r="G1252" i="2"/>
  <c r="I1252" i="2"/>
  <c r="J1252" i="2"/>
  <c r="A1253" i="2"/>
  <c r="B1253" i="2"/>
  <c r="C1253" i="2"/>
  <c r="D1253" i="2"/>
  <c r="E1253" i="2"/>
  <c r="F1253" i="2"/>
  <c r="G1253" i="2"/>
  <c r="I1253" i="2"/>
  <c r="J1253" i="2"/>
  <c r="B1254" i="2"/>
  <c r="C1254" i="2"/>
  <c r="D1254" i="2"/>
  <c r="E1254" i="2"/>
  <c r="F1254" i="2"/>
  <c r="G1254" i="2"/>
  <c r="A1254" i="2" s="1"/>
  <c r="I1254" i="2"/>
  <c r="J1254" i="2"/>
  <c r="B1255" i="2"/>
  <c r="C1255" i="2"/>
  <c r="D1255" i="2"/>
  <c r="E1255" i="2"/>
  <c r="F1255" i="2"/>
  <c r="G1255" i="2"/>
  <c r="A1255" i="2" s="1"/>
  <c r="I1255" i="2"/>
  <c r="J1255" i="2"/>
  <c r="A1256" i="2"/>
  <c r="B1256" i="2"/>
  <c r="C1256" i="2"/>
  <c r="D1256" i="2"/>
  <c r="E1256" i="2"/>
  <c r="F1256" i="2"/>
  <c r="G1256" i="2"/>
  <c r="I1256" i="2"/>
  <c r="J1256" i="2"/>
  <c r="A1257" i="2"/>
  <c r="B1257" i="2"/>
  <c r="C1257" i="2"/>
  <c r="D1257" i="2"/>
  <c r="E1257" i="2"/>
  <c r="F1257" i="2"/>
  <c r="G1257" i="2"/>
  <c r="I1257" i="2"/>
  <c r="J1257" i="2"/>
  <c r="B1258" i="2"/>
  <c r="C1258" i="2"/>
  <c r="D1258" i="2"/>
  <c r="E1258" i="2"/>
  <c r="F1258" i="2"/>
  <c r="G1258" i="2"/>
  <c r="A1258" i="2" s="1"/>
  <c r="I1258" i="2"/>
  <c r="J1258" i="2"/>
  <c r="B1259" i="2"/>
  <c r="C1259" i="2"/>
  <c r="D1259" i="2"/>
  <c r="E1259" i="2"/>
  <c r="F1259" i="2"/>
  <c r="G1259" i="2"/>
  <c r="A1259" i="2" s="1"/>
  <c r="I1259" i="2"/>
  <c r="J1259" i="2"/>
  <c r="A1260" i="2"/>
  <c r="B1260" i="2"/>
  <c r="C1260" i="2"/>
  <c r="D1260" i="2"/>
  <c r="E1260" i="2"/>
  <c r="F1260" i="2"/>
  <c r="G1260" i="2"/>
  <c r="I1260" i="2"/>
  <c r="J1260" i="2"/>
  <c r="A1261" i="2"/>
  <c r="B1261" i="2"/>
  <c r="C1261" i="2"/>
  <c r="D1261" i="2"/>
  <c r="E1261" i="2"/>
  <c r="F1261" i="2"/>
  <c r="G1261" i="2"/>
  <c r="I1261" i="2"/>
  <c r="J1261" i="2"/>
  <c r="B1262" i="2"/>
  <c r="C1262" i="2"/>
  <c r="D1262" i="2"/>
  <c r="E1262" i="2"/>
  <c r="F1262" i="2"/>
  <c r="G1262" i="2"/>
  <c r="A1262" i="2" s="1"/>
  <c r="A1263" i="2"/>
  <c r="B1263" i="2"/>
  <c r="C1263" i="2"/>
  <c r="D1263" i="2"/>
  <c r="E1263" i="2"/>
  <c r="F1263" i="2"/>
  <c r="G1263" i="2"/>
  <c r="B1264" i="2"/>
  <c r="C1264" i="2"/>
  <c r="D1264" i="2"/>
  <c r="E1264" i="2"/>
  <c r="F1264" i="2"/>
  <c r="G1264" i="2"/>
  <c r="A1264" i="2" s="1"/>
  <c r="B1265" i="2"/>
  <c r="C1265" i="2"/>
  <c r="D1265" i="2"/>
  <c r="E1265" i="2"/>
  <c r="F1265" i="2"/>
  <c r="G1265" i="2"/>
  <c r="A1265" i="2" s="1"/>
  <c r="A1266" i="2"/>
  <c r="F1266" i="2" s="1"/>
  <c r="B1266" i="2"/>
  <c r="C1266" i="2"/>
  <c r="D1266" i="2"/>
  <c r="E1266" i="2"/>
  <c r="H1266" i="2"/>
  <c r="J1266" i="2"/>
  <c r="B1267" i="2"/>
  <c r="C1267" i="2"/>
  <c r="D1267" i="2"/>
  <c r="E1267" i="2"/>
  <c r="F1267" i="2"/>
  <c r="G1267" i="2"/>
  <c r="A1267" i="2" s="1"/>
  <c r="I1267" i="2"/>
  <c r="J1267" i="2"/>
  <c r="B1268" i="2"/>
  <c r="C1268" i="2"/>
  <c r="D1268" i="2"/>
  <c r="E1268" i="2"/>
  <c r="F1268" i="2"/>
  <c r="G1268" i="2"/>
  <c r="A1268" i="2" s="1"/>
  <c r="I1268" i="2"/>
  <c r="J1268" i="2"/>
  <c r="A1269" i="2"/>
  <c r="B1269" i="2"/>
  <c r="C1269" i="2"/>
  <c r="D1269" i="2"/>
  <c r="E1269" i="2"/>
  <c r="F1269" i="2"/>
  <c r="G1269" i="2"/>
  <c r="I1269" i="2"/>
  <c r="J1269" i="2"/>
  <c r="A1270" i="2"/>
  <c r="B1270" i="2"/>
  <c r="C1270" i="2"/>
  <c r="D1270" i="2"/>
  <c r="E1270" i="2"/>
  <c r="F1270" i="2"/>
  <c r="G1270" i="2"/>
  <c r="I1270" i="2"/>
  <c r="J1270" i="2"/>
  <c r="B1271" i="2"/>
  <c r="C1271" i="2"/>
  <c r="D1271" i="2"/>
  <c r="E1271" i="2"/>
  <c r="F1271" i="2"/>
  <c r="G1271" i="2"/>
  <c r="A1271" i="2" s="1"/>
  <c r="I1271" i="2"/>
  <c r="J1271" i="2"/>
  <c r="B1272" i="2"/>
  <c r="C1272" i="2"/>
  <c r="D1272" i="2"/>
  <c r="E1272" i="2"/>
  <c r="F1272" i="2"/>
  <c r="G1272" i="2"/>
  <c r="A1272" i="2" s="1"/>
  <c r="I1272" i="2"/>
  <c r="J1272" i="2"/>
  <c r="A1273" i="2"/>
  <c r="B1273" i="2"/>
  <c r="C1273" i="2"/>
  <c r="D1273" i="2"/>
  <c r="E1273" i="2"/>
  <c r="F1273" i="2"/>
  <c r="G1273" i="2"/>
  <c r="I1273" i="2"/>
  <c r="J1273" i="2"/>
  <c r="A1274" i="2"/>
  <c r="B1274" i="2"/>
  <c r="C1274" i="2"/>
  <c r="D1274" i="2"/>
  <c r="E1274" i="2"/>
  <c r="F1274" i="2"/>
  <c r="G1274" i="2"/>
  <c r="I1274" i="2"/>
  <c r="J1274" i="2"/>
  <c r="B1275" i="2"/>
  <c r="C1275" i="2"/>
  <c r="D1275" i="2"/>
  <c r="E1275" i="2"/>
  <c r="F1275" i="2"/>
  <c r="G1275" i="2"/>
  <c r="A1275" i="2" s="1"/>
  <c r="I1275" i="2"/>
  <c r="J1275" i="2"/>
  <c r="B1276" i="2"/>
  <c r="C1276" i="2"/>
  <c r="D1276" i="2"/>
  <c r="E1276" i="2"/>
  <c r="F1276" i="2"/>
  <c r="G1276" i="2"/>
  <c r="A1276" i="2" s="1"/>
  <c r="I1276" i="2"/>
  <c r="J1276" i="2"/>
  <c r="A1277" i="2"/>
  <c r="B1277" i="2"/>
  <c r="C1277" i="2"/>
  <c r="D1277" i="2"/>
  <c r="E1277" i="2"/>
  <c r="F1277" i="2"/>
  <c r="G1277" i="2"/>
  <c r="I1277" i="2"/>
  <c r="J1277" i="2"/>
  <c r="A1278" i="2"/>
  <c r="B1278" i="2"/>
  <c r="C1278" i="2"/>
  <c r="D1278" i="2"/>
  <c r="E1278" i="2"/>
  <c r="F1278" i="2"/>
  <c r="G1278" i="2"/>
  <c r="A1279" i="2"/>
  <c r="B1279" i="2"/>
  <c r="C1279" i="2"/>
  <c r="D1279" i="2"/>
  <c r="E1279" i="2"/>
  <c r="F1279" i="2"/>
  <c r="G1279" i="2"/>
  <c r="B1280" i="2"/>
  <c r="C1280" i="2"/>
  <c r="D1280" i="2"/>
  <c r="E1280" i="2"/>
  <c r="F1280" i="2"/>
  <c r="G1280" i="2"/>
  <c r="A1280" i="2" s="1"/>
  <c r="B1281" i="2"/>
  <c r="C1281" i="2"/>
  <c r="D1281" i="2"/>
  <c r="E1281" i="2"/>
  <c r="F1281" i="2"/>
  <c r="G1281" i="2"/>
  <c r="A1281" i="2" s="1"/>
  <c r="A1282" i="2"/>
  <c r="F1282" i="2" s="1"/>
  <c r="B1282" i="2"/>
  <c r="C1282" i="2"/>
  <c r="D1282" i="2"/>
  <c r="E1282" i="2"/>
  <c r="H1282" i="2"/>
  <c r="J1282" i="2"/>
  <c r="B1283" i="2"/>
  <c r="C1283" i="2"/>
  <c r="D1283" i="2"/>
  <c r="E1283" i="2"/>
  <c r="F1283" i="2"/>
  <c r="G1283" i="2"/>
  <c r="A1283" i="2" s="1"/>
  <c r="I1283" i="2"/>
  <c r="J1283" i="2"/>
  <c r="B1284" i="2"/>
  <c r="C1284" i="2"/>
  <c r="D1284" i="2"/>
  <c r="E1284" i="2"/>
  <c r="F1284" i="2"/>
  <c r="G1284" i="2"/>
  <c r="A1284" i="2" s="1"/>
  <c r="I1284" i="2"/>
  <c r="J1284" i="2"/>
  <c r="B1285" i="2"/>
  <c r="C1285" i="2"/>
  <c r="D1285" i="2"/>
  <c r="E1285" i="2"/>
  <c r="F1285" i="2"/>
  <c r="G1285" i="2"/>
  <c r="A1285" i="2" s="1"/>
  <c r="I1285" i="2"/>
  <c r="J1285" i="2"/>
  <c r="A1286" i="2"/>
  <c r="B1286" i="2"/>
  <c r="C1286" i="2"/>
  <c r="D1286" i="2"/>
  <c r="E1286" i="2"/>
  <c r="F1286" i="2"/>
  <c r="G1286" i="2"/>
  <c r="I1286" i="2"/>
  <c r="J1286" i="2"/>
  <c r="A1287" i="2"/>
  <c r="B1287" i="2"/>
  <c r="C1287" i="2"/>
  <c r="D1287" i="2"/>
  <c r="E1287" i="2"/>
  <c r="F1287" i="2"/>
  <c r="G1287" i="2"/>
  <c r="I1287" i="2"/>
  <c r="J1287" i="2"/>
  <c r="B1288" i="2"/>
  <c r="C1288" i="2"/>
  <c r="D1288" i="2"/>
  <c r="E1288" i="2"/>
  <c r="F1288" i="2"/>
  <c r="G1288" i="2"/>
  <c r="A1288" i="2" s="1"/>
  <c r="I1288" i="2"/>
  <c r="J1288" i="2"/>
  <c r="B1289" i="2"/>
  <c r="C1289" i="2"/>
  <c r="D1289" i="2"/>
  <c r="E1289" i="2"/>
  <c r="F1289" i="2"/>
  <c r="G1289" i="2"/>
  <c r="A1289" i="2" s="1"/>
  <c r="I1289" i="2"/>
  <c r="J1289" i="2"/>
  <c r="A1290" i="2"/>
  <c r="B1290" i="2"/>
  <c r="C1290" i="2"/>
  <c r="D1290" i="2"/>
  <c r="E1290" i="2"/>
  <c r="F1290" i="2"/>
  <c r="G1290" i="2"/>
  <c r="I1290" i="2"/>
  <c r="J1290" i="2"/>
  <c r="A1291" i="2"/>
  <c r="B1291" i="2"/>
  <c r="C1291" i="2"/>
  <c r="D1291" i="2"/>
  <c r="E1291" i="2"/>
  <c r="F1291" i="2"/>
  <c r="G1291" i="2"/>
  <c r="I1291" i="2"/>
  <c r="J1291" i="2"/>
  <c r="B1292" i="2"/>
  <c r="C1292" i="2"/>
  <c r="D1292" i="2"/>
  <c r="E1292" i="2"/>
  <c r="F1292" i="2"/>
  <c r="G1292" i="2"/>
  <c r="A1292" i="2" s="1"/>
  <c r="I1292" i="2"/>
  <c r="J1292" i="2"/>
  <c r="A1293" i="2"/>
  <c r="B1293" i="2"/>
  <c r="C1293" i="2"/>
  <c r="D1293" i="2"/>
  <c r="E1293" i="2"/>
  <c r="F1293" i="2"/>
  <c r="G1293" i="2"/>
  <c r="I1293" i="2"/>
  <c r="J1293" i="2"/>
  <c r="A1294" i="2"/>
  <c r="B1294" i="2"/>
  <c r="C1294" i="2"/>
  <c r="D1294" i="2"/>
  <c r="E1294" i="2"/>
  <c r="F1294" i="2"/>
  <c r="G1294" i="2"/>
  <c r="A1295" i="2"/>
  <c r="B1295" i="2"/>
  <c r="C1295" i="2"/>
  <c r="D1295" i="2"/>
  <c r="E1295" i="2"/>
  <c r="F1295" i="2"/>
  <c r="G1295" i="2"/>
  <c r="A1296" i="2"/>
  <c r="B1296" i="2"/>
  <c r="C1296" i="2"/>
  <c r="D1296" i="2"/>
  <c r="E1296" i="2"/>
  <c r="F1296" i="2"/>
  <c r="G1296" i="2"/>
  <c r="B1297" i="2"/>
  <c r="C1297" i="2"/>
  <c r="D1297" i="2"/>
  <c r="E1297" i="2"/>
  <c r="F1297" i="2"/>
  <c r="G1297" i="2"/>
  <c r="A1297" i="2" s="1"/>
  <c r="B1298" i="2"/>
  <c r="C1298" i="2"/>
  <c r="D1298" i="2"/>
  <c r="E1298" i="2"/>
  <c r="H1298" i="2"/>
  <c r="A1298" i="2" s="1"/>
  <c r="F1298" i="2" s="1"/>
  <c r="J1298" i="2"/>
  <c r="B1299" i="2"/>
  <c r="C1299" i="2"/>
  <c r="D1299" i="2"/>
  <c r="E1299" i="2"/>
  <c r="F1299" i="2"/>
  <c r="G1299" i="2"/>
  <c r="A1299" i="2" s="1"/>
  <c r="I1299" i="2"/>
  <c r="J1299" i="2"/>
  <c r="A1300" i="2"/>
  <c r="B1300" i="2"/>
  <c r="C1300" i="2"/>
  <c r="D1300" i="2"/>
  <c r="E1300" i="2"/>
  <c r="F1300" i="2"/>
  <c r="G1300" i="2"/>
  <c r="I1300" i="2"/>
  <c r="J1300" i="2"/>
  <c r="A1301" i="2"/>
  <c r="B1301" i="2"/>
  <c r="C1301" i="2"/>
  <c r="D1301" i="2"/>
  <c r="E1301" i="2"/>
  <c r="F1301" i="2"/>
  <c r="G1301" i="2"/>
  <c r="I1301" i="2"/>
  <c r="J1301" i="2"/>
  <c r="B1302" i="2"/>
  <c r="C1302" i="2"/>
  <c r="D1302" i="2"/>
  <c r="E1302" i="2"/>
  <c r="F1302" i="2"/>
  <c r="G1302" i="2"/>
  <c r="A1302" i="2" s="1"/>
  <c r="I1302" i="2"/>
  <c r="J1302" i="2"/>
  <c r="B1303" i="2"/>
  <c r="C1303" i="2"/>
  <c r="D1303" i="2"/>
  <c r="E1303" i="2"/>
  <c r="F1303" i="2"/>
  <c r="G1303" i="2"/>
  <c r="A1303" i="2" s="1"/>
  <c r="I1303" i="2"/>
  <c r="J1303" i="2"/>
  <c r="A1304" i="2"/>
  <c r="B1304" i="2"/>
  <c r="C1304" i="2"/>
  <c r="D1304" i="2"/>
  <c r="E1304" i="2"/>
  <c r="F1304" i="2"/>
  <c r="G1304" i="2"/>
  <c r="I1304" i="2"/>
  <c r="J1304" i="2"/>
  <c r="A1305" i="2"/>
  <c r="B1305" i="2"/>
  <c r="C1305" i="2"/>
  <c r="D1305" i="2"/>
  <c r="E1305" i="2"/>
  <c r="F1305" i="2"/>
  <c r="G1305" i="2"/>
  <c r="I1305" i="2"/>
  <c r="J1305" i="2"/>
  <c r="B1306" i="2"/>
  <c r="C1306" i="2"/>
  <c r="D1306" i="2"/>
  <c r="E1306" i="2"/>
  <c r="F1306" i="2"/>
  <c r="G1306" i="2"/>
  <c r="A1306" i="2" s="1"/>
  <c r="I1306" i="2"/>
  <c r="J1306" i="2"/>
  <c r="B1307" i="2"/>
  <c r="C1307" i="2"/>
  <c r="D1307" i="2"/>
  <c r="E1307" i="2"/>
  <c r="F1307" i="2"/>
  <c r="G1307" i="2"/>
  <c r="A1307" i="2" s="1"/>
  <c r="I1307" i="2"/>
  <c r="J1307" i="2"/>
  <c r="A1308" i="2"/>
  <c r="B1308" i="2"/>
  <c r="C1308" i="2"/>
  <c r="D1308" i="2"/>
  <c r="E1308" i="2"/>
  <c r="F1308" i="2"/>
  <c r="G1308" i="2"/>
  <c r="I1308" i="2"/>
  <c r="J1308" i="2"/>
  <c r="A1309" i="2"/>
  <c r="B1309" i="2"/>
  <c r="C1309" i="2"/>
  <c r="D1309" i="2"/>
  <c r="E1309" i="2"/>
  <c r="F1309" i="2"/>
  <c r="G1309" i="2"/>
  <c r="I1309" i="2"/>
  <c r="J1309" i="2"/>
  <c r="B1310" i="2"/>
  <c r="C1310" i="2"/>
  <c r="D1310" i="2"/>
  <c r="E1310" i="2"/>
  <c r="F1310" i="2"/>
  <c r="G1310" i="2"/>
  <c r="A1310" i="2" s="1"/>
  <c r="A1311" i="2"/>
  <c r="B1311" i="2"/>
  <c r="C1311" i="2"/>
  <c r="D1311" i="2"/>
  <c r="E1311" i="2"/>
  <c r="F1311" i="2"/>
  <c r="G1311" i="2"/>
  <c r="B1312" i="2"/>
  <c r="C1312" i="2"/>
  <c r="D1312" i="2"/>
  <c r="E1312" i="2"/>
  <c r="F1312" i="2"/>
  <c r="G1312" i="2"/>
  <c r="A1312" i="2" s="1"/>
  <c r="B1313" i="2"/>
  <c r="C1313" i="2"/>
  <c r="D1313" i="2"/>
  <c r="E1313" i="2"/>
  <c r="F1313" i="2"/>
  <c r="G1313" i="2"/>
  <c r="A1313" i="2" s="1"/>
  <c r="A1314" i="2"/>
  <c r="F1314" i="2" s="1"/>
  <c r="B1314" i="2"/>
  <c r="C1314" i="2"/>
  <c r="D1314" i="2"/>
  <c r="E1314" i="2"/>
  <c r="H1314" i="2"/>
  <c r="J1314" i="2"/>
  <c r="B1315" i="2"/>
  <c r="C1315" i="2"/>
  <c r="D1315" i="2"/>
  <c r="E1315" i="2"/>
  <c r="F1315" i="2"/>
  <c r="G1315" i="2"/>
  <c r="A1315" i="2" s="1"/>
  <c r="I1315" i="2"/>
  <c r="J1315" i="2"/>
  <c r="B1316" i="2"/>
  <c r="C1316" i="2"/>
  <c r="D1316" i="2"/>
  <c r="E1316" i="2"/>
  <c r="F1316" i="2"/>
  <c r="G1316" i="2"/>
  <c r="A1316" i="2" s="1"/>
  <c r="I1316" i="2"/>
  <c r="J1316" i="2"/>
  <c r="A1317" i="2"/>
  <c r="B1317" i="2"/>
  <c r="C1317" i="2"/>
  <c r="D1317" i="2"/>
  <c r="E1317" i="2"/>
  <c r="F1317" i="2"/>
  <c r="G1317" i="2"/>
  <c r="I1317" i="2"/>
  <c r="J1317" i="2"/>
  <c r="A1318" i="2"/>
  <c r="B1318" i="2"/>
  <c r="C1318" i="2"/>
  <c r="D1318" i="2"/>
  <c r="E1318" i="2"/>
  <c r="F1318" i="2"/>
  <c r="G1318" i="2"/>
  <c r="I1318" i="2"/>
  <c r="J1318" i="2"/>
  <c r="B1319" i="2"/>
  <c r="C1319" i="2"/>
  <c r="D1319" i="2"/>
  <c r="E1319" i="2"/>
  <c r="F1319" i="2"/>
  <c r="G1319" i="2"/>
  <c r="A1319" i="2" s="1"/>
  <c r="I1319" i="2"/>
  <c r="J1319" i="2"/>
  <c r="B1320" i="2"/>
  <c r="C1320" i="2"/>
  <c r="D1320" i="2"/>
  <c r="E1320" i="2"/>
  <c r="F1320" i="2"/>
  <c r="G1320" i="2"/>
  <c r="A1320" i="2" s="1"/>
  <c r="I1320" i="2"/>
  <c r="J1320" i="2"/>
  <c r="A1321" i="2"/>
  <c r="B1321" i="2"/>
  <c r="C1321" i="2"/>
  <c r="D1321" i="2"/>
  <c r="E1321" i="2"/>
  <c r="F1321" i="2"/>
  <c r="G1321" i="2"/>
  <c r="I1321" i="2"/>
  <c r="J1321" i="2"/>
  <c r="A1322" i="2"/>
  <c r="B1322" i="2"/>
  <c r="C1322" i="2"/>
  <c r="D1322" i="2"/>
  <c r="E1322" i="2"/>
  <c r="F1322" i="2"/>
  <c r="G1322" i="2"/>
  <c r="I1322" i="2"/>
  <c r="J1322" i="2"/>
  <c r="B1323" i="2"/>
  <c r="C1323" i="2"/>
  <c r="D1323" i="2"/>
  <c r="E1323" i="2"/>
  <c r="F1323" i="2"/>
  <c r="G1323" i="2"/>
  <c r="A1323" i="2" s="1"/>
  <c r="I1323" i="2"/>
  <c r="J1323" i="2"/>
  <c r="B1324" i="2"/>
  <c r="C1324" i="2"/>
  <c r="D1324" i="2"/>
  <c r="E1324" i="2"/>
  <c r="F1324" i="2"/>
  <c r="G1324" i="2"/>
  <c r="A1324" i="2" s="1"/>
  <c r="I1324" i="2"/>
  <c r="J1324" i="2"/>
  <c r="A1325" i="2"/>
  <c r="B1325" i="2"/>
  <c r="C1325" i="2"/>
  <c r="D1325" i="2"/>
  <c r="E1325" i="2"/>
  <c r="F1325" i="2"/>
  <c r="G1325" i="2"/>
  <c r="I1325" i="2"/>
  <c r="J1325" i="2"/>
  <c r="A1326" i="2"/>
  <c r="B1326" i="2"/>
  <c r="C1326" i="2"/>
  <c r="D1326" i="2"/>
  <c r="E1326" i="2"/>
  <c r="F1326" i="2"/>
  <c r="G1326" i="2"/>
  <c r="A1327" i="2"/>
  <c r="B1327" i="2"/>
  <c r="C1327" i="2"/>
  <c r="D1327" i="2"/>
  <c r="E1327" i="2"/>
  <c r="F1327" i="2"/>
  <c r="G1327" i="2"/>
  <c r="B1328" i="2"/>
  <c r="C1328" i="2"/>
  <c r="D1328" i="2"/>
  <c r="E1328" i="2"/>
  <c r="F1328" i="2"/>
  <c r="G1328" i="2"/>
  <c r="A1328" i="2" s="1"/>
  <c r="B1329" i="2"/>
  <c r="C1329" i="2"/>
  <c r="D1329" i="2"/>
  <c r="E1329" i="2"/>
  <c r="F1329" i="2"/>
  <c r="G1329" i="2"/>
  <c r="A1329" i="2" s="1"/>
  <c r="A1330" i="2"/>
  <c r="F1330" i="2" s="1"/>
  <c r="B1330" i="2"/>
  <c r="C1330" i="2"/>
  <c r="D1330" i="2"/>
  <c r="E1330" i="2"/>
  <c r="H1330" i="2"/>
  <c r="J1330" i="2"/>
  <c r="B1331" i="2"/>
  <c r="C1331" i="2"/>
  <c r="D1331" i="2"/>
  <c r="E1331" i="2"/>
  <c r="F1331" i="2"/>
  <c r="G1331" i="2"/>
  <c r="A1331" i="2" s="1"/>
  <c r="I1331" i="2"/>
  <c r="J1331" i="2"/>
  <c r="B1332" i="2"/>
  <c r="C1332" i="2"/>
  <c r="D1332" i="2"/>
  <c r="E1332" i="2"/>
  <c r="F1332" i="2"/>
  <c r="G1332" i="2"/>
  <c r="A1332" i="2" s="1"/>
  <c r="I1332" i="2"/>
  <c r="J1332" i="2"/>
  <c r="B1333" i="2"/>
  <c r="C1333" i="2"/>
  <c r="D1333" i="2"/>
  <c r="E1333" i="2"/>
  <c r="F1333" i="2"/>
  <c r="G1333" i="2"/>
  <c r="A1333" i="2" s="1"/>
  <c r="I1333" i="2"/>
  <c r="J1333" i="2"/>
  <c r="A1334" i="2"/>
  <c r="B1334" i="2"/>
  <c r="C1334" i="2"/>
  <c r="D1334" i="2"/>
  <c r="E1334" i="2"/>
  <c r="F1334" i="2"/>
  <c r="G1334" i="2"/>
  <c r="I1334" i="2"/>
  <c r="J1334" i="2"/>
  <c r="A1335" i="2"/>
  <c r="B1335" i="2"/>
  <c r="C1335" i="2"/>
  <c r="D1335" i="2"/>
  <c r="E1335" i="2"/>
  <c r="F1335" i="2"/>
  <c r="G1335" i="2"/>
  <c r="I1335" i="2"/>
  <c r="J1335" i="2"/>
  <c r="B1336" i="2"/>
  <c r="C1336" i="2"/>
  <c r="D1336" i="2"/>
  <c r="E1336" i="2"/>
  <c r="F1336" i="2"/>
  <c r="G1336" i="2"/>
  <c r="A1336" i="2" s="1"/>
  <c r="I1336" i="2"/>
  <c r="J1336" i="2"/>
  <c r="B1337" i="2"/>
  <c r="C1337" i="2"/>
  <c r="D1337" i="2"/>
  <c r="E1337" i="2"/>
  <c r="F1337" i="2"/>
  <c r="G1337" i="2"/>
  <c r="A1337" i="2" s="1"/>
  <c r="I1337" i="2"/>
  <c r="J1337" i="2"/>
  <c r="A1338" i="2"/>
  <c r="B1338" i="2"/>
  <c r="C1338" i="2"/>
  <c r="D1338" i="2"/>
  <c r="E1338" i="2"/>
  <c r="F1338" i="2"/>
  <c r="G1338" i="2"/>
  <c r="I1338" i="2"/>
  <c r="J1338" i="2"/>
  <c r="A1339" i="2"/>
  <c r="B1339" i="2"/>
  <c r="C1339" i="2"/>
  <c r="D1339" i="2"/>
  <c r="E1339" i="2"/>
  <c r="F1339" i="2"/>
  <c r="G1339" i="2"/>
  <c r="I1339" i="2"/>
  <c r="J1339" i="2"/>
  <c r="B1340" i="2"/>
  <c r="C1340" i="2"/>
  <c r="D1340" i="2"/>
  <c r="E1340" i="2"/>
  <c r="F1340" i="2"/>
  <c r="G1340" i="2"/>
  <c r="A1340" i="2" s="1"/>
  <c r="I1340" i="2"/>
  <c r="J1340" i="2"/>
  <c r="A1341" i="2"/>
  <c r="B1341" i="2"/>
  <c r="C1341" i="2"/>
  <c r="D1341" i="2"/>
  <c r="E1341" i="2"/>
  <c r="F1341" i="2"/>
  <c r="G1341" i="2"/>
  <c r="I1341" i="2"/>
  <c r="J1341" i="2"/>
  <c r="A1342" i="2"/>
  <c r="B1342" i="2"/>
  <c r="C1342" i="2"/>
  <c r="D1342" i="2"/>
  <c r="E1342" i="2"/>
  <c r="F1342" i="2"/>
  <c r="G1342" i="2"/>
  <c r="A1343" i="2"/>
  <c r="B1343" i="2"/>
  <c r="C1343" i="2"/>
  <c r="D1343" i="2"/>
  <c r="E1343" i="2"/>
  <c r="F1343" i="2"/>
  <c r="G1343" i="2"/>
  <c r="A1344" i="2"/>
  <c r="B1344" i="2"/>
  <c r="C1344" i="2"/>
  <c r="D1344" i="2"/>
  <c r="E1344" i="2"/>
  <c r="F1344" i="2"/>
  <c r="G1344" i="2"/>
  <c r="B1345" i="2"/>
  <c r="C1345" i="2"/>
  <c r="D1345" i="2"/>
  <c r="E1345" i="2"/>
  <c r="F1345" i="2"/>
  <c r="G1345" i="2"/>
  <c r="A1345" i="2" s="1"/>
  <c r="B1346" i="2"/>
  <c r="C1346" i="2"/>
  <c r="D1346" i="2"/>
  <c r="E1346" i="2"/>
  <c r="H1346" i="2"/>
  <c r="A1346" i="2" s="1"/>
  <c r="F1346" i="2" s="1"/>
  <c r="J1346" i="2"/>
  <c r="B1347" i="2"/>
  <c r="C1347" i="2"/>
  <c r="D1347" i="2"/>
  <c r="E1347" i="2"/>
  <c r="F1347" i="2"/>
  <c r="G1347" i="2"/>
  <c r="A1347" i="2" s="1"/>
  <c r="I1347" i="2"/>
  <c r="J1347" i="2"/>
  <c r="A1348" i="2"/>
  <c r="B1348" i="2"/>
  <c r="C1348" i="2"/>
  <c r="D1348" i="2"/>
  <c r="E1348" i="2"/>
  <c r="F1348" i="2"/>
  <c r="G1348" i="2"/>
  <c r="I1348" i="2"/>
  <c r="J1348" i="2"/>
  <c r="A1349" i="2"/>
  <c r="B1349" i="2"/>
  <c r="C1349" i="2"/>
  <c r="D1349" i="2"/>
  <c r="E1349" i="2"/>
  <c r="F1349" i="2"/>
  <c r="G1349" i="2"/>
  <c r="I1349" i="2"/>
  <c r="J1349" i="2"/>
  <c r="B1350" i="2"/>
  <c r="C1350" i="2"/>
  <c r="D1350" i="2"/>
  <c r="E1350" i="2"/>
  <c r="F1350" i="2"/>
  <c r="G1350" i="2"/>
  <c r="A1350" i="2" s="1"/>
  <c r="I1350" i="2"/>
  <c r="J1350" i="2"/>
  <c r="B1351" i="2"/>
  <c r="C1351" i="2"/>
  <c r="D1351" i="2"/>
  <c r="E1351" i="2"/>
  <c r="F1351" i="2"/>
  <c r="G1351" i="2"/>
  <c r="A1351" i="2" s="1"/>
  <c r="I1351" i="2"/>
  <c r="J1351" i="2"/>
  <c r="A1352" i="2"/>
  <c r="B1352" i="2"/>
  <c r="C1352" i="2"/>
  <c r="D1352" i="2"/>
  <c r="E1352" i="2"/>
  <c r="F1352" i="2"/>
  <c r="G1352" i="2"/>
  <c r="I1352" i="2"/>
  <c r="J1352" i="2"/>
  <c r="A1353" i="2"/>
  <c r="B1353" i="2"/>
  <c r="C1353" i="2"/>
  <c r="D1353" i="2"/>
  <c r="E1353" i="2"/>
  <c r="F1353" i="2"/>
  <c r="G1353" i="2"/>
  <c r="I1353" i="2"/>
  <c r="J1353" i="2"/>
  <c r="B1354" i="2"/>
  <c r="C1354" i="2"/>
  <c r="D1354" i="2"/>
  <c r="E1354" i="2"/>
  <c r="F1354" i="2"/>
  <c r="G1354" i="2"/>
  <c r="A1354" i="2" s="1"/>
  <c r="I1354" i="2"/>
  <c r="J1354" i="2"/>
  <c r="B1355" i="2"/>
  <c r="C1355" i="2"/>
  <c r="D1355" i="2"/>
  <c r="E1355" i="2"/>
  <c r="F1355" i="2"/>
  <c r="G1355" i="2"/>
  <c r="A1355" i="2" s="1"/>
  <c r="I1355" i="2"/>
  <c r="J1355" i="2"/>
  <c r="A1356" i="2"/>
  <c r="B1356" i="2"/>
  <c r="C1356" i="2"/>
  <c r="D1356" i="2"/>
  <c r="E1356" i="2"/>
  <c r="F1356" i="2"/>
  <c r="G1356" i="2"/>
  <c r="I1356" i="2"/>
  <c r="J1356" i="2"/>
  <c r="A1357" i="2"/>
  <c r="B1357" i="2"/>
  <c r="C1357" i="2"/>
  <c r="D1357" i="2"/>
  <c r="E1357" i="2"/>
  <c r="F1357" i="2"/>
  <c r="G1357" i="2"/>
  <c r="I1357" i="2"/>
  <c r="J1357" i="2"/>
  <c r="B1358" i="2"/>
  <c r="C1358" i="2"/>
  <c r="D1358" i="2"/>
  <c r="E1358" i="2"/>
  <c r="F1358" i="2"/>
  <c r="G1358" i="2"/>
  <c r="A1358" i="2" s="1"/>
  <c r="A1359" i="2"/>
  <c r="B1359" i="2"/>
  <c r="C1359" i="2"/>
  <c r="D1359" i="2"/>
  <c r="E1359" i="2"/>
  <c r="F1359" i="2"/>
  <c r="G1359" i="2"/>
  <c r="B1360" i="2"/>
  <c r="C1360" i="2"/>
  <c r="D1360" i="2"/>
  <c r="E1360" i="2"/>
  <c r="F1360" i="2"/>
  <c r="G1360" i="2"/>
  <c r="A1360" i="2" s="1"/>
  <c r="B1361" i="2"/>
  <c r="C1361" i="2"/>
  <c r="D1361" i="2"/>
  <c r="E1361" i="2"/>
  <c r="F1361" i="2"/>
  <c r="G1361" i="2"/>
  <c r="A1361" i="2" s="1"/>
  <c r="A1362" i="2"/>
  <c r="F1362" i="2" s="1"/>
  <c r="B1362" i="2"/>
  <c r="C1362" i="2"/>
  <c r="D1362" i="2"/>
  <c r="E1362" i="2"/>
  <c r="H1362" i="2"/>
  <c r="J1362" i="2"/>
  <c r="B1363" i="2"/>
  <c r="C1363" i="2"/>
  <c r="D1363" i="2"/>
  <c r="E1363" i="2"/>
  <c r="F1363" i="2"/>
  <c r="G1363" i="2"/>
  <c r="A1363" i="2" s="1"/>
  <c r="I1363" i="2"/>
  <c r="J1363" i="2"/>
  <c r="B1364" i="2"/>
  <c r="C1364" i="2"/>
  <c r="D1364" i="2"/>
  <c r="E1364" i="2"/>
  <c r="F1364" i="2"/>
  <c r="G1364" i="2"/>
  <c r="A1364" i="2" s="1"/>
  <c r="I1364" i="2"/>
  <c r="J1364" i="2"/>
  <c r="A1365" i="2"/>
  <c r="B1365" i="2"/>
  <c r="C1365" i="2"/>
  <c r="D1365" i="2"/>
  <c r="E1365" i="2"/>
  <c r="F1365" i="2"/>
  <c r="G1365" i="2"/>
  <c r="I1365" i="2"/>
  <c r="J1365" i="2"/>
  <c r="A1366" i="2"/>
  <c r="B1366" i="2"/>
  <c r="C1366" i="2"/>
  <c r="D1366" i="2"/>
  <c r="E1366" i="2"/>
  <c r="F1366" i="2"/>
  <c r="G1366" i="2"/>
  <c r="I1366" i="2"/>
  <c r="J1366" i="2"/>
  <c r="B1367" i="2"/>
  <c r="C1367" i="2"/>
  <c r="D1367" i="2"/>
  <c r="E1367" i="2"/>
  <c r="F1367" i="2"/>
  <c r="G1367" i="2"/>
  <c r="A1367" i="2" s="1"/>
  <c r="I1367" i="2"/>
  <c r="J1367" i="2"/>
  <c r="B1368" i="2"/>
  <c r="C1368" i="2"/>
  <c r="D1368" i="2"/>
  <c r="E1368" i="2"/>
  <c r="F1368" i="2"/>
  <c r="G1368" i="2"/>
  <c r="A1368" i="2" s="1"/>
  <c r="I1368" i="2"/>
  <c r="J1368" i="2"/>
  <c r="A1369" i="2"/>
  <c r="B1369" i="2"/>
  <c r="C1369" i="2"/>
  <c r="D1369" i="2"/>
  <c r="E1369" i="2"/>
  <c r="F1369" i="2"/>
  <c r="G1369" i="2"/>
  <c r="I1369" i="2"/>
  <c r="J1369" i="2"/>
  <c r="A1370" i="2"/>
  <c r="B1370" i="2"/>
  <c r="C1370" i="2"/>
  <c r="D1370" i="2"/>
  <c r="E1370" i="2"/>
  <c r="F1370" i="2"/>
  <c r="G1370" i="2"/>
  <c r="I1370" i="2"/>
  <c r="J1370" i="2"/>
  <c r="B1371" i="2"/>
  <c r="C1371" i="2"/>
  <c r="D1371" i="2"/>
  <c r="E1371" i="2"/>
  <c r="F1371" i="2"/>
  <c r="G1371" i="2"/>
  <c r="A1371" i="2" s="1"/>
  <c r="I1371" i="2"/>
  <c r="J1371" i="2"/>
  <c r="B1372" i="2"/>
  <c r="C1372" i="2"/>
  <c r="D1372" i="2"/>
  <c r="E1372" i="2"/>
  <c r="F1372" i="2"/>
  <c r="G1372" i="2"/>
  <c r="A1372" i="2" s="1"/>
  <c r="I1372" i="2"/>
  <c r="J1372" i="2"/>
  <c r="A1373" i="2"/>
  <c r="B1373" i="2"/>
  <c r="C1373" i="2"/>
  <c r="D1373" i="2"/>
  <c r="E1373" i="2"/>
  <c r="F1373" i="2"/>
  <c r="G1373" i="2"/>
  <c r="I1373" i="2"/>
  <c r="J1373" i="2"/>
  <c r="A1374" i="2"/>
  <c r="B1374" i="2"/>
  <c r="C1374" i="2"/>
  <c r="D1374" i="2"/>
  <c r="E1374" i="2"/>
  <c r="F1374" i="2"/>
  <c r="G1374" i="2"/>
  <c r="A1375" i="2"/>
  <c r="B1375" i="2"/>
  <c r="C1375" i="2"/>
  <c r="D1375" i="2"/>
  <c r="E1375" i="2"/>
  <c r="F1375" i="2"/>
  <c r="G1375" i="2"/>
  <c r="B1376" i="2"/>
  <c r="C1376" i="2"/>
  <c r="D1376" i="2"/>
  <c r="E1376" i="2"/>
  <c r="F1376" i="2"/>
  <c r="G1376" i="2"/>
  <c r="A1376" i="2" s="1"/>
  <c r="B1377" i="2"/>
  <c r="C1377" i="2"/>
  <c r="D1377" i="2"/>
  <c r="E1377" i="2"/>
  <c r="F1377" i="2"/>
  <c r="G1377" i="2"/>
  <c r="A1377" i="2" s="1"/>
  <c r="A1378" i="2"/>
  <c r="F1378" i="2" s="1"/>
  <c r="B1378" i="2"/>
  <c r="C1378" i="2"/>
  <c r="D1378" i="2"/>
  <c r="E1378" i="2"/>
  <c r="H1378" i="2"/>
  <c r="J1378" i="2"/>
  <c r="B1379" i="2"/>
  <c r="C1379" i="2"/>
  <c r="D1379" i="2"/>
  <c r="E1379" i="2"/>
  <c r="F1379" i="2"/>
  <c r="G1379" i="2"/>
  <c r="A1379" i="2" s="1"/>
  <c r="I1379" i="2"/>
  <c r="J1379" i="2"/>
  <c r="B1380" i="2"/>
  <c r="C1380" i="2"/>
  <c r="D1380" i="2"/>
  <c r="E1380" i="2"/>
  <c r="F1380" i="2"/>
  <c r="G1380" i="2"/>
  <c r="A1380" i="2" s="1"/>
  <c r="I1380" i="2"/>
  <c r="J1380" i="2"/>
  <c r="B1381" i="2"/>
  <c r="C1381" i="2"/>
  <c r="D1381" i="2"/>
  <c r="E1381" i="2"/>
  <c r="F1381" i="2"/>
  <c r="G1381" i="2"/>
  <c r="A1381" i="2" s="1"/>
  <c r="I1381" i="2"/>
  <c r="J1381" i="2"/>
  <c r="A1382" i="2"/>
  <c r="B1382" i="2"/>
  <c r="C1382" i="2"/>
  <c r="D1382" i="2"/>
  <c r="E1382" i="2"/>
  <c r="F1382" i="2"/>
  <c r="G1382" i="2"/>
  <c r="I1382" i="2"/>
  <c r="J1382" i="2"/>
  <c r="A1383" i="2"/>
  <c r="B1383" i="2"/>
  <c r="C1383" i="2"/>
  <c r="D1383" i="2"/>
  <c r="E1383" i="2"/>
  <c r="F1383" i="2"/>
  <c r="G1383" i="2"/>
  <c r="I1383" i="2"/>
  <c r="J1383" i="2"/>
  <c r="B1384" i="2"/>
  <c r="C1384" i="2"/>
  <c r="D1384" i="2"/>
  <c r="E1384" i="2"/>
  <c r="F1384" i="2"/>
  <c r="G1384" i="2"/>
  <c r="A1384" i="2" s="1"/>
  <c r="I1384" i="2"/>
  <c r="J1384" i="2"/>
  <c r="B1385" i="2"/>
  <c r="C1385" i="2"/>
  <c r="D1385" i="2"/>
  <c r="E1385" i="2"/>
  <c r="F1385" i="2"/>
  <c r="G1385" i="2"/>
  <c r="A1385" i="2" s="1"/>
  <c r="I1385" i="2"/>
  <c r="J1385" i="2"/>
  <c r="A1386" i="2"/>
  <c r="B1386" i="2"/>
  <c r="C1386" i="2"/>
  <c r="D1386" i="2"/>
  <c r="E1386" i="2"/>
  <c r="F1386" i="2"/>
  <c r="G1386" i="2"/>
  <c r="I1386" i="2"/>
  <c r="J1386" i="2"/>
  <c r="A1387" i="2"/>
  <c r="B1387" i="2"/>
  <c r="C1387" i="2"/>
  <c r="D1387" i="2"/>
  <c r="E1387" i="2"/>
  <c r="F1387" i="2"/>
  <c r="G1387" i="2"/>
  <c r="I1387" i="2"/>
  <c r="J1387" i="2"/>
  <c r="B1388" i="2"/>
  <c r="C1388" i="2"/>
  <c r="D1388" i="2"/>
  <c r="E1388" i="2"/>
  <c r="F1388" i="2"/>
  <c r="G1388" i="2"/>
  <c r="A1388" i="2" s="1"/>
  <c r="I1388" i="2"/>
  <c r="J1388" i="2"/>
  <c r="A1389" i="2"/>
  <c r="B1389" i="2"/>
  <c r="C1389" i="2"/>
  <c r="D1389" i="2"/>
  <c r="E1389" i="2"/>
  <c r="F1389" i="2"/>
  <c r="G1389" i="2"/>
  <c r="I1389" i="2"/>
  <c r="J1389" i="2"/>
  <c r="A1390" i="2"/>
  <c r="B1390" i="2"/>
  <c r="C1390" i="2"/>
  <c r="D1390" i="2"/>
  <c r="E1390" i="2"/>
  <c r="F1390" i="2"/>
  <c r="G1390" i="2"/>
  <c r="A1391" i="2"/>
  <c r="B1391" i="2"/>
  <c r="C1391" i="2"/>
  <c r="D1391" i="2"/>
  <c r="E1391" i="2"/>
  <c r="F1391" i="2"/>
  <c r="G1391" i="2"/>
  <c r="A1392" i="2"/>
  <c r="B1392" i="2"/>
  <c r="C1392" i="2"/>
  <c r="D1392" i="2"/>
  <c r="E1392" i="2"/>
  <c r="F1392" i="2"/>
  <c r="G1392" i="2"/>
  <c r="B1393" i="2"/>
  <c r="C1393" i="2"/>
  <c r="D1393" i="2"/>
  <c r="E1393" i="2"/>
  <c r="F1393" i="2"/>
  <c r="G1393" i="2"/>
  <c r="A1393" i="2" s="1"/>
  <c r="B1394" i="2"/>
  <c r="C1394" i="2"/>
  <c r="D1394" i="2"/>
  <c r="E1394" i="2"/>
  <c r="H1394" i="2"/>
  <c r="A1394" i="2" s="1"/>
  <c r="F1394" i="2" s="1"/>
  <c r="J1394" i="2"/>
  <c r="B1395" i="2"/>
  <c r="C1395" i="2"/>
  <c r="D1395" i="2"/>
  <c r="E1395" i="2"/>
  <c r="F1395" i="2"/>
  <c r="G1395" i="2"/>
  <c r="A1395" i="2" s="1"/>
  <c r="I1395" i="2"/>
  <c r="J1395" i="2"/>
  <c r="A1396" i="2"/>
  <c r="B1396" i="2"/>
  <c r="C1396" i="2"/>
  <c r="D1396" i="2"/>
  <c r="E1396" i="2"/>
  <c r="F1396" i="2"/>
  <c r="G1396" i="2"/>
  <c r="I1396" i="2"/>
  <c r="J1396" i="2"/>
  <c r="A1397" i="2"/>
  <c r="B1397" i="2"/>
  <c r="C1397" i="2"/>
  <c r="D1397" i="2"/>
  <c r="E1397" i="2"/>
  <c r="F1397" i="2"/>
  <c r="G1397" i="2"/>
  <c r="I1397" i="2"/>
  <c r="J1397" i="2"/>
  <c r="B1398" i="2"/>
  <c r="C1398" i="2"/>
  <c r="D1398" i="2"/>
  <c r="E1398" i="2"/>
  <c r="F1398" i="2"/>
  <c r="G1398" i="2"/>
  <c r="A1398" i="2" s="1"/>
  <c r="I1398" i="2"/>
  <c r="J1398" i="2"/>
  <c r="B1399" i="2"/>
  <c r="C1399" i="2"/>
  <c r="D1399" i="2"/>
  <c r="E1399" i="2"/>
  <c r="F1399" i="2"/>
  <c r="G1399" i="2"/>
  <c r="A1399" i="2" s="1"/>
  <c r="I1399" i="2"/>
  <c r="J1399" i="2"/>
  <c r="A1400" i="2"/>
  <c r="B1400" i="2"/>
  <c r="C1400" i="2"/>
  <c r="D1400" i="2"/>
  <c r="E1400" i="2"/>
  <c r="F1400" i="2"/>
  <c r="G1400" i="2"/>
  <c r="I1400" i="2"/>
  <c r="J1400" i="2"/>
  <c r="A1401" i="2"/>
  <c r="B1401" i="2"/>
  <c r="C1401" i="2"/>
  <c r="D1401" i="2"/>
  <c r="E1401" i="2"/>
  <c r="F1401" i="2"/>
  <c r="G1401" i="2"/>
  <c r="I1401" i="2"/>
  <c r="J1401" i="2"/>
  <c r="B1402" i="2"/>
  <c r="C1402" i="2"/>
  <c r="D1402" i="2"/>
  <c r="E1402" i="2"/>
  <c r="F1402" i="2"/>
  <c r="G1402" i="2"/>
  <c r="A1402" i="2" s="1"/>
  <c r="I1402" i="2"/>
  <c r="J1402" i="2"/>
  <c r="B1403" i="2"/>
  <c r="C1403" i="2"/>
  <c r="D1403" i="2"/>
  <c r="E1403" i="2"/>
  <c r="F1403" i="2"/>
  <c r="G1403" i="2"/>
  <c r="A1403" i="2" s="1"/>
  <c r="I1403" i="2"/>
  <c r="J1403" i="2"/>
  <c r="A1404" i="2"/>
  <c r="B1404" i="2"/>
  <c r="C1404" i="2"/>
  <c r="D1404" i="2"/>
  <c r="E1404" i="2"/>
  <c r="F1404" i="2"/>
  <c r="G1404" i="2"/>
  <c r="I1404" i="2"/>
  <c r="J1404" i="2"/>
  <c r="A1405" i="2"/>
  <c r="B1405" i="2"/>
  <c r="C1405" i="2"/>
  <c r="D1405" i="2"/>
  <c r="E1405" i="2"/>
  <c r="F1405" i="2"/>
  <c r="G1405" i="2"/>
  <c r="I1405" i="2"/>
  <c r="J1405" i="2"/>
  <c r="B1406" i="2"/>
  <c r="C1406" i="2"/>
  <c r="D1406" i="2"/>
  <c r="E1406" i="2"/>
  <c r="F1406" i="2"/>
  <c r="G1406" i="2"/>
  <c r="A1406" i="2" s="1"/>
  <c r="A1407" i="2"/>
  <c r="B1407" i="2"/>
  <c r="C1407" i="2"/>
  <c r="D1407" i="2"/>
  <c r="E1407" i="2"/>
  <c r="F1407" i="2"/>
  <c r="G1407" i="2"/>
  <c r="B1408" i="2"/>
  <c r="C1408" i="2"/>
  <c r="D1408" i="2"/>
  <c r="E1408" i="2"/>
  <c r="F1408" i="2"/>
  <c r="G1408" i="2"/>
  <c r="A1408" i="2" s="1"/>
  <c r="B1409" i="2"/>
  <c r="C1409" i="2"/>
  <c r="D1409" i="2"/>
  <c r="E1409" i="2"/>
  <c r="F1409" i="2"/>
  <c r="G1409" i="2"/>
  <c r="A1409" i="2" s="1"/>
  <c r="A1410" i="2"/>
  <c r="F1410" i="2" s="1"/>
  <c r="B1410" i="2"/>
  <c r="C1410" i="2"/>
  <c r="D1410" i="2"/>
  <c r="E1410" i="2"/>
  <c r="H1410" i="2"/>
  <c r="J1410" i="2"/>
  <c r="B1411" i="2"/>
  <c r="C1411" i="2"/>
  <c r="D1411" i="2"/>
  <c r="E1411" i="2"/>
  <c r="F1411" i="2"/>
  <c r="G1411" i="2"/>
  <c r="A1411" i="2" s="1"/>
  <c r="I1411" i="2"/>
  <c r="J1411" i="2"/>
  <c r="B1412" i="2"/>
  <c r="C1412" i="2"/>
  <c r="D1412" i="2"/>
  <c r="E1412" i="2"/>
  <c r="F1412" i="2"/>
  <c r="G1412" i="2"/>
  <c r="A1412" i="2" s="1"/>
  <c r="I1412" i="2"/>
  <c r="J1412" i="2"/>
  <c r="A1413" i="2"/>
  <c r="B1413" i="2"/>
  <c r="C1413" i="2"/>
  <c r="D1413" i="2"/>
  <c r="E1413" i="2"/>
  <c r="F1413" i="2"/>
  <c r="G1413" i="2"/>
  <c r="I1413" i="2"/>
  <c r="J1413" i="2"/>
  <c r="A1414" i="2"/>
  <c r="B1414" i="2"/>
  <c r="C1414" i="2"/>
  <c r="D1414" i="2"/>
  <c r="E1414" i="2"/>
  <c r="F1414" i="2"/>
  <c r="G1414" i="2"/>
  <c r="I1414" i="2"/>
  <c r="J1414" i="2"/>
  <c r="B1415" i="2"/>
  <c r="C1415" i="2"/>
  <c r="D1415" i="2"/>
  <c r="E1415" i="2"/>
  <c r="F1415" i="2"/>
  <c r="G1415" i="2"/>
  <c r="A1415" i="2" s="1"/>
  <c r="I1415" i="2"/>
  <c r="J1415" i="2"/>
  <c r="B1416" i="2"/>
  <c r="C1416" i="2"/>
  <c r="D1416" i="2"/>
  <c r="E1416" i="2"/>
  <c r="F1416" i="2"/>
  <c r="G1416" i="2"/>
  <c r="A1416" i="2" s="1"/>
  <c r="I1416" i="2"/>
  <c r="J1416" i="2"/>
  <c r="A1417" i="2"/>
  <c r="B1417" i="2"/>
  <c r="C1417" i="2"/>
  <c r="D1417" i="2"/>
  <c r="E1417" i="2"/>
  <c r="F1417" i="2"/>
  <c r="G1417" i="2"/>
  <c r="I1417" i="2"/>
  <c r="J1417" i="2"/>
  <c r="A1418" i="2"/>
  <c r="B1418" i="2"/>
  <c r="C1418" i="2"/>
  <c r="D1418" i="2"/>
  <c r="E1418" i="2"/>
  <c r="F1418" i="2"/>
  <c r="G1418" i="2"/>
  <c r="I1418" i="2"/>
  <c r="J1418" i="2"/>
  <c r="B1419" i="2"/>
  <c r="C1419" i="2"/>
  <c r="D1419" i="2"/>
  <c r="E1419" i="2"/>
  <c r="F1419" i="2"/>
  <c r="G1419" i="2"/>
  <c r="A1419" i="2" s="1"/>
  <c r="I1419" i="2"/>
  <c r="J1419" i="2"/>
  <c r="B1420" i="2"/>
  <c r="C1420" i="2"/>
  <c r="D1420" i="2"/>
  <c r="E1420" i="2"/>
  <c r="F1420" i="2"/>
  <c r="G1420" i="2"/>
  <c r="A1420" i="2" s="1"/>
  <c r="I1420" i="2"/>
  <c r="J1420" i="2"/>
  <c r="A1421" i="2"/>
  <c r="B1421" i="2"/>
  <c r="C1421" i="2"/>
  <c r="D1421" i="2"/>
  <c r="E1421" i="2"/>
  <c r="F1421" i="2"/>
  <c r="G1421" i="2"/>
  <c r="I1421" i="2"/>
  <c r="J1421" i="2"/>
  <c r="A1422" i="2"/>
  <c r="B1422" i="2"/>
  <c r="C1422" i="2"/>
  <c r="D1422" i="2"/>
  <c r="E1422" i="2"/>
  <c r="F1422" i="2"/>
  <c r="G1422" i="2"/>
  <c r="A1423" i="2"/>
  <c r="B1423" i="2"/>
  <c r="C1423" i="2"/>
  <c r="D1423" i="2"/>
  <c r="E1423" i="2"/>
  <c r="F1423" i="2"/>
  <c r="G1423" i="2"/>
  <c r="B1424" i="2"/>
  <c r="C1424" i="2"/>
  <c r="D1424" i="2"/>
  <c r="E1424" i="2"/>
  <c r="F1424" i="2"/>
  <c r="G1424" i="2"/>
  <c r="A1424" i="2" s="1"/>
  <c r="B1425" i="2"/>
  <c r="C1425" i="2"/>
  <c r="D1425" i="2"/>
  <c r="E1425" i="2"/>
  <c r="F1425" i="2"/>
  <c r="G1425" i="2"/>
  <c r="A1425" i="2" s="1"/>
  <c r="A1426" i="2"/>
  <c r="F1426" i="2" s="1"/>
  <c r="B1426" i="2"/>
  <c r="C1426" i="2"/>
  <c r="D1426" i="2"/>
  <c r="E1426" i="2"/>
  <c r="H1426" i="2"/>
  <c r="J1426" i="2"/>
  <c r="B1427" i="2"/>
  <c r="C1427" i="2"/>
  <c r="D1427" i="2"/>
  <c r="E1427" i="2"/>
  <c r="F1427" i="2"/>
  <c r="G1427" i="2"/>
  <c r="A1427" i="2" s="1"/>
  <c r="I1427" i="2"/>
  <c r="J1427" i="2"/>
  <c r="B1428" i="2"/>
  <c r="C1428" i="2"/>
  <c r="D1428" i="2"/>
  <c r="E1428" i="2"/>
  <c r="F1428" i="2"/>
  <c r="G1428" i="2"/>
  <c r="A1428" i="2" s="1"/>
  <c r="I1428" i="2"/>
  <c r="J1428" i="2"/>
  <c r="B1429" i="2"/>
  <c r="C1429" i="2"/>
  <c r="D1429" i="2"/>
  <c r="E1429" i="2"/>
  <c r="F1429" i="2"/>
  <c r="G1429" i="2"/>
  <c r="A1429" i="2" s="1"/>
  <c r="I1429" i="2"/>
  <c r="J1429" i="2"/>
  <c r="A1430" i="2"/>
  <c r="B1430" i="2"/>
  <c r="C1430" i="2"/>
  <c r="D1430" i="2"/>
  <c r="E1430" i="2"/>
  <c r="F1430" i="2"/>
  <c r="G1430" i="2"/>
  <c r="I1430" i="2"/>
  <c r="J1430" i="2"/>
  <c r="A1431" i="2"/>
  <c r="B1431" i="2"/>
  <c r="C1431" i="2"/>
  <c r="D1431" i="2"/>
  <c r="E1431" i="2"/>
  <c r="F1431" i="2"/>
  <c r="G1431" i="2"/>
  <c r="I1431" i="2"/>
  <c r="J1431" i="2"/>
  <c r="B1432" i="2"/>
  <c r="C1432" i="2"/>
  <c r="D1432" i="2"/>
  <c r="E1432" i="2"/>
  <c r="F1432" i="2"/>
  <c r="G1432" i="2"/>
  <c r="A1432" i="2" s="1"/>
  <c r="I1432" i="2"/>
  <c r="J1432" i="2"/>
  <c r="B1433" i="2"/>
  <c r="C1433" i="2"/>
  <c r="D1433" i="2"/>
  <c r="E1433" i="2"/>
  <c r="F1433" i="2"/>
  <c r="G1433" i="2"/>
  <c r="A1433" i="2" s="1"/>
  <c r="I1433" i="2"/>
  <c r="J1433" i="2"/>
  <c r="A1434" i="2"/>
  <c r="B1434" i="2"/>
  <c r="C1434" i="2"/>
  <c r="D1434" i="2"/>
  <c r="E1434" i="2"/>
  <c r="F1434" i="2"/>
  <c r="G1434" i="2"/>
  <c r="I1434" i="2"/>
  <c r="J1434" i="2"/>
  <c r="A1435" i="2"/>
  <c r="B1435" i="2"/>
  <c r="C1435" i="2"/>
  <c r="D1435" i="2"/>
  <c r="E1435" i="2"/>
  <c r="F1435" i="2"/>
  <c r="G1435" i="2"/>
  <c r="I1435" i="2"/>
  <c r="J1435" i="2"/>
  <c r="B1436" i="2"/>
  <c r="C1436" i="2"/>
  <c r="D1436" i="2"/>
  <c r="E1436" i="2"/>
  <c r="F1436" i="2"/>
  <c r="G1436" i="2"/>
  <c r="A1436" i="2" s="1"/>
  <c r="I1436" i="2"/>
  <c r="J1436" i="2"/>
  <c r="A1437" i="2"/>
  <c r="B1437" i="2"/>
  <c r="C1437" i="2"/>
  <c r="D1437" i="2"/>
  <c r="E1437" i="2"/>
  <c r="F1437" i="2"/>
  <c r="G1437" i="2"/>
  <c r="I1437" i="2"/>
  <c r="J1437" i="2"/>
  <c r="A1438" i="2"/>
  <c r="B1438" i="2"/>
  <c r="C1438" i="2"/>
  <c r="D1438" i="2"/>
  <c r="E1438" i="2"/>
  <c r="F1438" i="2"/>
  <c r="G1438" i="2"/>
  <c r="A1439" i="2"/>
  <c r="B1439" i="2"/>
  <c r="C1439" i="2"/>
  <c r="D1439" i="2"/>
  <c r="E1439" i="2"/>
  <c r="F1439" i="2"/>
  <c r="G1439" i="2"/>
  <c r="A1440" i="2"/>
  <c r="B1440" i="2"/>
  <c r="C1440" i="2"/>
  <c r="D1440" i="2"/>
  <c r="E1440" i="2"/>
  <c r="F1440" i="2"/>
  <c r="G1440" i="2"/>
  <c r="B1441" i="2"/>
  <c r="C1441" i="2"/>
  <c r="D1441" i="2"/>
  <c r="E1441" i="2"/>
  <c r="F1441" i="2"/>
  <c r="G1441" i="2"/>
  <c r="A1441" i="2" s="1"/>
  <c r="B1442" i="2"/>
  <c r="C1442" i="2"/>
  <c r="D1442" i="2"/>
  <c r="E1442" i="2"/>
  <c r="H1442" i="2"/>
  <c r="A1442" i="2" s="1"/>
  <c r="F1442" i="2" s="1"/>
  <c r="J1442" i="2"/>
  <c r="B1443" i="2"/>
  <c r="C1443" i="2"/>
  <c r="D1443" i="2"/>
  <c r="E1443" i="2"/>
  <c r="F1443" i="2"/>
  <c r="G1443" i="2"/>
  <c r="A1443" i="2" s="1"/>
  <c r="I1443" i="2"/>
  <c r="J1443" i="2"/>
  <c r="A1444" i="2"/>
  <c r="B1444" i="2"/>
  <c r="C1444" i="2"/>
  <c r="D1444" i="2"/>
  <c r="E1444" i="2"/>
  <c r="F1444" i="2"/>
  <c r="G1444" i="2"/>
  <c r="I1444" i="2"/>
  <c r="J1444" i="2"/>
  <c r="A1445" i="2"/>
  <c r="B1445" i="2"/>
  <c r="C1445" i="2"/>
  <c r="D1445" i="2"/>
  <c r="E1445" i="2"/>
  <c r="F1445" i="2"/>
  <c r="G1445" i="2"/>
  <c r="I1445" i="2"/>
  <c r="J1445" i="2"/>
  <c r="B1446" i="2"/>
  <c r="C1446" i="2"/>
  <c r="D1446" i="2"/>
  <c r="E1446" i="2"/>
  <c r="F1446" i="2"/>
  <c r="G1446" i="2"/>
  <c r="A1446" i="2" s="1"/>
  <c r="I1446" i="2"/>
  <c r="J1446" i="2"/>
  <c r="B1447" i="2"/>
  <c r="C1447" i="2"/>
  <c r="D1447" i="2"/>
  <c r="E1447" i="2"/>
  <c r="F1447" i="2"/>
  <c r="G1447" i="2"/>
  <c r="A1447" i="2" s="1"/>
  <c r="I1447" i="2"/>
  <c r="J1447" i="2"/>
  <c r="A1448" i="2"/>
  <c r="B1448" i="2"/>
  <c r="C1448" i="2"/>
  <c r="D1448" i="2"/>
  <c r="E1448" i="2"/>
  <c r="F1448" i="2"/>
  <c r="G1448" i="2"/>
  <c r="I1448" i="2"/>
  <c r="J1448" i="2"/>
  <c r="A1449" i="2"/>
  <c r="B1449" i="2"/>
  <c r="C1449" i="2"/>
  <c r="D1449" i="2"/>
  <c r="E1449" i="2"/>
  <c r="F1449" i="2"/>
  <c r="G1449" i="2"/>
  <c r="I1449" i="2"/>
  <c r="J1449" i="2"/>
  <c r="B1450" i="2"/>
  <c r="C1450" i="2"/>
  <c r="D1450" i="2"/>
  <c r="E1450" i="2"/>
  <c r="F1450" i="2"/>
  <c r="G1450" i="2"/>
  <c r="A1450" i="2" s="1"/>
  <c r="I1450" i="2"/>
  <c r="J1450" i="2"/>
  <c r="B1451" i="2"/>
  <c r="C1451" i="2"/>
  <c r="D1451" i="2"/>
  <c r="E1451" i="2"/>
  <c r="F1451" i="2"/>
  <c r="G1451" i="2"/>
  <c r="A1451" i="2" s="1"/>
  <c r="I1451" i="2"/>
  <c r="J1451" i="2"/>
  <c r="A1452" i="2"/>
  <c r="B1452" i="2"/>
  <c r="C1452" i="2"/>
  <c r="D1452" i="2"/>
  <c r="E1452" i="2"/>
  <c r="F1452" i="2"/>
  <c r="G1452" i="2"/>
  <c r="I1452" i="2"/>
  <c r="J1452" i="2"/>
  <c r="A1453" i="2"/>
  <c r="B1453" i="2"/>
  <c r="C1453" i="2"/>
  <c r="D1453" i="2"/>
  <c r="E1453" i="2"/>
  <c r="F1453" i="2"/>
  <c r="G1453" i="2"/>
  <c r="I1453" i="2"/>
  <c r="J1453" i="2"/>
  <c r="B1454" i="2"/>
  <c r="C1454" i="2"/>
  <c r="D1454" i="2"/>
  <c r="E1454" i="2"/>
  <c r="F1454" i="2"/>
  <c r="G1454" i="2"/>
  <c r="A1454" i="2" s="1"/>
  <c r="A1455" i="2"/>
  <c r="B1455" i="2"/>
  <c r="C1455" i="2"/>
  <c r="D1455" i="2"/>
  <c r="E1455" i="2"/>
  <c r="F1455" i="2"/>
  <c r="G1455" i="2"/>
  <c r="B1456" i="2"/>
  <c r="C1456" i="2"/>
  <c r="D1456" i="2"/>
  <c r="E1456" i="2"/>
  <c r="F1456" i="2"/>
  <c r="G1456" i="2"/>
  <c r="A1456" i="2" s="1"/>
  <c r="B1457" i="2"/>
  <c r="C1457" i="2"/>
  <c r="D1457" i="2"/>
  <c r="E1457" i="2"/>
  <c r="F1457" i="2"/>
  <c r="G1457" i="2"/>
  <c r="A1457" i="2" s="1"/>
  <c r="A1458" i="2"/>
  <c r="F1458" i="2" s="1"/>
  <c r="B1458" i="2"/>
  <c r="C1458" i="2"/>
  <c r="D1458" i="2"/>
  <c r="E1458" i="2"/>
  <c r="H1458" i="2"/>
  <c r="J1458" i="2"/>
  <c r="B1459" i="2"/>
  <c r="C1459" i="2"/>
  <c r="D1459" i="2"/>
  <c r="E1459" i="2"/>
  <c r="F1459" i="2"/>
  <c r="G1459" i="2"/>
  <c r="A1459" i="2" s="1"/>
  <c r="I1459" i="2"/>
  <c r="J1459" i="2"/>
  <c r="B1460" i="2"/>
  <c r="C1460" i="2"/>
  <c r="D1460" i="2"/>
  <c r="E1460" i="2"/>
  <c r="F1460" i="2"/>
  <c r="G1460" i="2"/>
  <c r="A1460" i="2" s="1"/>
  <c r="I1460" i="2"/>
  <c r="J1460" i="2"/>
  <c r="A1461" i="2"/>
  <c r="B1461" i="2"/>
  <c r="C1461" i="2"/>
  <c r="D1461" i="2"/>
  <c r="E1461" i="2"/>
  <c r="F1461" i="2"/>
  <c r="G1461" i="2"/>
  <c r="I1461" i="2"/>
  <c r="J1461" i="2"/>
  <c r="A1462" i="2"/>
  <c r="B1462" i="2"/>
  <c r="C1462" i="2"/>
  <c r="D1462" i="2"/>
  <c r="E1462" i="2"/>
  <c r="F1462" i="2"/>
  <c r="G1462" i="2"/>
  <c r="I1462" i="2"/>
  <c r="J1462" i="2"/>
  <c r="B1463" i="2"/>
  <c r="C1463" i="2"/>
  <c r="D1463" i="2"/>
  <c r="E1463" i="2"/>
  <c r="F1463" i="2"/>
  <c r="G1463" i="2"/>
  <c r="A1463" i="2" s="1"/>
  <c r="I1463" i="2"/>
  <c r="J1463" i="2"/>
  <c r="B1464" i="2"/>
  <c r="C1464" i="2"/>
  <c r="D1464" i="2"/>
  <c r="E1464" i="2"/>
  <c r="F1464" i="2"/>
  <c r="G1464" i="2"/>
  <c r="A1464" i="2" s="1"/>
  <c r="I1464" i="2"/>
  <c r="J1464" i="2"/>
  <c r="A1465" i="2"/>
  <c r="B1465" i="2"/>
  <c r="C1465" i="2"/>
  <c r="D1465" i="2"/>
  <c r="E1465" i="2"/>
  <c r="F1465" i="2"/>
  <c r="G1465" i="2"/>
  <c r="I1465" i="2"/>
  <c r="J1465" i="2"/>
  <c r="A1466" i="2"/>
  <c r="B1466" i="2"/>
  <c r="C1466" i="2"/>
  <c r="D1466" i="2"/>
  <c r="E1466" i="2"/>
  <c r="F1466" i="2"/>
  <c r="G1466" i="2"/>
  <c r="I1466" i="2"/>
  <c r="J1466" i="2"/>
  <c r="B1467" i="2"/>
  <c r="C1467" i="2"/>
  <c r="D1467" i="2"/>
  <c r="E1467" i="2"/>
  <c r="F1467" i="2"/>
  <c r="G1467" i="2"/>
  <c r="A1467" i="2" s="1"/>
  <c r="I1467" i="2"/>
  <c r="J1467" i="2"/>
  <c r="B1468" i="2"/>
  <c r="C1468" i="2"/>
  <c r="D1468" i="2"/>
  <c r="E1468" i="2"/>
  <c r="F1468" i="2"/>
  <c r="G1468" i="2"/>
  <c r="A1468" i="2" s="1"/>
  <c r="I1468" i="2"/>
  <c r="J1468" i="2"/>
  <c r="A1469" i="2"/>
  <c r="B1469" i="2"/>
  <c r="C1469" i="2"/>
  <c r="D1469" i="2"/>
  <c r="E1469" i="2"/>
  <c r="F1469" i="2"/>
  <c r="G1469" i="2"/>
  <c r="I1469" i="2"/>
  <c r="J1469" i="2"/>
  <c r="A1470" i="2"/>
  <c r="B1470" i="2"/>
  <c r="C1470" i="2"/>
  <c r="D1470" i="2"/>
  <c r="E1470" i="2"/>
  <c r="F1470" i="2"/>
  <c r="G1470" i="2"/>
  <c r="A1471" i="2"/>
  <c r="B1471" i="2"/>
  <c r="C1471" i="2"/>
  <c r="D1471" i="2"/>
  <c r="E1471" i="2"/>
  <c r="F1471" i="2"/>
  <c r="G1471" i="2"/>
  <c r="B1472" i="2"/>
  <c r="C1472" i="2"/>
  <c r="D1472" i="2"/>
  <c r="E1472" i="2"/>
  <c r="F1472" i="2"/>
  <c r="G1472" i="2"/>
  <c r="A1472" i="2" s="1"/>
  <c r="B1473" i="2"/>
  <c r="C1473" i="2"/>
  <c r="D1473" i="2"/>
  <c r="E1473" i="2"/>
  <c r="F1473" i="2"/>
  <c r="G1473" i="2"/>
  <c r="A1473" i="2" s="1"/>
  <c r="A1474" i="2"/>
  <c r="F1474" i="2" s="1"/>
  <c r="B1474" i="2"/>
  <c r="C1474" i="2"/>
  <c r="D1474" i="2"/>
  <c r="E1474" i="2"/>
  <c r="H1474" i="2"/>
  <c r="J1474" i="2"/>
  <c r="B1475" i="2"/>
  <c r="C1475" i="2"/>
  <c r="D1475" i="2"/>
  <c r="E1475" i="2"/>
  <c r="F1475" i="2"/>
  <c r="G1475" i="2"/>
  <c r="A1475" i="2" s="1"/>
  <c r="I1475" i="2"/>
  <c r="J1475" i="2"/>
  <c r="B1476" i="2"/>
  <c r="C1476" i="2"/>
  <c r="D1476" i="2"/>
  <c r="E1476" i="2"/>
  <c r="F1476" i="2"/>
  <c r="G1476" i="2"/>
  <c r="A1476" i="2" s="1"/>
  <c r="I1476" i="2"/>
  <c r="J1476" i="2"/>
  <c r="B1477" i="2"/>
  <c r="C1477" i="2"/>
  <c r="D1477" i="2"/>
  <c r="E1477" i="2"/>
  <c r="F1477" i="2"/>
  <c r="G1477" i="2"/>
  <c r="A1477" i="2" s="1"/>
  <c r="I1477" i="2"/>
  <c r="J1477" i="2"/>
  <c r="A1478" i="2"/>
  <c r="B1478" i="2"/>
  <c r="C1478" i="2"/>
  <c r="D1478" i="2"/>
  <c r="E1478" i="2"/>
  <c r="F1478" i="2"/>
  <c r="G1478" i="2"/>
  <c r="I1478" i="2"/>
  <c r="J1478" i="2"/>
  <c r="A1479" i="2"/>
  <c r="B1479" i="2"/>
  <c r="C1479" i="2"/>
  <c r="D1479" i="2"/>
  <c r="E1479" i="2"/>
  <c r="F1479" i="2"/>
  <c r="G1479" i="2"/>
  <c r="I1479" i="2"/>
  <c r="J1479" i="2"/>
  <c r="B1480" i="2"/>
  <c r="C1480" i="2"/>
  <c r="D1480" i="2"/>
  <c r="E1480" i="2"/>
  <c r="F1480" i="2"/>
  <c r="G1480" i="2"/>
  <c r="A1480" i="2" s="1"/>
  <c r="I1480" i="2"/>
  <c r="J1480" i="2"/>
  <c r="B1481" i="2"/>
  <c r="C1481" i="2"/>
  <c r="D1481" i="2"/>
  <c r="E1481" i="2"/>
  <c r="F1481" i="2"/>
  <c r="G1481" i="2"/>
  <c r="A1481" i="2" s="1"/>
  <c r="I1481" i="2"/>
  <c r="J1481" i="2"/>
  <c r="A1482" i="2"/>
  <c r="B1482" i="2"/>
  <c r="C1482" i="2"/>
  <c r="D1482" i="2"/>
  <c r="E1482" i="2"/>
  <c r="F1482" i="2"/>
  <c r="G1482" i="2"/>
  <c r="I1482" i="2"/>
  <c r="J1482" i="2"/>
  <c r="A1483" i="2"/>
  <c r="B1483" i="2"/>
  <c r="C1483" i="2"/>
  <c r="D1483" i="2"/>
  <c r="E1483" i="2"/>
  <c r="F1483" i="2"/>
  <c r="G1483" i="2"/>
  <c r="I1483" i="2"/>
  <c r="J1483" i="2"/>
  <c r="B1484" i="2"/>
  <c r="C1484" i="2"/>
  <c r="D1484" i="2"/>
  <c r="E1484" i="2"/>
  <c r="F1484" i="2"/>
  <c r="G1484" i="2"/>
  <c r="A1484" i="2" s="1"/>
  <c r="I1484" i="2"/>
  <c r="J1484" i="2"/>
  <c r="A1485" i="2"/>
  <c r="B1485" i="2"/>
  <c r="C1485" i="2"/>
  <c r="D1485" i="2"/>
  <c r="E1485" i="2"/>
  <c r="F1485" i="2"/>
  <c r="G1485" i="2"/>
  <c r="I1485" i="2"/>
  <c r="J1485" i="2"/>
  <c r="A1486" i="2"/>
  <c r="B1486" i="2"/>
  <c r="C1486" i="2"/>
  <c r="D1486" i="2"/>
  <c r="E1486" i="2"/>
  <c r="F1486" i="2"/>
  <c r="G1486" i="2"/>
  <c r="A1487" i="2"/>
  <c r="B1487" i="2"/>
  <c r="C1487" i="2"/>
  <c r="D1487" i="2"/>
  <c r="E1487" i="2"/>
  <c r="F1487" i="2"/>
  <c r="G1487" i="2"/>
  <c r="A1488" i="2"/>
  <c r="B1488" i="2"/>
  <c r="C1488" i="2"/>
  <c r="D1488" i="2"/>
  <c r="E1488" i="2"/>
  <c r="F1488" i="2"/>
  <c r="G1488" i="2"/>
  <c r="B1489" i="2"/>
  <c r="C1489" i="2"/>
  <c r="D1489" i="2"/>
  <c r="E1489" i="2"/>
  <c r="F1489" i="2"/>
  <c r="G1489" i="2"/>
  <c r="A1489" i="2" s="1"/>
  <c r="B1490" i="2"/>
  <c r="C1490" i="2"/>
  <c r="D1490" i="2"/>
  <c r="E1490" i="2"/>
  <c r="H1490" i="2"/>
  <c r="A1490" i="2" s="1"/>
  <c r="F1490" i="2" s="1"/>
  <c r="J1490" i="2"/>
  <c r="B1491" i="2"/>
  <c r="C1491" i="2"/>
  <c r="D1491" i="2"/>
  <c r="E1491" i="2"/>
  <c r="F1491" i="2"/>
  <c r="G1491" i="2"/>
  <c r="A1491" i="2" s="1"/>
  <c r="I1491" i="2"/>
  <c r="J1491" i="2"/>
  <c r="A1492" i="2"/>
  <c r="B1492" i="2"/>
  <c r="C1492" i="2"/>
  <c r="D1492" i="2"/>
  <c r="E1492" i="2"/>
  <c r="F1492" i="2"/>
  <c r="G1492" i="2"/>
  <c r="I1492" i="2"/>
  <c r="J1492" i="2"/>
  <c r="A1493" i="2"/>
  <c r="B1493" i="2"/>
  <c r="C1493" i="2"/>
  <c r="D1493" i="2"/>
  <c r="E1493" i="2"/>
  <c r="F1493" i="2"/>
  <c r="G1493" i="2"/>
  <c r="I1493" i="2"/>
  <c r="J1493" i="2"/>
  <c r="B1494" i="2"/>
  <c r="C1494" i="2"/>
  <c r="D1494" i="2"/>
  <c r="E1494" i="2"/>
  <c r="F1494" i="2"/>
  <c r="G1494" i="2"/>
  <c r="A1494" i="2" s="1"/>
  <c r="I1494" i="2"/>
  <c r="J1494" i="2"/>
  <c r="B1495" i="2"/>
  <c r="C1495" i="2"/>
  <c r="D1495" i="2"/>
  <c r="E1495" i="2"/>
  <c r="F1495" i="2"/>
  <c r="G1495" i="2"/>
  <c r="A1495" i="2" s="1"/>
  <c r="I1495" i="2"/>
  <c r="J1495" i="2"/>
  <c r="A1496" i="2"/>
  <c r="B1496" i="2"/>
  <c r="C1496" i="2"/>
  <c r="D1496" i="2"/>
  <c r="E1496" i="2"/>
  <c r="F1496" i="2"/>
  <c r="G1496" i="2"/>
  <c r="I1496" i="2"/>
  <c r="J1496" i="2"/>
  <c r="A1497" i="2"/>
  <c r="B1497" i="2"/>
  <c r="C1497" i="2"/>
  <c r="D1497" i="2"/>
  <c r="E1497" i="2"/>
  <c r="F1497" i="2"/>
  <c r="G1497" i="2"/>
  <c r="I1497" i="2"/>
  <c r="J1497" i="2"/>
  <c r="B1498" i="2"/>
  <c r="C1498" i="2"/>
  <c r="D1498" i="2"/>
  <c r="E1498" i="2"/>
  <c r="F1498" i="2"/>
  <c r="G1498" i="2"/>
  <c r="A1498" i="2" s="1"/>
  <c r="I1498" i="2"/>
  <c r="J1498" i="2"/>
  <c r="B1499" i="2"/>
  <c r="C1499" i="2"/>
  <c r="D1499" i="2"/>
  <c r="E1499" i="2"/>
  <c r="F1499" i="2"/>
  <c r="G1499" i="2"/>
  <c r="A1499" i="2" s="1"/>
  <c r="I1499" i="2"/>
  <c r="J1499" i="2"/>
  <c r="A1500" i="2"/>
  <c r="B1500" i="2"/>
  <c r="C1500" i="2"/>
  <c r="D1500" i="2"/>
  <c r="E1500" i="2"/>
  <c r="F1500" i="2"/>
  <c r="G1500" i="2"/>
  <c r="I1500" i="2"/>
  <c r="J1500" i="2"/>
  <c r="A1501" i="2"/>
  <c r="B1501" i="2"/>
  <c r="C1501" i="2"/>
  <c r="D1501" i="2"/>
  <c r="E1501" i="2"/>
  <c r="F1501" i="2"/>
  <c r="G1501" i="2"/>
  <c r="I1501" i="2"/>
  <c r="J1501" i="2"/>
  <c r="B1502" i="2"/>
  <c r="C1502" i="2"/>
  <c r="D1502" i="2"/>
  <c r="E1502" i="2"/>
  <c r="F1502" i="2"/>
  <c r="G1502" i="2"/>
  <c r="A1502" i="2" s="1"/>
  <c r="A1503" i="2"/>
  <c r="B1503" i="2"/>
  <c r="C1503" i="2"/>
  <c r="D1503" i="2"/>
  <c r="E1503" i="2"/>
  <c r="F1503" i="2"/>
  <c r="G1503" i="2"/>
  <c r="B1504" i="2"/>
  <c r="C1504" i="2"/>
  <c r="D1504" i="2"/>
  <c r="E1504" i="2"/>
  <c r="F1504" i="2"/>
  <c r="G1504" i="2"/>
  <c r="A1504" i="2" s="1"/>
  <c r="B1505" i="2"/>
  <c r="C1505" i="2"/>
  <c r="D1505" i="2"/>
  <c r="E1505" i="2"/>
  <c r="F1505" i="2"/>
  <c r="G1505" i="2"/>
  <c r="A1505" i="2" s="1"/>
  <c r="A1506" i="2"/>
  <c r="F1506" i="2" s="1"/>
  <c r="B1506" i="2"/>
  <c r="C1506" i="2"/>
  <c r="D1506" i="2"/>
  <c r="E1506" i="2"/>
  <c r="H1506" i="2"/>
  <c r="J1506" i="2"/>
  <c r="B1507" i="2"/>
  <c r="C1507" i="2"/>
  <c r="D1507" i="2"/>
  <c r="E1507" i="2"/>
  <c r="F1507" i="2"/>
  <c r="G1507" i="2"/>
  <c r="A1507" i="2" s="1"/>
  <c r="I1507" i="2"/>
  <c r="J1507" i="2"/>
  <c r="B1508" i="2"/>
  <c r="C1508" i="2"/>
  <c r="D1508" i="2"/>
  <c r="E1508" i="2"/>
  <c r="F1508" i="2"/>
  <c r="G1508" i="2"/>
  <c r="A1508" i="2" s="1"/>
  <c r="I1508" i="2"/>
  <c r="J1508" i="2"/>
  <c r="A1509" i="2"/>
  <c r="B1509" i="2"/>
  <c r="C1509" i="2"/>
  <c r="D1509" i="2"/>
  <c r="E1509" i="2"/>
  <c r="F1509" i="2"/>
  <c r="G1509" i="2"/>
  <c r="I1509" i="2"/>
  <c r="J1509" i="2"/>
  <c r="A1510" i="2"/>
  <c r="B1510" i="2"/>
  <c r="C1510" i="2"/>
  <c r="D1510" i="2"/>
  <c r="E1510" i="2"/>
  <c r="F1510" i="2"/>
  <c r="G1510" i="2"/>
  <c r="I1510" i="2"/>
  <c r="J1510" i="2"/>
  <c r="B1511" i="2"/>
  <c r="C1511" i="2"/>
  <c r="D1511" i="2"/>
  <c r="E1511" i="2"/>
  <c r="F1511" i="2"/>
  <c r="G1511" i="2"/>
  <c r="A1511" i="2" s="1"/>
  <c r="I1511" i="2"/>
  <c r="J1511" i="2"/>
  <c r="B1512" i="2"/>
  <c r="C1512" i="2"/>
  <c r="D1512" i="2"/>
  <c r="E1512" i="2"/>
  <c r="F1512" i="2"/>
  <c r="G1512" i="2"/>
  <c r="A1512" i="2" s="1"/>
  <c r="I1512" i="2"/>
  <c r="J1512" i="2"/>
  <c r="A1513" i="2"/>
  <c r="B1513" i="2"/>
  <c r="C1513" i="2"/>
  <c r="D1513" i="2"/>
  <c r="E1513" i="2"/>
  <c r="F1513" i="2"/>
  <c r="G1513" i="2"/>
  <c r="I1513" i="2"/>
  <c r="J1513" i="2"/>
  <c r="A1514" i="2"/>
  <c r="B1514" i="2"/>
  <c r="C1514" i="2"/>
  <c r="D1514" i="2"/>
  <c r="E1514" i="2"/>
  <c r="F1514" i="2"/>
  <c r="G1514" i="2"/>
  <c r="I1514" i="2"/>
  <c r="J1514" i="2"/>
  <c r="B1515" i="2"/>
  <c r="C1515" i="2"/>
  <c r="D1515" i="2"/>
  <c r="E1515" i="2"/>
  <c r="F1515" i="2"/>
  <c r="G1515" i="2"/>
  <c r="A1515" i="2" s="1"/>
  <c r="I1515" i="2"/>
  <c r="J1515" i="2"/>
  <c r="B1516" i="2"/>
  <c r="C1516" i="2"/>
  <c r="D1516" i="2"/>
  <c r="E1516" i="2"/>
  <c r="F1516" i="2"/>
  <c r="G1516" i="2"/>
  <c r="A1516" i="2" s="1"/>
  <c r="I1516" i="2"/>
  <c r="J1516" i="2"/>
  <c r="A1517" i="2"/>
  <c r="B1517" i="2"/>
  <c r="C1517" i="2"/>
  <c r="D1517" i="2"/>
  <c r="E1517" i="2"/>
  <c r="F1517" i="2"/>
  <c r="G1517" i="2"/>
  <c r="I1517" i="2"/>
  <c r="J1517" i="2"/>
  <c r="A1518" i="2"/>
  <c r="B1518" i="2"/>
  <c r="C1518" i="2"/>
  <c r="D1518" i="2"/>
  <c r="E1518" i="2"/>
  <c r="F1518" i="2"/>
  <c r="G1518" i="2"/>
  <c r="A1519" i="2"/>
  <c r="B1519" i="2"/>
  <c r="C1519" i="2"/>
  <c r="D1519" i="2"/>
  <c r="E1519" i="2"/>
  <c r="F1519" i="2"/>
  <c r="G1519" i="2"/>
  <c r="B1520" i="2"/>
  <c r="C1520" i="2"/>
  <c r="D1520" i="2"/>
  <c r="E1520" i="2"/>
  <c r="F1520" i="2"/>
  <c r="G1520" i="2"/>
  <c r="A1520" i="2" s="1"/>
  <c r="B1521" i="2"/>
  <c r="C1521" i="2"/>
  <c r="D1521" i="2"/>
  <c r="E1521" i="2"/>
  <c r="F1521" i="2"/>
  <c r="G1521" i="2"/>
  <c r="A1521" i="2" s="1"/>
  <c r="A1522" i="2"/>
  <c r="F1522" i="2" s="1"/>
  <c r="B1522" i="2"/>
  <c r="C1522" i="2"/>
  <c r="D1522" i="2"/>
  <c r="E1522" i="2"/>
  <c r="H1522" i="2"/>
  <c r="J1522" i="2"/>
  <c r="B1523" i="2"/>
  <c r="C1523" i="2"/>
  <c r="D1523" i="2"/>
  <c r="E1523" i="2"/>
  <c r="F1523" i="2"/>
  <c r="G1523" i="2"/>
  <c r="A1523" i="2" s="1"/>
  <c r="I1523" i="2"/>
  <c r="J1523" i="2"/>
  <c r="B1524" i="2"/>
  <c r="C1524" i="2"/>
  <c r="D1524" i="2"/>
  <c r="E1524" i="2"/>
  <c r="F1524" i="2"/>
  <c r="G1524" i="2"/>
  <c r="A1524" i="2" s="1"/>
  <c r="I1524" i="2"/>
  <c r="J1524" i="2"/>
  <c r="B1525" i="2"/>
  <c r="C1525" i="2"/>
  <c r="D1525" i="2"/>
  <c r="E1525" i="2"/>
  <c r="F1525" i="2"/>
  <c r="G1525" i="2"/>
  <c r="A1525" i="2" s="1"/>
  <c r="I1525" i="2"/>
  <c r="J1525" i="2"/>
  <c r="A1526" i="2"/>
  <c r="B1526" i="2"/>
  <c r="C1526" i="2"/>
  <c r="D1526" i="2"/>
  <c r="E1526" i="2"/>
  <c r="F1526" i="2"/>
  <c r="G1526" i="2"/>
  <c r="I1526" i="2"/>
  <c r="J1526" i="2"/>
  <c r="A1527" i="2"/>
  <c r="B1527" i="2"/>
  <c r="C1527" i="2"/>
  <c r="D1527" i="2"/>
  <c r="E1527" i="2"/>
  <c r="F1527" i="2"/>
  <c r="G1527" i="2"/>
  <c r="I1527" i="2"/>
  <c r="J1527" i="2"/>
  <c r="B1528" i="2"/>
  <c r="C1528" i="2"/>
  <c r="D1528" i="2"/>
  <c r="E1528" i="2"/>
  <c r="F1528" i="2"/>
  <c r="G1528" i="2"/>
  <c r="A1528" i="2" s="1"/>
  <c r="I1528" i="2"/>
  <c r="J1528" i="2"/>
  <c r="B1529" i="2"/>
  <c r="C1529" i="2"/>
  <c r="D1529" i="2"/>
  <c r="E1529" i="2"/>
  <c r="F1529" i="2"/>
  <c r="G1529" i="2"/>
  <c r="A1529" i="2" s="1"/>
  <c r="I1529" i="2"/>
  <c r="J1529" i="2"/>
  <c r="A1530" i="2"/>
  <c r="B1530" i="2"/>
  <c r="C1530" i="2"/>
  <c r="D1530" i="2"/>
  <c r="E1530" i="2"/>
  <c r="F1530" i="2"/>
  <c r="G1530" i="2"/>
  <c r="I1530" i="2"/>
  <c r="J1530" i="2"/>
  <c r="A1531" i="2"/>
  <c r="B1531" i="2"/>
  <c r="C1531" i="2"/>
  <c r="D1531" i="2"/>
  <c r="E1531" i="2"/>
  <c r="F1531" i="2"/>
  <c r="G1531" i="2"/>
  <c r="I1531" i="2"/>
  <c r="J1531" i="2"/>
  <c r="B1532" i="2"/>
  <c r="C1532" i="2"/>
  <c r="D1532" i="2"/>
  <c r="E1532" i="2"/>
  <c r="F1532" i="2"/>
  <c r="G1532" i="2"/>
  <c r="A1532" i="2" s="1"/>
  <c r="I1532" i="2"/>
  <c r="J1532" i="2"/>
  <c r="B1533" i="2"/>
  <c r="C1533" i="2"/>
  <c r="D1533" i="2"/>
  <c r="E1533" i="2"/>
  <c r="F1533" i="2"/>
  <c r="G1533" i="2"/>
  <c r="A1533" i="2" s="1"/>
  <c r="I1533" i="2"/>
  <c r="J1533" i="2"/>
  <c r="A1534" i="2"/>
  <c r="B1534" i="2"/>
  <c r="C1534" i="2"/>
  <c r="D1534" i="2"/>
  <c r="E1534" i="2"/>
  <c r="F1534" i="2"/>
  <c r="G1534" i="2"/>
  <c r="B1535" i="2"/>
  <c r="C1535" i="2"/>
  <c r="D1535" i="2"/>
  <c r="E1535" i="2"/>
  <c r="F1535" i="2"/>
  <c r="G1535" i="2"/>
  <c r="A1535" i="2" s="1"/>
  <c r="B1536" i="2"/>
  <c r="C1536" i="2"/>
  <c r="D1536" i="2"/>
  <c r="E1536" i="2"/>
  <c r="F1536" i="2"/>
  <c r="G1536" i="2"/>
  <c r="A1536" i="2" s="1"/>
  <c r="A1537" i="2"/>
  <c r="B1537" i="2"/>
  <c r="C1537" i="2"/>
  <c r="D1537" i="2"/>
  <c r="E1537" i="2"/>
  <c r="F1537" i="2"/>
  <c r="G1537" i="2"/>
  <c r="A1538" i="2"/>
  <c r="F1538" i="2" s="1"/>
  <c r="B1538" i="2"/>
  <c r="C1538" i="2"/>
  <c r="D1538" i="2"/>
  <c r="E1538" i="2"/>
  <c r="H1538" i="2"/>
  <c r="J1538" i="2"/>
  <c r="A1539" i="2"/>
  <c r="B1539" i="2"/>
  <c r="C1539" i="2"/>
  <c r="D1539" i="2"/>
  <c r="E1539" i="2"/>
  <c r="F1539" i="2"/>
  <c r="G1539" i="2"/>
  <c r="I1539" i="2"/>
  <c r="J1539" i="2"/>
  <c r="B1540" i="2"/>
  <c r="C1540" i="2"/>
  <c r="D1540" i="2"/>
  <c r="E1540" i="2"/>
  <c r="F1540" i="2"/>
  <c r="G1540" i="2"/>
  <c r="A1540" i="2" s="1"/>
  <c r="I1540" i="2"/>
  <c r="J1540" i="2"/>
  <c r="B1541" i="2"/>
  <c r="C1541" i="2"/>
  <c r="D1541" i="2"/>
  <c r="E1541" i="2"/>
  <c r="F1541" i="2"/>
  <c r="G1541" i="2"/>
  <c r="A1541" i="2" s="1"/>
  <c r="I1541" i="2"/>
  <c r="J1541" i="2"/>
  <c r="A1542" i="2"/>
  <c r="B1542" i="2"/>
  <c r="C1542" i="2"/>
  <c r="D1542" i="2"/>
  <c r="E1542" i="2"/>
  <c r="F1542" i="2"/>
  <c r="G1542" i="2"/>
  <c r="I1542" i="2"/>
  <c r="J1542" i="2"/>
  <c r="A1543" i="2"/>
  <c r="B1543" i="2"/>
  <c r="C1543" i="2"/>
  <c r="D1543" i="2"/>
  <c r="E1543" i="2"/>
  <c r="F1543" i="2"/>
  <c r="G1543" i="2"/>
  <c r="I1543" i="2"/>
  <c r="J1543" i="2"/>
  <c r="B1544" i="2"/>
  <c r="C1544" i="2"/>
  <c r="D1544" i="2"/>
  <c r="E1544" i="2"/>
  <c r="F1544" i="2"/>
  <c r="G1544" i="2"/>
  <c r="A1544" i="2" s="1"/>
  <c r="I1544" i="2"/>
  <c r="J1544" i="2"/>
  <c r="B1545" i="2"/>
  <c r="C1545" i="2"/>
  <c r="D1545" i="2"/>
  <c r="E1545" i="2"/>
  <c r="F1545" i="2"/>
  <c r="G1545" i="2"/>
  <c r="A1545" i="2" s="1"/>
  <c r="I1545" i="2"/>
  <c r="J1545" i="2"/>
  <c r="A1546" i="2"/>
  <c r="B1546" i="2"/>
  <c r="C1546" i="2"/>
  <c r="D1546" i="2"/>
  <c r="E1546" i="2"/>
  <c r="F1546" i="2"/>
  <c r="G1546" i="2"/>
  <c r="I1546" i="2"/>
  <c r="J1546" i="2"/>
  <c r="A1547" i="2"/>
  <c r="B1547" i="2"/>
  <c r="C1547" i="2"/>
  <c r="D1547" i="2"/>
  <c r="E1547" i="2"/>
  <c r="F1547" i="2"/>
  <c r="G1547" i="2"/>
  <c r="I1547" i="2"/>
  <c r="J1547" i="2"/>
  <c r="B1548" i="2"/>
  <c r="C1548" i="2"/>
  <c r="D1548" i="2"/>
  <c r="E1548" i="2"/>
  <c r="F1548" i="2"/>
  <c r="G1548" i="2"/>
  <c r="A1548" i="2" s="1"/>
  <c r="I1548" i="2"/>
  <c r="J1548" i="2"/>
  <c r="B1549" i="2"/>
  <c r="C1549" i="2"/>
  <c r="D1549" i="2"/>
  <c r="E1549" i="2"/>
  <c r="F1549" i="2"/>
  <c r="G1549" i="2"/>
  <c r="A1549" i="2" s="1"/>
  <c r="I1549" i="2"/>
  <c r="J1549" i="2"/>
  <c r="A1550" i="2"/>
  <c r="B1550" i="2"/>
  <c r="C1550" i="2"/>
  <c r="D1550" i="2"/>
  <c r="E1550" i="2"/>
  <c r="F1550" i="2"/>
  <c r="G1550" i="2"/>
  <c r="B1551" i="2"/>
  <c r="C1551" i="2"/>
  <c r="D1551" i="2"/>
  <c r="E1551" i="2"/>
  <c r="F1551" i="2"/>
  <c r="G1551" i="2"/>
  <c r="A1551" i="2" s="1"/>
  <c r="B1552" i="2"/>
  <c r="C1552" i="2"/>
  <c r="D1552" i="2"/>
  <c r="E1552" i="2"/>
  <c r="F1552" i="2"/>
  <c r="G1552" i="2"/>
  <c r="A1552" i="2" s="1"/>
  <c r="A1553" i="2"/>
  <c r="B1553" i="2"/>
  <c r="C1553" i="2"/>
  <c r="D1553" i="2"/>
  <c r="E1553" i="2"/>
  <c r="F1553" i="2"/>
  <c r="G1553" i="2"/>
  <c r="A1554" i="2"/>
  <c r="B1554" i="2"/>
  <c r="C1554" i="2"/>
  <c r="D1554" i="2"/>
  <c r="E1554" i="2"/>
  <c r="F1554" i="2"/>
  <c r="H1554" i="2"/>
  <c r="J1554" i="2"/>
  <c r="A1555" i="2"/>
  <c r="B1555" i="2"/>
  <c r="C1555" i="2"/>
  <c r="D1555" i="2"/>
  <c r="E1555" i="2"/>
  <c r="F1555" i="2"/>
  <c r="G1555" i="2"/>
  <c r="I1555" i="2"/>
  <c r="J1555" i="2"/>
  <c r="B1556" i="2"/>
  <c r="C1556" i="2"/>
  <c r="D1556" i="2"/>
  <c r="E1556" i="2"/>
  <c r="F1556" i="2"/>
  <c r="G1556" i="2"/>
  <c r="A1556" i="2" s="1"/>
  <c r="I1556" i="2"/>
  <c r="J1556" i="2"/>
  <c r="B1557" i="2"/>
  <c r="C1557" i="2"/>
  <c r="D1557" i="2"/>
  <c r="E1557" i="2"/>
  <c r="F1557" i="2"/>
  <c r="G1557" i="2"/>
  <c r="A1557" i="2" s="1"/>
  <c r="I1557" i="2"/>
  <c r="J1557" i="2"/>
  <c r="A1558" i="2"/>
  <c r="B1558" i="2"/>
  <c r="C1558" i="2"/>
  <c r="D1558" i="2"/>
  <c r="E1558" i="2"/>
  <c r="F1558" i="2"/>
  <c r="G1558" i="2"/>
  <c r="I1558" i="2"/>
  <c r="J1558" i="2"/>
  <c r="A1559" i="2"/>
  <c r="B1559" i="2"/>
  <c r="C1559" i="2"/>
  <c r="D1559" i="2"/>
  <c r="E1559" i="2"/>
  <c r="F1559" i="2"/>
  <c r="G1559" i="2"/>
  <c r="I1559" i="2"/>
  <c r="J1559" i="2"/>
  <c r="B1560" i="2"/>
  <c r="C1560" i="2"/>
  <c r="D1560" i="2"/>
  <c r="E1560" i="2"/>
  <c r="F1560" i="2"/>
  <c r="G1560" i="2"/>
  <c r="A1560" i="2" s="1"/>
  <c r="I1560" i="2"/>
  <c r="J1560" i="2"/>
  <c r="B1561" i="2"/>
  <c r="C1561" i="2"/>
  <c r="D1561" i="2"/>
  <c r="E1561" i="2"/>
  <c r="F1561" i="2"/>
  <c r="G1561" i="2"/>
  <c r="A1561" i="2" s="1"/>
  <c r="I1561" i="2"/>
  <c r="J1561" i="2"/>
  <c r="A1562" i="2"/>
  <c r="B1562" i="2"/>
  <c r="C1562" i="2"/>
  <c r="D1562" i="2"/>
  <c r="E1562" i="2"/>
  <c r="F1562" i="2"/>
  <c r="G1562" i="2"/>
  <c r="I1562" i="2"/>
  <c r="J1562" i="2"/>
  <c r="A1563" i="2"/>
  <c r="B1563" i="2"/>
  <c r="C1563" i="2"/>
  <c r="D1563" i="2"/>
  <c r="E1563" i="2"/>
  <c r="F1563" i="2"/>
  <c r="G1563" i="2"/>
  <c r="I1563" i="2"/>
  <c r="J1563" i="2"/>
  <c r="B1564" i="2"/>
  <c r="C1564" i="2"/>
  <c r="D1564" i="2"/>
  <c r="E1564" i="2"/>
  <c r="F1564" i="2"/>
  <c r="G1564" i="2"/>
  <c r="A1564" i="2" s="1"/>
  <c r="I1564" i="2"/>
  <c r="J1564" i="2"/>
  <c r="B1565" i="2"/>
  <c r="C1565" i="2"/>
  <c r="D1565" i="2"/>
  <c r="E1565" i="2"/>
  <c r="F1565" i="2"/>
  <c r="G1565" i="2"/>
  <c r="A1565" i="2" s="1"/>
  <c r="I1565" i="2"/>
  <c r="J1565" i="2"/>
  <c r="A1566" i="2"/>
  <c r="B1566" i="2"/>
  <c r="C1566" i="2"/>
  <c r="D1566" i="2"/>
  <c r="E1566" i="2"/>
  <c r="F1566" i="2"/>
  <c r="G1566" i="2"/>
  <c r="B1567" i="2"/>
  <c r="C1567" i="2"/>
  <c r="D1567" i="2"/>
  <c r="E1567" i="2"/>
  <c r="F1567" i="2"/>
  <c r="G1567" i="2"/>
  <c r="A1567" i="2" s="1"/>
  <c r="B1568" i="2"/>
  <c r="C1568" i="2"/>
  <c r="D1568" i="2"/>
  <c r="E1568" i="2"/>
  <c r="F1568" i="2"/>
  <c r="G1568" i="2"/>
  <c r="A1568" i="2" s="1"/>
  <c r="A1569" i="2"/>
  <c r="B1569" i="2"/>
  <c r="C1569" i="2"/>
  <c r="D1569" i="2"/>
  <c r="E1569" i="2"/>
  <c r="F1569" i="2"/>
  <c r="G1569" i="2"/>
  <c r="A1570" i="2"/>
  <c r="F1570" i="2" s="1"/>
  <c r="B1570" i="2"/>
  <c r="C1570" i="2"/>
  <c r="D1570" i="2"/>
  <c r="E1570" i="2"/>
  <c r="H1570" i="2"/>
  <c r="J1570" i="2"/>
  <c r="A1571" i="2"/>
  <c r="B1571" i="2"/>
  <c r="C1571" i="2"/>
  <c r="D1571" i="2"/>
  <c r="E1571" i="2"/>
  <c r="F1571" i="2"/>
  <c r="G1571" i="2"/>
  <c r="I1571" i="2"/>
  <c r="J1571" i="2"/>
  <c r="B1572" i="2"/>
  <c r="C1572" i="2"/>
  <c r="D1572" i="2"/>
  <c r="E1572" i="2"/>
  <c r="F1572" i="2"/>
  <c r="G1572" i="2"/>
  <c r="A1572" i="2" s="1"/>
  <c r="I1572" i="2"/>
  <c r="J1572" i="2"/>
  <c r="B1573" i="2"/>
  <c r="C1573" i="2"/>
  <c r="D1573" i="2"/>
  <c r="E1573" i="2"/>
  <c r="F1573" i="2"/>
  <c r="G1573" i="2"/>
  <c r="A1573" i="2" s="1"/>
  <c r="I1573" i="2"/>
  <c r="J1573" i="2"/>
  <c r="A1574" i="2"/>
  <c r="B1574" i="2"/>
  <c r="C1574" i="2"/>
  <c r="D1574" i="2"/>
  <c r="E1574" i="2"/>
  <c r="F1574" i="2"/>
  <c r="G1574" i="2"/>
  <c r="I1574" i="2"/>
  <c r="J1574" i="2"/>
  <c r="A1575" i="2"/>
  <c r="B1575" i="2"/>
  <c r="C1575" i="2"/>
  <c r="D1575" i="2"/>
  <c r="E1575" i="2"/>
  <c r="F1575" i="2"/>
  <c r="G1575" i="2"/>
  <c r="I1575" i="2"/>
  <c r="J1575" i="2"/>
  <c r="B1576" i="2"/>
  <c r="C1576" i="2"/>
  <c r="D1576" i="2"/>
  <c r="E1576" i="2"/>
  <c r="F1576" i="2"/>
  <c r="G1576" i="2"/>
  <c r="A1576" i="2" s="1"/>
  <c r="I1576" i="2"/>
  <c r="J1576" i="2"/>
  <c r="B1577" i="2"/>
  <c r="C1577" i="2"/>
  <c r="D1577" i="2"/>
  <c r="E1577" i="2"/>
  <c r="F1577" i="2"/>
  <c r="G1577" i="2"/>
  <c r="A1577" i="2" s="1"/>
  <c r="I1577" i="2"/>
  <c r="J1577" i="2"/>
  <c r="A1578" i="2"/>
  <c r="B1578" i="2"/>
  <c r="C1578" i="2"/>
  <c r="D1578" i="2"/>
  <c r="E1578" i="2"/>
  <c r="F1578" i="2"/>
  <c r="G1578" i="2"/>
  <c r="I1578" i="2"/>
  <c r="J1578" i="2"/>
  <c r="A1579" i="2"/>
  <c r="B1579" i="2"/>
  <c r="C1579" i="2"/>
  <c r="D1579" i="2"/>
  <c r="E1579" i="2"/>
  <c r="F1579" i="2"/>
  <c r="G1579" i="2"/>
  <c r="I1579" i="2"/>
  <c r="J1579" i="2"/>
  <c r="B1580" i="2"/>
  <c r="C1580" i="2"/>
  <c r="D1580" i="2"/>
  <c r="E1580" i="2"/>
  <c r="F1580" i="2"/>
  <c r="G1580" i="2"/>
  <c r="A1580" i="2" s="1"/>
  <c r="I1580" i="2"/>
  <c r="J1580" i="2"/>
  <c r="B1581" i="2"/>
  <c r="C1581" i="2"/>
  <c r="D1581" i="2"/>
  <c r="E1581" i="2"/>
  <c r="F1581" i="2"/>
  <c r="G1581" i="2"/>
  <c r="A1581" i="2" s="1"/>
  <c r="I1581" i="2"/>
  <c r="J1581" i="2"/>
  <c r="A1582" i="2"/>
  <c r="B1582" i="2"/>
  <c r="C1582" i="2"/>
  <c r="D1582" i="2"/>
  <c r="E1582" i="2"/>
  <c r="F1582" i="2"/>
  <c r="G1582" i="2"/>
  <c r="B1583" i="2"/>
  <c r="C1583" i="2"/>
  <c r="D1583" i="2"/>
  <c r="E1583" i="2"/>
  <c r="F1583" i="2"/>
  <c r="G1583" i="2"/>
  <c r="A1583" i="2" s="1"/>
  <c r="B1584" i="2"/>
  <c r="C1584" i="2"/>
  <c r="D1584" i="2"/>
  <c r="E1584" i="2"/>
  <c r="F1584" i="2"/>
  <c r="G1584" i="2"/>
  <c r="A1584" i="2" s="1"/>
  <c r="A1585" i="2"/>
  <c r="B1585" i="2"/>
  <c r="C1585" i="2"/>
  <c r="D1585" i="2"/>
  <c r="E1585" i="2"/>
  <c r="F1585" i="2"/>
  <c r="G1585" i="2"/>
  <c r="A1586" i="2"/>
  <c r="F1586" i="2" s="1"/>
  <c r="B1586" i="2"/>
  <c r="C1586" i="2"/>
  <c r="D1586" i="2"/>
  <c r="E1586" i="2"/>
  <c r="H1586" i="2"/>
  <c r="J1586" i="2"/>
  <c r="A1587" i="2"/>
  <c r="B1587" i="2"/>
  <c r="C1587" i="2"/>
  <c r="D1587" i="2"/>
  <c r="E1587" i="2"/>
  <c r="F1587" i="2"/>
  <c r="G1587" i="2"/>
  <c r="I1587" i="2"/>
  <c r="J1587" i="2"/>
  <c r="B1588" i="2"/>
  <c r="C1588" i="2"/>
  <c r="D1588" i="2"/>
  <c r="E1588" i="2"/>
  <c r="F1588" i="2"/>
  <c r="G1588" i="2"/>
  <c r="A1588" i="2" s="1"/>
  <c r="I1588" i="2"/>
  <c r="J1588" i="2"/>
  <c r="B1589" i="2"/>
  <c r="C1589" i="2"/>
  <c r="D1589" i="2"/>
  <c r="E1589" i="2"/>
  <c r="F1589" i="2"/>
  <c r="G1589" i="2"/>
  <c r="A1589" i="2" s="1"/>
  <c r="I1589" i="2"/>
  <c r="J1589" i="2"/>
  <c r="A1590" i="2"/>
  <c r="B1590" i="2"/>
  <c r="C1590" i="2"/>
  <c r="D1590" i="2"/>
  <c r="E1590" i="2"/>
  <c r="F1590" i="2"/>
  <c r="G1590" i="2"/>
  <c r="I1590" i="2"/>
  <c r="J1590" i="2"/>
  <c r="A1591" i="2"/>
  <c r="B1591" i="2"/>
  <c r="C1591" i="2"/>
  <c r="D1591" i="2"/>
  <c r="E1591" i="2"/>
  <c r="F1591" i="2"/>
  <c r="G1591" i="2"/>
  <c r="I1591" i="2"/>
  <c r="J1591" i="2"/>
  <c r="B1592" i="2"/>
  <c r="C1592" i="2"/>
  <c r="D1592" i="2"/>
  <c r="E1592" i="2"/>
  <c r="F1592" i="2"/>
  <c r="G1592" i="2"/>
  <c r="A1592" i="2" s="1"/>
  <c r="I1592" i="2"/>
  <c r="J1592" i="2"/>
  <c r="B1593" i="2"/>
  <c r="C1593" i="2"/>
  <c r="D1593" i="2"/>
  <c r="E1593" i="2"/>
  <c r="F1593" i="2"/>
  <c r="G1593" i="2"/>
  <c r="A1593" i="2" s="1"/>
  <c r="I1593" i="2"/>
  <c r="J1593" i="2"/>
  <c r="A1594" i="2"/>
  <c r="B1594" i="2"/>
  <c r="C1594" i="2"/>
  <c r="D1594" i="2"/>
  <c r="E1594" i="2"/>
  <c r="F1594" i="2"/>
  <c r="G1594" i="2"/>
  <c r="I1594" i="2"/>
  <c r="J1594" i="2"/>
  <c r="A1595" i="2"/>
  <c r="B1595" i="2"/>
  <c r="C1595" i="2"/>
  <c r="D1595" i="2"/>
  <c r="E1595" i="2"/>
  <c r="F1595" i="2"/>
  <c r="G1595" i="2"/>
  <c r="I1595" i="2"/>
  <c r="J1595" i="2"/>
  <c r="B1596" i="2"/>
  <c r="C1596" i="2"/>
  <c r="D1596" i="2"/>
  <c r="E1596" i="2"/>
  <c r="F1596" i="2"/>
  <c r="G1596" i="2"/>
  <c r="A1596" i="2" s="1"/>
  <c r="I1596" i="2"/>
  <c r="J1596" i="2"/>
  <c r="B1597" i="2"/>
  <c r="C1597" i="2"/>
  <c r="D1597" i="2"/>
  <c r="E1597" i="2"/>
  <c r="F1597" i="2"/>
  <c r="G1597" i="2"/>
  <c r="A1597" i="2" s="1"/>
  <c r="I1597" i="2"/>
  <c r="J1597" i="2"/>
  <c r="A1598" i="2"/>
  <c r="B1598" i="2"/>
  <c r="C1598" i="2"/>
  <c r="D1598" i="2"/>
  <c r="E1598" i="2"/>
  <c r="F1598" i="2"/>
  <c r="G1598" i="2"/>
  <c r="B1599" i="2"/>
  <c r="C1599" i="2"/>
  <c r="D1599" i="2"/>
  <c r="E1599" i="2"/>
  <c r="F1599" i="2"/>
  <c r="G1599" i="2"/>
  <c r="A1599" i="2" s="1"/>
  <c r="B1600" i="2"/>
  <c r="C1600" i="2"/>
  <c r="D1600" i="2"/>
  <c r="E1600" i="2"/>
  <c r="F1600" i="2"/>
  <c r="G1600" i="2"/>
  <c r="A1600" i="2" s="1"/>
  <c r="A1601" i="2"/>
  <c r="B1601" i="2"/>
  <c r="C1601" i="2"/>
  <c r="D1601" i="2"/>
  <c r="E1601" i="2"/>
  <c r="F1601" i="2"/>
  <c r="G1601" i="2"/>
  <c r="A1602" i="2"/>
  <c r="B1602" i="2"/>
  <c r="C1602" i="2"/>
  <c r="D1602" i="2"/>
  <c r="E1602" i="2"/>
  <c r="F1602" i="2"/>
  <c r="H1602" i="2"/>
  <c r="J1602" i="2"/>
  <c r="A1603" i="2"/>
  <c r="B1603" i="2"/>
  <c r="C1603" i="2"/>
  <c r="D1603" i="2"/>
  <c r="E1603" i="2"/>
  <c r="F1603" i="2"/>
  <c r="G1603" i="2"/>
  <c r="I1603" i="2"/>
  <c r="J1603" i="2"/>
  <c r="B1604" i="2"/>
  <c r="C1604" i="2"/>
  <c r="D1604" i="2"/>
  <c r="E1604" i="2"/>
  <c r="F1604" i="2"/>
  <c r="G1604" i="2"/>
  <c r="A1604" i="2" s="1"/>
  <c r="I1604" i="2"/>
  <c r="J1604" i="2"/>
  <c r="B1605" i="2"/>
  <c r="C1605" i="2"/>
  <c r="D1605" i="2"/>
  <c r="E1605" i="2"/>
  <c r="F1605" i="2"/>
  <c r="G1605" i="2"/>
  <c r="A1605" i="2" s="1"/>
  <c r="I1605" i="2"/>
  <c r="J1605" i="2"/>
  <c r="A1606" i="2"/>
  <c r="B1606" i="2"/>
  <c r="C1606" i="2"/>
  <c r="D1606" i="2"/>
  <c r="E1606" i="2"/>
  <c r="F1606" i="2"/>
  <c r="G1606" i="2"/>
  <c r="I1606" i="2"/>
  <c r="J1606" i="2"/>
  <c r="A1607" i="2"/>
  <c r="B1607" i="2"/>
  <c r="C1607" i="2"/>
  <c r="D1607" i="2"/>
  <c r="E1607" i="2"/>
  <c r="F1607" i="2"/>
  <c r="G1607" i="2"/>
  <c r="I1607" i="2"/>
  <c r="J1607" i="2"/>
  <c r="B1608" i="2"/>
  <c r="C1608" i="2"/>
  <c r="D1608" i="2"/>
  <c r="E1608" i="2"/>
  <c r="F1608" i="2"/>
  <c r="G1608" i="2"/>
  <c r="A1608" i="2" s="1"/>
  <c r="I1608" i="2"/>
  <c r="J1608" i="2"/>
  <c r="B1609" i="2"/>
  <c r="C1609" i="2"/>
  <c r="D1609" i="2"/>
  <c r="E1609" i="2"/>
  <c r="F1609" i="2"/>
  <c r="G1609" i="2"/>
  <c r="A1609" i="2" s="1"/>
  <c r="I1609" i="2"/>
  <c r="J1609" i="2"/>
  <c r="A1610" i="2"/>
  <c r="B1610" i="2"/>
  <c r="C1610" i="2"/>
  <c r="D1610" i="2"/>
  <c r="E1610" i="2"/>
  <c r="F1610" i="2"/>
  <c r="G1610" i="2"/>
  <c r="I1610" i="2"/>
  <c r="J1610" i="2"/>
  <c r="A1611" i="2"/>
  <c r="B1611" i="2"/>
  <c r="C1611" i="2"/>
  <c r="D1611" i="2"/>
  <c r="E1611" i="2"/>
  <c r="F1611" i="2"/>
  <c r="G1611" i="2"/>
  <c r="I1611" i="2"/>
  <c r="J1611" i="2"/>
  <c r="B1612" i="2"/>
  <c r="C1612" i="2"/>
  <c r="D1612" i="2"/>
  <c r="E1612" i="2"/>
  <c r="F1612" i="2"/>
  <c r="G1612" i="2"/>
  <c r="A1612" i="2" s="1"/>
  <c r="I1612" i="2"/>
  <c r="J1612" i="2"/>
  <c r="B1613" i="2"/>
  <c r="C1613" i="2"/>
  <c r="D1613" i="2"/>
  <c r="E1613" i="2"/>
  <c r="F1613" i="2"/>
  <c r="G1613" i="2"/>
  <c r="A1613" i="2" s="1"/>
  <c r="I1613" i="2"/>
  <c r="J1613" i="2"/>
  <c r="A1614" i="2"/>
  <c r="B1614" i="2"/>
  <c r="C1614" i="2"/>
  <c r="D1614" i="2"/>
  <c r="E1614" i="2"/>
  <c r="F1614" i="2"/>
  <c r="G1614" i="2"/>
  <c r="B1615" i="2"/>
  <c r="C1615" i="2"/>
  <c r="D1615" i="2"/>
  <c r="E1615" i="2"/>
  <c r="F1615" i="2"/>
  <c r="G1615" i="2"/>
  <c r="A1615" i="2" s="1"/>
  <c r="B1616" i="2"/>
  <c r="C1616" i="2"/>
  <c r="D1616" i="2"/>
  <c r="E1616" i="2"/>
  <c r="F1616" i="2"/>
  <c r="G1616" i="2"/>
  <c r="A1616" i="2" s="1"/>
  <c r="A1617" i="2"/>
  <c r="B1617" i="2"/>
  <c r="C1617" i="2"/>
  <c r="D1617" i="2"/>
  <c r="E1617" i="2"/>
  <c r="F1617" i="2"/>
  <c r="G1617" i="2"/>
  <c r="C3" i="1"/>
  <c r="C4" i="1"/>
  <c r="C5" i="1"/>
  <c r="F6" i="1"/>
  <c r="G6" i="1"/>
  <c r="S9" i="1"/>
  <c r="T9" i="1"/>
  <c r="U9" i="1"/>
  <c r="V9" i="1"/>
  <c r="S10" i="1"/>
  <c r="T10" i="1"/>
  <c r="U10" i="1"/>
  <c r="V10" i="1"/>
  <c r="W10" i="1"/>
  <c r="X10" i="1"/>
  <c r="Y10" i="1"/>
  <c r="S11" i="1"/>
  <c r="T11" i="1"/>
  <c r="U11" i="1"/>
  <c r="V11" i="1"/>
  <c r="W11" i="1"/>
  <c r="X11" i="1"/>
  <c r="Y11" i="1"/>
  <c r="S12" i="1"/>
  <c r="T12" i="1"/>
  <c r="U12" i="1"/>
  <c r="V12" i="1"/>
  <c r="W12" i="1"/>
  <c r="X12" i="1"/>
  <c r="Y12" i="1"/>
  <c r="S13" i="1"/>
  <c r="T13" i="1"/>
  <c r="U13" i="1"/>
  <c r="V13" i="1"/>
  <c r="W13" i="1"/>
  <c r="X13" i="1"/>
  <c r="Y13" i="1"/>
  <c r="S14" i="1"/>
  <c r="T14" i="1"/>
  <c r="U14" i="1"/>
  <c r="V14" i="1"/>
  <c r="W14" i="1"/>
  <c r="X14" i="1"/>
  <c r="Y14" i="1"/>
  <c r="S15" i="1"/>
  <c r="T15" i="1"/>
  <c r="U15" i="1"/>
  <c r="V15" i="1"/>
  <c r="W15" i="1"/>
  <c r="X15" i="1"/>
  <c r="Y15" i="1"/>
  <c r="S16" i="1"/>
  <c r="T16" i="1"/>
  <c r="U16" i="1"/>
  <c r="V16" i="1"/>
  <c r="W16" i="1"/>
  <c r="X16" i="1"/>
  <c r="Y16" i="1"/>
  <c r="S17" i="1"/>
  <c r="T17" i="1"/>
  <c r="U17" i="1"/>
  <c r="V17" i="1"/>
  <c r="W17" i="1"/>
  <c r="X17" i="1"/>
  <c r="Y17" i="1"/>
  <c r="S18" i="1"/>
  <c r="T18" i="1"/>
  <c r="U18" i="1"/>
  <c r="V18" i="1"/>
  <c r="W18" i="1"/>
  <c r="X18" i="1"/>
  <c r="Y18" i="1"/>
  <c r="S19" i="1"/>
  <c r="T19" i="1"/>
  <c r="U19" i="1"/>
  <c r="V19" i="1"/>
  <c r="W19" i="1"/>
  <c r="X19" i="1"/>
  <c r="Y19" i="1"/>
  <c r="S20" i="1"/>
  <c r="T20" i="1"/>
  <c r="U20" i="1"/>
  <c r="V20" i="1"/>
  <c r="W20" i="1"/>
  <c r="X20" i="1"/>
  <c r="Y20" i="1"/>
  <c r="S21" i="1"/>
  <c r="T21" i="1"/>
  <c r="U21" i="1"/>
  <c r="V21" i="1"/>
  <c r="W21" i="1"/>
  <c r="X21" i="1"/>
  <c r="Y21" i="1"/>
  <c r="S22" i="1"/>
  <c r="T22" i="1"/>
  <c r="U22" i="1"/>
  <c r="V22" i="1"/>
  <c r="W22" i="1"/>
  <c r="X22" i="1"/>
  <c r="Y22" i="1"/>
  <c r="S23" i="1"/>
  <c r="T23" i="1"/>
  <c r="U23" i="1"/>
  <c r="V23" i="1"/>
  <c r="W23" i="1"/>
  <c r="X23" i="1"/>
  <c r="Y23" i="1"/>
  <c r="S24" i="1"/>
  <c r="T24" i="1"/>
  <c r="U24" i="1"/>
  <c r="V24" i="1"/>
  <c r="W24" i="1"/>
  <c r="X24" i="1"/>
  <c r="Y24" i="1"/>
  <c r="S25" i="1"/>
  <c r="T25" i="1"/>
  <c r="U25" i="1"/>
  <c r="V25" i="1"/>
  <c r="W25" i="1"/>
  <c r="X25" i="1"/>
  <c r="Y25" i="1"/>
  <c r="S26" i="1"/>
  <c r="T26" i="1"/>
  <c r="U26" i="1"/>
  <c r="V26" i="1"/>
  <c r="W26" i="1"/>
  <c r="X26" i="1"/>
  <c r="Y26" i="1"/>
  <c r="S27" i="1"/>
  <c r="T27" i="1"/>
  <c r="U27" i="1"/>
  <c r="V27" i="1"/>
  <c r="W27" i="1"/>
  <c r="X27" i="1"/>
  <c r="Y27" i="1"/>
  <c r="S28" i="1"/>
  <c r="T28" i="1"/>
  <c r="U28" i="1"/>
  <c r="V28" i="1"/>
  <c r="W28" i="1"/>
  <c r="X28" i="1"/>
  <c r="Y28" i="1"/>
  <c r="S29" i="1"/>
  <c r="T29" i="1"/>
  <c r="U29" i="1"/>
  <c r="V29" i="1"/>
  <c r="W29" i="1"/>
  <c r="X29" i="1"/>
  <c r="Y29" i="1"/>
  <c r="S30" i="1"/>
  <c r="T30" i="1"/>
  <c r="U30" i="1"/>
  <c r="V30" i="1"/>
  <c r="W30" i="1"/>
  <c r="X30" i="1"/>
  <c r="Y30" i="1"/>
  <c r="S31" i="1"/>
  <c r="T31" i="1"/>
  <c r="U31" i="1"/>
  <c r="V31" i="1"/>
  <c r="W31" i="1"/>
  <c r="X31" i="1"/>
  <c r="Y31" i="1"/>
  <c r="S32" i="1"/>
  <c r="T32" i="1"/>
  <c r="U32" i="1"/>
  <c r="V32" i="1"/>
  <c r="W32" i="1"/>
  <c r="X32" i="1"/>
  <c r="Y32" i="1"/>
  <c r="S33" i="1"/>
  <c r="T33" i="1"/>
  <c r="U33" i="1"/>
  <c r="V33" i="1"/>
  <c r="W33" i="1"/>
  <c r="X33" i="1"/>
  <c r="Y33" i="1"/>
  <c r="S34" i="1"/>
  <c r="T34" i="1"/>
  <c r="U34" i="1"/>
  <c r="V34" i="1"/>
  <c r="W34" i="1"/>
  <c r="X34" i="1"/>
  <c r="Y34" i="1"/>
  <c r="S35" i="1"/>
  <c r="T35" i="1"/>
  <c r="U35" i="1"/>
  <c r="V35" i="1"/>
  <c r="W35" i="1"/>
  <c r="X35" i="1"/>
  <c r="Y35" i="1"/>
  <c r="S36" i="1"/>
  <c r="T36" i="1"/>
  <c r="U36" i="1"/>
  <c r="V36" i="1"/>
  <c r="W36" i="1"/>
  <c r="X36" i="1"/>
  <c r="Y36" i="1"/>
  <c r="S37" i="1"/>
  <c r="T37" i="1"/>
  <c r="U37" i="1"/>
  <c r="V37" i="1"/>
  <c r="W37" i="1"/>
  <c r="X37" i="1"/>
  <c r="Y37" i="1"/>
  <c r="S38" i="1"/>
  <c r="T38" i="1"/>
  <c r="U38" i="1"/>
  <c r="V38" i="1"/>
  <c r="W38" i="1"/>
  <c r="X38" i="1"/>
  <c r="Y38" i="1"/>
  <c r="S39" i="1"/>
  <c r="T39" i="1"/>
  <c r="U39" i="1"/>
  <c r="V39" i="1"/>
  <c r="W39" i="1"/>
  <c r="X39" i="1"/>
  <c r="Y39" i="1"/>
  <c r="S40" i="1"/>
  <c r="T40" i="1"/>
  <c r="U40" i="1"/>
  <c r="V40" i="1"/>
  <c r="W40" i="1"/>
  <c r="X40" i="1"/>
  <c r="Y40" i="1"/>
  <c r="S41" i="1"/>
  <c r="T41" i="1"/>
  <c r="U41" i="1"/>
  <c r="V41" i="1"/>
  <c r="W41" i="1"/>
  <c r="X41" i="1"/>
  <c r="Y41" i="1"/>
  <c r="S42" i="1"/>
  <c r="T42" i="1"/>
  <c r="U42" i="1"/>
  <c r="V42" i="1"/>
  <c r="W42" i="1"/>
  <c r="X42" i="1"/>
  <c r="Y42" i="1"/>
  <c r="S43" i="1"/>
  <c r="T43" i="1"/>
  <c r="U43" i="1"/>
  <c r="V43" i="1"/>
  <c r="W43" i="1"/>
  <c r="X43" i="1"/>
  <c r="Y43" i="1"/>
  <c r="S44" i="1"/>
  <c r="T44" i="1"/>
  <c r="U44" i="1"/>
  <c r="V44" i="1"/>
  <c r="W44" i="1"/>
  <c r="X44" i="1"/>
  <c r="Y44" i="1"/>
  <c r="S45" i="1"/>
  <c r="T45" i="1"/>
  <c r="U45" i="1"/>
  <c r="V45" i="1"/>
  <c r="W45" i="1"/>
  <c r="X45" i="1"/>
  <c r="Y45" i="1"/>
  <c r="S46" i="1"/>
  <c r="T46" i="1"/>
  <c r="U46" i="1"/>
  <c r="V46" i="1"/>
  <c r="W46" i="1"/>
  <c r="X46" i="1"/>
  <c r="Y46" i="1"/>
  <c r="S47" i="1"/>
  <c r="T47" i="1"/>
  <c r="U47" i="1"/>
  <c r="V47" i="1"/>
  <c r="W47" i="1"/>
  <c r="X47" i="1"/>
  <c r="Y47" i="1"/>
  <c r="S48" i="1"/>
  <c r="T48" i="1"/>
  <c r="U48" i="1"/>
  <c r="V48" i="1"/>
  <c r="W48" i="1"/>
  <c r="X48" i="1"/>
  <c r="Y48" i="1"/>
  <c r="S49" i="1"/>
  <c r="T49" i="1"/>
  <c r="U49" i="1"/>
  <c r="V49" i="1"/>
  <c r="W49" i="1"/>
  <c r="X49" i="1"/>
  <c r="Y49" i="1"/>
  <c r="S50" i="1"/>
  <c r="T50" i="1"/>
  <c r="U50" i="1"/>
  <c r="V50" i="1"/>
  <c r="W50" i="1"/>
  <c r="X50" i="1"/>
  <c r="Y50" i="1"/>
  <c r="S51" i="1"/>
  <c r="T51" i="1"/>
  <c r="U51" i="1"/>
  <c r="V51" i="1"/>
  <c r="W51" i="1"/>
  <c r="X51" i="1"/>
  <c r="Y51" i="1"/>
  <c r="S52" i="1"/>
  <c r="T52" i="1"/>
  <c r="U52" i="1"/>
  <c r="V52" i="1"/>
  <c r="W52" i="1"/>
  <c r="X52" i="1"/>
  <c r="Y52" i="1"/>
  <c r="S53" i="1"/>
  <c r="T53" i="1"/>
  <c r="U53" i="1"/>
  <c r="V53" i="1"/>
  <c r="W53" i="1"/>
  <c r="X53" i="1"/>
  <c r="Y53" i="1"/>
  <c r="S54" i="1"/>
  <c r="T54" i="1"/>
  <c r="U54" i="1"/>
  <c r="V54" i="1"/>
  <c r="W54" i="1"/>
  <c r="X54" i="1"/>
  <c r="Y54" i="1"/>
  <c r="S55" i="1"/>
  <c r="T55" i="1"/>
  <c r="U55" i="1"/>
  <c r="V55" i="1"/>
  <c r="W55" i="1"/>
  <c r="X55" i="1"/>
  <c r="Y55" i="1"/>
  <c r="S56" i="1"/>
  <c r="T56" i="1"/>
  <c r="U56" i="1"/>
  <c r="V56" i="1"/>
  <c r="W56" i="1"/>
  <c r="X56" i="1"/>
  <c r="Y56" i="1"/>
  <c r="S57" i="1"/>
  <c r="T57" i="1"/>
  <c r="U57" i="1"/>
  <c r="V57" i="1"/>
  <c r="W57" i="1"/>
  <c r="X57" i="1"/>
  <c r="Y57" i="1"/>
  <c r="S58" i="1"/>
  <c r="T58" i="1"/>
  <c r="U58" i="1"/>
  <c r="V58" i="1"/>
  <c r="W58" i="1"/>
  <c r="X58" i="1"/>
  <c r="Y58" i="1"/>
  <c r="S59" i="1"/>
  <c r="T59" i="1"/>
  <c r="U59" i="1"/>
  <c r="V59" i="1"/>
  <c r="W59" i="1"/>
  <c r="X59" i="1"/>
  <c r="Y59" i="1"/>
  <c r="S60" i="1"/>
  <c r="T60" i="1"/>
  <c r="U60" i="1"/>
  <c r="V60" i="1"/>
  <c r="W60" i="1"/>
  <c r="X60" i="1"/>
  <c r="Y60" i="1"/>
  <c r="S61" i="1"/>
  <c r="T61" i="1"/>
  <c r="U61" i="1"/>
  <c r="V61" i="1"/>
  <c r="W61" i="1"/>
  <c r="X61" i="1"/>
  <c r="Y61" i="1"/>
  <c r="S62" i="1"/>
  <c r="T62" i="1"/>
  <c r="U62" i="1"/>
  <c r="V62" i="1"/>
  <c r="W62" i="1"/>
  <c r="X62" i="1"/>
  <c r="Y62" i="1"/>
  <c r="S63" i="1"/>
  <c r="T63" i="1"/>
  <c r="U63" i="1"/>
  <c r="V63" i="1"/>
  <c r="W63" i="1"/>
  <c r="X63" i="1"/>
  <c r="Y63" i="1"/>
  <c r="S64" i="1"/>
  <c r="T64" i="1"/>
  <c r="U64" i="1"/>
  <c r="V64" i="1"/>
  <c r="W64" i="1"/>
  <c r="X64" i="1"/>
  <c r="Y64" i="1"/>
  <c r="S65" i="1"/>
  <c r="T65" i="1"/>
  <c r="U65" i="1"/>
  <c r="V65" i="1"/>
  <c r="W65" i="1"/>
  <c r="X65" i="1"/>
  <c r="Y65" i="1"/>
  <c r="S66" i="1"/>
  <c r="T66" i="1"/>
  <c r="U66" i="1"/>
  <c r="V66" i="1"/>
  <c r="W66" i="1"/>
  <c r="X66" i="1"/>
  <c r="Y66" i="1"/>
  <c r="S67" i="1"/>
  <c r="T67" i="1"/>
  <c r="U67" i="1"/>
  <c r="V67" i="1"/>
  <c r="W67" i="1"/>
  <c r="X67" i="1"/>
  <c r="Y67" i="1"/>
  <c r="S68" i="1"/>
  <c r="T68" i="1"/>
  <c r="U68" i="1"/>
  <c r="V68" i="1"/>
  <c r="W68" i="1"/>
  <c r="X68" i="1"/>
  <c r="Y68" i="1"/>
  <c r="S69" i="1"/>
  <c r="T69" i="1"/>
  <c r="U69" i="1"/>
  <c r="V69" i="1"/>
  <c r="W69" i="1"/>
  <c r="X69" i="1"/>
  <c r="Y69" i="1"/>
  <c r="S70" i="1"/>
  <c r="T70" i="1"/>
  <c r="U70" i="1"/>
  <c r="V70" i="1"/>
  <c r="W70" i="1"/>
  <c r="X70" i="1"/>
  <c r="Y70" i="1"/>
  <c r="S71" i="1"/>
  <c r="T71" i="1"/>
  <c r="U71" i="1"/>
  <c r="V71" i="1"/>
  <c r="W71" i="1"/>
  <c r="X71" i="1"/>
  <c r="Y71" i="1"/>
  <c r="S72" i="1"/>
  <c r="T72" i="1"/>
  <c r="U72" i="1"/>
  <c r="V72" i="1"/>
  <c r="W72" i="1"/>
  <c r="X72" i="1"/>
  <c r="Y72" i="1"/>
  <c r="S73" i="1"/>
  <c r="T73" i="1"/>
  <c r="U73" i="1"/>
  <c r="V73" i="1"/>
  <c r="W73" i="1"/>
  <c r="X73" i="1"/>
  <c r="Y73" i="1"/>
  <c r="S74" i="1"/>
  <c r="T74" i="1"/>
  <c r="U74" i="1"/>
  <c r="V74" i="1"/>
  <c r="W74" i="1"/>
  <c r="X74" i="1"/>
  <c r="Y74" i="1"/>
  <c r="S75" i="1"/>
  <c r="T75" i="1"/>
  <c r="U75" i="1"/>
  <c r="V75" i="1"/>
  <c r="W75" i="1"/>
  <c r="X75" i="1"/>
  <c r="Y75" i="1"/>
  <c r="S76" i="1"/>
  <c r="T76" i="1"/>
  <c r="U76" i="1"/>
  <c r="V76" i="1"/>
  <c r="W76" i="1"/>
  <c r="X76" i="1"/>
  <c r="Y76" i="1"/>
  <c r="S77" i="1"/>
  <c r="T77" i="1"/>
  <c r="U77" i="1"/>
  <c r="V77" i="1"/>
  <c r="W77" i="1"/>
  <c r="X77" i="1"/>
  <c r="Y77" i="1"/>
  <c r="S78" i="1"/>
  <c r="T78" i="1"/>
  <c r="U78" i="1"/>
  <c r="V78" i="1"/>
  <c r="W78" i="1"/>
  <c r="X78" i="1"/>
  <c r="Y78" i="1"/>
  <c r="S79" i="1"/>
  <c r="T79" i="1"/>
  <c r="U79" i="1"/>
  <c r="V79" i="1"/>
  <c r="W79" i="1"/>
  <c r="X79" i="1"/>
  <c r="Y79" i="1"/>
  <c r="S80" i="1"/>
  <c r="T80" i="1"/>
  <c r="U80" i="1"/>
  <c r="V80" i="1"/>
  <c r="W80" i="1"/>
  <c r="X80" i="1"/>
  <c r="Y80" i="1"/>
  <c r="S81" i="1"/>
  <c r="T81" i="1"/>
  <c r="U81" i="1"/>
  <c r="V81" i="1"/>
  <c r="W81" i="1"/>
  <c r="X81" i="1"/>
  <c r="Y81" i="1"/>
  <c r="S82" i="1"/>
  <c r="T82" i="1"/>
  <c r="U82" i="1"/>
  <c r="V82" i="1"/>
  <c r="W82" i="1"/>
  <c r="X82" i="1"/>
  <c r="Y82" i="1"/>
  <c r="S83" i="1"/>
  <c r="T83" i="1"/>
  <c r="U83" i="1"/>
  <c r="V83" i="1"/>
  <c r="W83" i="1"/>
  <c r="X83" i="1"/>
  <c r="Y83" i="1"/>
  <c r="S84" i="1"/>
  <c r="T84" i="1"/>
  <c r="U84" i="1"/>
  <c r="V84" i="1"/>
  <c r="W84" i="1"/>
  <c r="X84" i="1"/>
  <c r="Y84" i="1"/>
  <c r="S85" i="1"/>
  <c r="T85" i="1"/>
  <c r="U85" i="1"/>
  <c r="V85" i="1"/>
  <c r="W85" i="1"/>
  <c r="X85" i="1"/>
  <c r="Y85" i="1"/>
  <c r="S86" i="1"/>
  <c r="T86" i="1"/>
  <c r="U86" i="1"/>
  <c r="V86" i="1"/>
  <c r="W86" i="1"/>
  <c r="X86" i="1"/>
  <c r="Y86" i="1"/>
  <c r="S87" i="1"/>
  <c r="T87" i="1"/>
  <c r="U87" i="1"/>
  <c r="V87" i="1"/>
  <c r="W87" i="1"/>
  <c r="X87" i="1"/>
  <c r="Y87" i="1"/>
  <c r="S88" i="1"/>
  <c r="T88" i="1"/>
  <c r="U88" i="1"/>
  <c r="V88" i="1"/>
  <c r="W88" i="1"/>
  <c r="X88" i="1"/>
  <c r="Y88" i="1"/>
  <c r="S89" i="1"/>
  <c r="T89" i="1"/>
  <c r="U89" i="1"/>
  <c r="V89" i="1"/>
  <c r="W89" i="1"/>
  <c r="X89" i="1"/>
  <c r="Y89" i="1"/>
  <c r="S90" i="1"/>
  <c r="T90" i="1"/>
  <c r="U90" i="1"/>
  <c r="V90" i="1"/>
  <c r="W90" i="1"/>
  <c r="X90" i="1"/>
  <c r="Y90" i="1"/>
  <c r="S91" i="1"/>
  <c r="T91" i="1"/>
  <c r="U91" i="1"/>
  <c r="V91" i="1"/>
  <c r="W91" i="1"/>
  <c r="X91" i="1"/>
  <c r="Y91" i="1"/>
  <c r="S92" i="1"/>
  <c r="T92" i="1"/>
  <c r="U92" i="1"/>
  <c r="V92" i="1"/>
  <c r="W92" i="1"/>
  <c r="X92" i="1"/>
  <c r="Y92" i="1"/>
  <c r="S93" i="1"/>
  <c r="T93" i="1"/>
  <c r="U93" i="1"/>
  <c r="V93" i="1"/>
  <c r="W93" i="1"/>
  <c r="X93" i="1"/>
  <c r="Y93" i="1"/>
  <c r="S94" i="1"/>
  <c r="T94" i="1"/>
  <c r="U94" i="1"/>
  <c r="V94" i="1"/>
  <c r="W94" i="1"/>
  <c r="X94" i="1"/>
  <c r="Y94" i="1"/>
  <c r="S95" i="1"/>
  <c r="T95" i="1"/>
  <c r="U95" i="1"/>
  <c r="V95" i="1"/>
  <c r="W95" i="1"/>
  <c r="X95" i="1"/>
  <c r="Y95" i="1"/>
  <c r="S96" i="1"/>
  <c r="T96" i="1"/>
  <c r="U96" i="1"/>
  <c r="V96" i="1"/>
  <c r="W96" i="1"/>
  <c r="X96" i="1"/>
  <c r="Y96" i="1"/>
  <c r="S97" i="1"/>
  <c r="T97" i="1"/>
  <c r="U97" i="1"/>
  <c r="V97" i="1"/>
  <c r="W97" i="1"/>
  <c r="X97" i="1"/>
  <c r="Y97" i="1"/>
  <c r="S98" i="1"/>
  <c r="T98" i="1"/>
  <c r="U98" i="1"/>
  <c r="V98" i="1"/>
  <c r="W98" i="1"/>
  <c r="X98" i="1"/>
  <c r="Y98" i="1"/>
  <c r="S99" i="1"/>
  <c r="T99" i="1"/>
  <c r="U99" i="1"/>
  <c r="V99" i="1"/>
  <c r="W99" i="1"/>
  <c r="X99" i="1"/>
  <c r="Y99" i="1"/>
  <c r="S100" i="1"/>
  <c r="T100" i="1"/>
  <c r="U100" i="1"/>
  <c r="V100" i="1"/>
  <c r="W100" i="1"/>
  <c r="X100" i="1"/>
  <c r="Y100" i="1"/>
  <c r="S101" i="1"/>
  <c r="T101" i="1"/>
  <c r="U101" i="1"/>
  <c r="V101" i="1"/>
  <c r="W101" i="1"/>
  <c r="X101" i="1"/>
  <c r="Y101" i="1"/>
  <c r="S102" i="1"/>
  <c r="T102" i="1"/>
  <c r="U102" i="1"/>
  <c r="V102" i="1"/>
  <c r="W102" i="1"/>
  <c r="X102" i="1"/>
  <c r="Y102" i="1"/>
  <c r="S103" i="1"/>
  <c r="T103" i="1"/>
  <c r="U103" i="1"/>
  <c r="V103" i="1"/>
  <c r="W103" i="1"/>
  <c r="X103" i="1"/>
  <c r="Y103" i="1"/>
  <c r="S104" i="1"/>
  <c r="T104" i="1"/>
  <c r="U104" i="1"/>
  <c r="V104" i="1"/>
  <c r="W104" i="1"/>
  <c r="X104" i="1"/>
  <c r="Y104" i="1"/>
  <c r="S105" i="1"/>
  <c r="T105" i="1"/>
  <c r="U105" i="1"/>
  <c r="V105" i="1"/>
  <c r="W105" i="1"/>
  <c r="X105" i="1"/>
  <c r="Y105" i="1"/>
  <c r="S106" i="1"/>
  <c r="T106" i="1"/>
  <c r="U106" i="1"/>
  <c r="V106" i="1"/>
  <c r="W106" i="1"/>
  <c r="X106" i="1"/>
  <c r="Y106" i="1"/>
  <c r="S107" i="1"/>
  <c r="T107" i="1"/>
  <c r="U107" i="1"/>
  <c r="V107" i="1"/>
  <c r="W107" i="1"/>
  <c r="X107" i="1"/>
  <c r="Y107" i="1"/>
  <c r="S108" i="1"/>
  <c r="T108" i="1"/>
  <c r="U108" i="1"/>
  <c r="V108" i="1"/>
  <c r="W108" i="1"/>
  <c r="X108" i="1"/>
  <c r="Y108" i="1"/>
  <c r="S109" i="1"/>
  <c r="T109" i="1"/>
  <c r="U109" i="1"/>
  <c r="V109" i="1"/>
  <c r="W109" i="1"/>
  <c r="X109" i="1"/>
  <c r="Y109" i="1"/>
  <c r="S110" i="1"/>
  <c r="T110" i="1"/>
  <c r="U110" i="1"/>
  <c r="V110" i="1"/>
  <c r="W110" i="1"/>
  <c r="X110" i="1"/>
  <c r="Y110" i="1"/>
  <c r="D111" i="1"/>
  <c r="G111" i="1"/>
  <c r="H111" i="1"/>
  <c r="I111" i="1"/>
  <c r="W111" i="1" s="1"/>
  <c r="J111" i="1"/>
  <c r="K111" i="1"/>
  <c r="L111" i="1"/>
  <c r="M111" i="1"/>
  <c r="P111" i="1"/>
</calcChain>
</file>

<file path=xl/sharedStrings.xml><?xml version="1.0" encoding="utf-8"?>
<sst xmlns="http://schemas.openxmlformats.org/spreadsheetml/2006/main" count="1161" uniqueCount="61">
  <si>
    <t>BORDEREAU DES VENTES</t>
  </si>
  <si>
    <t>Comptabilisé :</t>
  </si>
  <si>
    <t>NOM</t>
  </si>
  <si>
    <t>SCI PAPRISO</t>
  </si>
  <si>
    <t>CODE JOURNAL</t>
  </si>
  <si>
    <t>MOIS</t>
  </si>
  <si>
    <t>09</t>
  </si>
  <si>
    <t>ANNEE</t>
  </si>
  <si>
    <t>2024</t>
  </si>
  <si>
    <t>Code TVA facultatif</t>
  </si>
  <si>
    <t>FOLIO</t>
  </si>
  <si>
    <t>RADICAL CENTRALISATEUR</t>
  </si>
  <si>
    <t>Cpte 1</t>
  </si>
  <si>
    <t>Cpte 2</t>
  </si>
  <si>
    <t>Cpte 3</t>
  </si>
  <si>
    <t>Cpte TVA 1</t>
  </si>
  <si>
    <t>Cpte TVA 2</t>
  </si>
  <si>
    <t>Cpte TVA 3</t>
  </si>
  <si>
    <t>Cpte TVA 4</t>
  </si>
  <si>
    <t>Jour</t>
  </si>
  <si>
    <t>Compte</t>
  </si>
  <si>
    <t>Montant facture</t>
  </si>
  <si>
    <t>N° pièce</t>
  </si>
  <si>
    <t>Libellé (écriture)</t>
  </si>
  <si>
    <t>Libellé 2 (mouvement)</t>
  </si>
  <si>
    <t xml:space="preserve">Numéro Compte divers </t>
  </si>
  <si>
    <t>Montant  divers</t>
  </si>
  <si>
    <t>Quantité</t>
  </si>
  <si>
    <t>CONTRÔLES</t>
  </si>
  <si>
    <t>Libellé Cpte 1</t>
  </si>
  <si>
    <t>Libellé Cpte 2</t>
  </si>
  <si>
    <t>Libellé Cpte 3</t>
  </si>
  <si>
    <t>Ecriture déséquilibrée</t>
  </si>
  <si>
    <t>Montant sans compte</t>
  </si>
  <si>
    <t>Jour absent</t>
  </si>
  <si>
    <t>26/08/2024</t>
  </si>
  <si>
    <t>GADERO : Loyer de septembre facture n° 09-24 réglé le 27/09/2024 par virement</t>
  </si>
  <si>
    <t>TOTAUX</t>
  </si>
  <si>
    <t>ECART</t>
  </si>
  <si>
    <t>JOURNAL</t>
  </si>
  <si>
    <t>DATE</t>
  </si>
  <si>
    <t>COMPTE</t>
  </si>
  <si>
    <t>NRPIECE</t>
  </si>
  <si>
    <t>LIB1</t>
  </si>
  <si>
    <t>LIB2</t>
  </si>
  <si>
    <t>CREDIT</t>
  </si>
  <si>
    <t>DEBIT</t>
  </si>
  <si>
    <t>Qte</t>
  </si>
  <si>
    <t>Code TVA</t>
  </si>
  <si>
    <t>RADICAL</t>
  </si>
  <si>
    <t>W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</si>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</sst>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_-* #,##0.00\ _F_-;\-* #,##0.00\ _F_-;_-* \-??\ _F_-;_-@_-"/>
  </numFmts>
  <fonts count="14" x14ac:knownFonts="1">
    <font>
      <sz val="10"/>
      <name val="Arial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i/>
      <sz val="10"/>
      <color indexed="10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sz val="9"/>
      <name val="Calibri"/>
      <family val="2"/>
    </font>
    <font>
      <sz val="12"/>
      <color indexed="8"/>
      <name val="Calibri"/>
      <family val="2"/>
    </font>
    <font>
      <b/>
      <sz val="11"/>
      <color indexed="53"/>
      <name val="Calibri"/>
      <family val="2"/>
    </font>
    <font>
      <sz val="12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51"/>
        <bgColor indexed="13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11"/>
      </top>
      <bottom style="thin">
        <color indexed="8"/>
      </bottom>
      <diagonal/>
    </border>
    <border>
      <left style="thin">
        <color indexed="8"/>
      </left>
      <right style="medium">
        <color indexed="11"/>
      </right>
      <top style="medium">
        <color indexed="11"/>
      </top>
      <bottom style="thin">
        <color indexed="8"/>
      </bottom>
      <diagonal/>
    </border>
    <border>
      <left style="thin">
        <color indexed="8"/>
      </left>
      <right style="medium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1"/>
      </bottom>
      <diagonal/>
    </border>
    <border>
      <left style="thin">
        <color indexed="8"/>
      </left>
      <right style="medium">
        <color indexed="11"/>
      </right>
      <top style="thin">
        <color indexed="8"/>
      </top>
      <bottom style="medium">
        <color indexed="11"/>
      </bottom>
      <diagonal/>
    </border>
  </borders>
  <cellStyleXfs count="2">
    <xf numFmtId="0" fontId="0" fillId="0" borderId="0"/>
    <xf numFmtId="165" fontId="13" fillId="0" borderId="0" applyFill="0" applyBorder="0" applyAlignment="0" applyProtection="0"/>
  </cellStyleXfs>
  <cellXfs count="84">
    <xf numFmtId="0" fontId="0" fillId="0" borderId="0" xfId="0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3" fillId="0" borderId="0" xfId="0" applyFont="1" applyFill="1" applyBorder="1" applyAlignment="1" applyProtection="1">
      <alignment horizontal="right"/>
    </xf>
    <xf numFmtId="0" fontId="1" fillId="2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Protection="1"/>
    <xf numFmtId="0" fontId="0" fillId="0" borderId="0" xfId="0" applyBorder="1" applyAlignment="1" applyProtection="1"/>
    <xf numFmtId="0" fontId="4" fillId="3" borderId="1" xfId="0" applyFont="1" applyFill="1" applyBorder="1" applyProtection="1"/>
    <xf numFmtId="49" fontId="1" fillId="2" borderId="3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</xf>
    <xf numFmtId="0" fontId="1" fillId="2" borderId="1" xfId="0" applyFont="1" applyFill="1" applyBorder="1" applyProtection="1">
      <protection locked="0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Border="1" applyProtection="1"/>
    <xf numFmtId="0" fontId="6" fillId="0" borderId="0" xfId="0" applyFont="1" applyProtection="1"/>
    <xf numFmtId="0" fontId="1" fillId="0" borderId="4" xfId="0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49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Border="1" applyProtection="1"/>
    <xf numFmtId="0" fontId="1" fillId="3" borderId="3" xfId="0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1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</xf>
    <xf numFmtId="10" fontId="1" fillId="2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Protection="1">
      <protection locked="0"/>
    </xf>
    <xf numFmtId="49" fontId="1" fillId="0" borderId="1" xfId="0" applyNumberFormat="1" applyFont="1" applyFill="1" applyBorder="1" applyAlignment="1" applyProtection="1">
      <alignment horizontal="center"/>
      <protection locked="0"/>
    </xf>
    <xf numFmtId="165" fontId="10" fillId="0" borderId="1" xfId="1" applyFont="1" applyFill="1" applyBorder="1" applyAlignment="1" applyProtection="1"/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4" fontId="1" fillId="0" borderId="1" xfId="0" applyNumberFormat="1" applyFont="1" applyFill="1" applyBorder="1" applyProtection="1">
      <protection locked="0"/>
    </xf>
    <xf numFmtId="14" fontId="10" fillId="0" borderId="1" xfId="0" applyNumberFormat="1" applyFont="1" applyBorder="1"/>
    <xf numFmtId="0" fontId="1" fillId="0" borderId="1" xfId="0" applyFont="1" applyFill="1" applyBorder="1" applyAlignment="1" applyProtection="1">
      <alignment horizontal="center"/>
      <protection locked="0"/>
    </xf>
    <xf numFmtId="10" fontId="1" fillId="0" borderId="1" xfId="0" applyNumberFormat="1" applyFont="1" applyBorder="1" applyProtection="1"/>
    <xf numFmtId="10" fontId="1" fillId="0" borderId="1" xfId="0" applyNumberFormat="1" applyFont="1" applyFill="1" applyBorder="1" applyProtection="1"/>
    <xf numFmtId="0" fontId="11" fillId="0" borderId="1" xfId="0" applyFont="1" applyFill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/>
    </xf>
    <xf numFmtId="4" fontId="1" fillId="0" borderId="1" xfId="0" applyNumberFormat="1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165" fontId="12" fillId="0" borderId="1" xfId="1" applyFont="1" applyFill="1" applyBorder="1" applyAlignment="1" applyProtection="1"/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14" fontId="12" fillId="0" borderId="1" xfId="0" applyNumberFormat="1" applyFont="1" applyBorder="1"/>
    <xf numFmtId="0" fontId="10" fillId="0" borderId="1" xfId="0" applyFont="1" applyFill="1" applyBorder="1" applyAlignment="1" applyProtection="1"/>
    <xf numFmtId="49" fontId="1" fillId="0" borderId="1" xfId="0" applyNumberFormat="1" applyFont="1" applyBorder="1" applyAlignment="1" applyProtection="1">
      <alignment horizontal="center"/>
      <protection locked="0"/>
    </xf>
    <xf numFmtId="16" fontId="10" fillId="0" borderId="1" xfId="0" applyNumberFormat="1" applyFont="1" applyBorder="1"/>
    <xf numFmtId="164" fontId="1" fillId="0" borderId="1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</xf>
    <xf numFmtId="4" fontId="1" fillId="0" borderId="1" xfId="0" applyNumberFormat="1" applyFont="1" applyBorder="1" applyProtection="1"/>
    <xf numFmtId="4" fontId="1" fillId="0" borderId="0" xfId="0" applyNumberFormat="1" applyFont="1" applyBorder="1" applyProtection="1"/>
    <xf numFmtId="0" fontId="1" fillId="5" borderId="1" xfId="0" applyFont="1" applyFill="1" applyBorder="1" applyProtection="1"/>
    <xf numFmtId="4" fontId="1" fillId="5" borderId="1" xfId="0" applyNumberFormat="1" applyFont="1" applyFill="1" applyBorder="1" applyProtection="1"/>
    <xf numFmtId="0" fontId="0" fillId="0" borderId="0" xfId="0" applyProtection="1"/>
    <xf numFmtId="0" fontId="0" fillId="0" borderId="0" xfId="0" applyNumberFormat="1" applyProtection="1"/>
    <xf numFmtId="0" fontId="3" fillId="4" borderId="5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</xf>
    <xf numFmtId="0" fontId="0" fillId="0" borderId="1" xfId="0" applyBorder="1" applyProtection="1"/>
    <xf numFmtId="0" fontId="0" fillId="0" borderId="6" xfId="0" applyBorder="1" applyProtection="1"/>
    <xf numFmtId="0" fontId="0" fillId="0" borderId="6" xfId="0" applyNumberFormat="1" applyFill="1" applyBorder="1" applyProtection="1"/>
    <xf numFmtId="0" fontId="0" fillId="3" borderId="6" xfId="0" applyFill="1" applyBorder="1" applyProtection="1"/>
    <xf numFmtId="0" fontId="0" fillId="0" borderId="7" xfId="0" applyBorder="1" applyProtection="1"/>
    <xf numFmtId="0" fontId="0" fillId="0" borderId="1" xfId="0" applyFill="1" applyBorder="1" applyAlignment="1" applyProtection="1">
      <alignment horizontal="center"/>
    </xf>
    <xf numFmtId="0" fontId="0" fillId="6" borderId="0" xfId="0" applyFill="1" applyProtection="1"/>
    <xf numFmtId="0" fontId="0" fillId="0" borderId="1" xfId="0" applyNumberFormat="1" applyBorder="1" applyProtection="1"/>
    <xf numFmtId="0" fontId="0" fillId="0" borderId="8" xfId="0" applyFill="1" applyBorder="1" applyProtection="1"/>
    <xf numFmtId="0" fontId="0" fillId="3" borderId="1" xfId="0" applyFill="1" applyBorder="1" applyProtection="1"/>
    <xf numFmtId="0" fontId="0" fillId="0" borderId="0" xfId="0" applyFill="1" applyProtection="1"/>
    <xf numFmtId="0" fontId="0" fillId="0" borderId="9" xfId="0" applyFill="1" applyBorder="1" applyProtection="1"/>
    <xf numFmtId="0" fontId="0" fillId="0" borderId="9" xfId="0" applyNumberFormat="1" applyFill="1" applyBorder="1" applyProtection="1"/>
    <xf numFmtId="0" fontId="0" fillId="0" borderId="9" xfId="0" applyBorder="1" applyProtection="1"/>
    <xf numFmtId="0" fontId="0" fillId="3" borderId="9" xfId="0" applyFill="1" applyBorder="1" applyProtection="1"/>
    <xf numFmtId="0" fontId="0" fillId="0" borderId="10" xfId="0" applyFill="1" applyBorder="1" applyProtection="1"/>
    <xf numFmtId="0" fontId="0" fillId="0" borderId="0" xfId="0" applyBorder="1" applyProtection="1"/>
    <xf numFmtId="0" fontId="4" fillId="2" borderId="1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Alignment="1" applyProtection="1">
      <alignment horizont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/>
    </xf>
  </cellXfs>
  <cellStyles count="2">
    <cellStyle name="Milliers" xfId="1" builtinId="3"/>
    <cellStyle name="Normal" xfId="0" builtinId="0"/>
  </cellStyles>
  <dxfs count="1">
    <dxf>
      <font>
        <b val="0"/>
        <i val="0"/>
        <condense val="0"/>
        <extend val="0"/>
        <color indexed="8"/>
      </font>
      <fill>
        <patternFill patternType="solid">
          <fgColor indexed="27"/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56E9-E096-4D9F-876C-CC50F9487373}">
  <sheetPr codeName="Feuil1"/>
  <dimension ref="A1:IO111"/>
  <sheetViews>
    <sheetView showGridLines="0" tabSelected="1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F111" sqref="F111"/>
    </sheetView>
  </sheetViews>
  <sheetFormatPr baseColWidth="10" defaultColWidth="11.54296875" defaultRowHeight="14.5" x14ac:dyDescent="0.35"/>
  <cols>
    <col min="1" max="1" width="16" style="1" customWidth="1"/>
    <col min="2" max="2" width="10.1796875" style="1" customWidth="1"/>
    <col min="3" max="3" width="13.1796875" style="2" customWidth="1"/>
    <col min="4" max="4" width="15.453125" style="1" customWidth="1"/>
    <col min="5" max="5" width="10.81640625" style="1" customWidth="1"/>
    <col min="6" max="6" width="76.6328125" style="1" customWidth="1"/>
    <col min="7" max="13" width="12.81640625" style="1" customWidth="1"/>
    <col min="14" max="14" width="15.453125" style="1" customWidth="1"/>
    <col min="15" max="15" width="14.26953125" style="2" customWidth="1"/>
    <col min="16" max="17" width="10.26953125" style="1" customWidth="1"/>
    <col min="18" max="18" width="12.81640625" style="1" customWidth="1"/>
    <col min="19" max="22" width="11.453125" style="1" customWidth="1"/>
    <col min="23" max="23" width="13.81640625" style="1" customWidth="1"/>
    <col min="24" max="249" width="11.453125" style="1" customWidth="1"/>
  </cols>
  <sheetData>
    <row r="1" spans="1:25" ht="21" x14ac:dyDescent="0.5">
      <c r="A1" s="3" t="s">
        <v>0</v>
      </c>
      <c r="B1" s="4"/>
      <c r="C1" s="4"/>
      <c r="D1" s="4"/>
      <c r="E1" s="5" t="s">
        <v>1</v>
      </c>
      <c r="F1" s="6"/>
    </row>
    <row r="2" spans="1:25" x14ac:dyDescent="0.35">
      <c r="A2" s="7" t="s">
        <v>2</v>
      </c>
      <c r="B2" s="80" t="s">
        <v>3</v>
      </c>
      <c r="C2" s="80"/>
      <c r="D2" s="80"/>
      <c r="E2" s="80"/>
      <c r="F2" s="8"/>
    </row>
    <row r="3" spans="1:25" x14ac:dyDescent="0.35">
      <c r="A3" s="9" t="s">
        <v>4</v>
      </c>
      <c r="B3" s="10"/>
      <c r="C3" s="11" t="str">
        <f>IF(B3="","VOUS DEVEZ SAISIR LE JOURNAL","")</f>
        <v>VOUS DEVEZ SAISIR LE JOURNAL</v>
      </c>
    </row>
    <row r="4" spans="1:25" x14ac:dyDescent="0.35">
      <c r="A4" s="9" t="s">
        <v>5</v>
      </c>
      <c r="B4" s="12" t="s">
        <v>6</v>
      </c>
      <c r="C4" s="11" t="str">
        <f>IF(B4="","VOUS DEVEZ SAISIR LE MOIS","")</f>
        <v/>
      </c>
    </row>
    <row r="5" spans="1:25" x14ac:dyDescent="0.35">
      <c r="A5" s="9" t="s">
        <v>7</v>
      </c>
      <c r="B5" s="12" t="s">
        <v>8</v>
      </c>
      <c r="C5" s="11" t="str">
        <f>IF(B5="","VOUS DEVEZ SAISIR L'ANNEE","")</f>
        <v/>
      </c>
      <c r="J5" s="81" t="s">
        <v>9</v>
      </c>
      <c r="K5" s="81"/>
      <c r="L5" s="81"/>
      <c r="M5" s="81"/>
      <c r="R5" s="13"/>
    </row>
    <row r="6" spans="1:25" x14ac:dyDescent="0.35">
      <c r="A6" s="9" t="s">
        <v>10</v>
      </c>
      <c r="B6" s="14"/>
      <c r="C6" s="15" t="s">
        <v>11</v>
      </c>
      <c r="D6" s="16"/>
      <c r="E6" s="14"/>
      <c r="F6" s="11" t="str">
        <f>IF(E6="","VOUS DEVEZ SAISIR LE RADICAL","")</f>
        <v>VOUS DEVEZ SAISIR LE RADICAL</v>
      </c>
      <c r="G6" s="17" t="str">
        <f>IF(G9="Libellé Cpte 1","Vous pouvez saisir le libellé du compte en dessous du numéro pour vous aider dans la saisie (aucune conséquence dans le traitement des écritures)","")</f>
        <v>Vous pouvez saisir le libellé du compte en dessous du numéro pour vous aider dans la saisie (aucune conséquence dans le traitement des écritures)</v>
      </c>
      <c r="H6" s="18"/>
      <c r="I6" s="18"/>
      <c r="J6" s="6"/>
      <c r="K6" s="6"/>
      <c r="L6" s="6"/>
      <c r="M6" s="6"/>
      <c r="R6" s="13"/>
    </row>
    <row r="7" spans="1:25" x14ac:dyDescent="0.35">
      <c r="A7" s="19"/>
      <c r="B7" s="20"/>
      <c r="C7" s="21"/>
      <c r="D7" s="16"/>
      <c r="E7" s="22"/>
      <c r="G7" s="23" t="s">
        <v>12</v>
      </c>
      <c r="H7" s="23" t="s">
        <v>13</v>
      </c>
      <c r="I7" s="23" t="s">
        <v>14</v>
      </c>
      <c r="J7" s="23" t="s">
        <v>15</v>
      </c>
      <c r="K7" s="23" t="s">
        <v>16</v>
      </c>
      <c r="L7" s="23" t="s">
        <v>17</v>
      </c>
      <c r="M7" s="23" t="s">
        <v>18</v>
      </c>
      <c r="R7" s="13"/>
    </row>
    <row r="8" spans="1:25" ht="12.75" customHeight="1" x14ac:dyDescent="0.35">
      <c r="B8" s="82" t="s">
        <v>19</v>
      </c>
      <c r="C8" s="82" t="s">
        <v>20</v>
      </c>
      <c r="D8" s="82" t="s">
        <v>21</v>
      </c>
      <c r="E8" s="82" t="s">
        <v>22</v>
      </c>
      <c r="F8" s="82" t="s">
        <v>23</v>
      </c>
      <c r="G8" s="6"/>
      <c r="H8" s="6"/>
      <c r="I8" s="6"/>
      <c r="J8" s="6"/>
      <c r="K8" s="6"/>
      <c r="L8" s="6"/>
      <c r="M8" s="6"/>
      <c r="N8" s="82" t="s">
        <v>24</v>
      </c>
      <c r="O8" s="82" t="s">
        <v>25</v>
      </c>
      <c r="P8" s="82" t="s">
        <v>26</v>
      </c>
      <c r="Q8" s="82" t="s">
        <v>27</v>
      </c>
      <c r="R8" s="13"/>
      <c r="S8" s="83" t="s">
        <v>28</v>
      </c>
      <c r="T8" s="83"/>
      <c r="U8" s="83"/>
      <c r="V8" s="83"/>
      <c r="W8" s="83"/>
      <c r="X8" s="83"/>
      <c r="Y8" s="83"/>
    </row>
    <row r="9" spans="1:25" s="24" customFormat="1" ht="27" customHeight="1" x14ac:dyDescent="0.25">
      <c r="B9" s="82"/>
      <c r="C9" s="82"/>
      <c r="D9" s="82"/>
      <c r="E9" s="82"/>
      <c r="F9" s="82"/>
      <c r="G9" s="25" t="s">
        <v>29</v>
      </c>
      <c r="H9" s="25" t="s">
        <v>30</v>
      </c>
      <c r="I9" s="25" t="s">
        <v>31</v>
      </c>
      <c r="J9" s="26"/>
      <c r="K9" s="26"/>
      <c r="L9" s="26"/>
      <c r="M9" s="26"/>
      <c r="N9" s="82"/>
      <c r="O9" s="82"/>
      <c r="P9" s="82"/>
      <c r="Q9" s="82"/>
      <c r="R9" s="27"/>
      <c r="S9" s="28" t="str">
        <f>IF(J9="","",J9)</f>
        <v/>
      </c>
      <c r="T9" s="28" t="str">
        <f>IF(K9="","",K9)</f>
        <v/>
      </c>
      <c r="U9" s="28" t="str">
        <f>IF(L9="","",L9)</f>
        <v/>
      </c>
      <c r="V9" s="28" t="str">
        <f>IF(M9="","",M9)</f>
        <v/>
      </c>
      <c r="W9" s="29" t="s">
        <v>32</v>
      </c>
      <c r="X9" s="30" t="s">
        <v>33</v>
      </c>
      <c r="Y9" s="29" t="s">
        <v>34</v>
      </c>
    </row>
    <row r="10" spans="1:25" ht="15.5" x14ac:dyDescent="0.35">
      <c r="B10" s="31" t="s">
        <v>35</v>
      </c>
      <c r="C10" s="32"/>
      <c r="D10" s="33">
        <v>10278</v>
      </c>
      <c r="E10" s="34"/>
      <c r="F10" s="35" t="s">
        <v>36</v>
      </c>
      <c r="G10" s="36">
        <v>8565</v>
      </c>
      <c r="H10" s="36"/>
      <c r="I10" s="36"/>
      <c r="J10" s="36">
        <v>1713</v>
      </c>
      <c r="K10" s="36"/>
      <c r="L10" s="36"/>
      <c r="M10" s="36"/>
      <c r="N10" s="37"/>
      <c r="O10" s="38"/>
      <c r="P10" s="36"/>
      <c r="Q10" s="36"/>
      <c r="R10" s="22"/>
      <c r="S10" s="39" t="e">
        <f>IF(J10="","",J10/(P10+G10+H10+I10+#REF!+#REF!+#REF!+#REF!+#REF!+#REF!+#REF!))</f>
        <v>#REF!</v>
      </c>
      <c r="T10" s="39" t="str">
        <f>IF(K10="","",K10/(P10+G10+H10+I10+#REF!+#REF!+#REF!+#REF!+#REF!+#REF!+#REF!))</f>
        <v/>
      </c>
      <c r="U10" s="39" t="str">
        <f>IF(L10="","",L10/(P10+G10+H10+I10+#REF!+#REF!+#REF!+#REF!+#REF!+#REF!+#REF!))</f>
        <v/>
      </c>
      <c r="V10" s="40" t="str">
        <f>IF(M10="","",M10/(P10+G10+H10+I10+#REF!+#REF!+#REF!+#REF!+#REF!+#REF!+#REF!))</f>
        <v/>
      </c>
      <c r="W10" s="41" t="e">
        <f>IF(SUM(P10+G10+H10+I10+#REF!+#REF!+#REF!+#REF!+#REF!+#REF!+#REF!+J10+K10+L10+M10)=D10,"",FALSE)</f>
        <v>#REF!</v>
      </c>
      <c r="X10" s="42" t="e">
        <f>IF(OR(AND(C10="",D10&lt;&gt;""),AND(O10="",P10&lt;&gt;""),AND($G$8="",G10&lt;&gt;""),AND($H$8="",H10&lt;&gt;""),AND($I$8="",I10&lt;&gt;""),AND(#REF!="",#REF!&lt;&gt;""),AND(#REF!="",#REF!&lt;&gt;""),AND(#REF!="",#REF!&lt;&gt;""),AND(#REF!="",#REF!&lt;&gt;""),AND(#REF!="",#REF!&lt;&gt;""),AND(#REF!="",#REF!&lt;&gt;""),AND(#REF!="",#REF!&lt;&gt;""),AND($J$8="",J10&lt;&gt;""),AND($K$8="",K10&lt;&gt;""),AND($L$8="",L10&lt;&gt;""),AND($M$8="",M10&lt;&gt;"")),FALSE,"")</f>
        <v>#REF!</v>
      </c>
      <c r="Y10" s="42" t="e">
        <f>IF(AND(B10="",OR(C10&lt;&gt;"",D10&lt;&gt;"",E10&lt;&gt;"",F10&lt;&gt;"",N10&lt;&gt;"",O10&lt;&gt;"",P10&lt;&gt;"",G10&lt;&gt;"",H10&lt;&gt;"",I10&lt;&gt;"",#REF!&lt;&gt;"",#REF!&lt;&gt;"",#REF!&lt;&gt;"",#REF!&lt;&gt;"",#REF!&lt;&gt;"",#REF!&lt;&gt;"",#REF!&lt;&gt;"",J10&lt;&gt;"",K10&lt;&gt;"",L10&lt;&gt;"",M10&lt;&gt;"")),FALSE,"")</f>
        <v>#REF!</v>
      </c>
    </row>
    <row r="11" spans="1:25" ht="15.5" x14ac:dyDescent="0.35">
      <c r="B11" s="31"/>
      <c r="C11" s="32"/>
      <c r="D11" s="33"/>
      <c r="E11" s="34"/>
      <c r="F11" s="35"/>
      <c r="G11" s="36"/>
      <c r="H11" s="36"/>
      <c r="I11" s="36"/>
      <c r="J11" s="36"/>
      <c r="K11" s="36"/>
      <c r="L11" s="36"/>
      <c r="M11" s="36"/>
      <c r="N11" s="37"/>
      <c r="O11" s="38"/>
      <c r="P11" s="36"/>
      <c r="Q11" s="36"/>
      <c r="R11" s="16"/>
      <c r="S11" s="39" t="str">
        <f t="shared" ref="S11:S42" si="0">IF(J11="","",J11/SUM(G11:I11))</f>
        <v/>
      </c>
      <c r="T11" s="39" t="str">
        <f t="shared" ref="T11:T42" si="1">IF(K11="","",K11/SUM(G11:I11))</f>
        <v/>
      </c>
      <c r="U11" s="39" t="str">
        <f t="shared" ref="U11:U42" si="2">IF(L11="","",L11/SUM(G11:I11))</f>
        <v/>
      </c>
      <c r="V11" s="40" t="str">
        <f>IF(M11="","",M11/(P11+G11+H11+I11+#REF!+#REF!+#REF!+#REF!+#REF!+#REF!+#REF!))</f>
        <v/>
      </c>
      <c r="W11" s="41" t="e">
        <f>IF(SUM(P11+G11+H11+I11+#REF!+#REF!+#REF!+#REF!+#REF!+#REF!+#REF!+J11+K11+L11+M11)=D11,"",FALSE)</f>
        <v>#REF!</v>
      </c>
      <c r="X11" s="42" t="e">
        <f>IF(OR(AND(C11="",D11&lt;&gt;""),AND(O11="",P11&lt;&gt;""),AND($G$8="",G11&lt;&gt;""),AND($H$8="",H11&lt;&gt;""),AND($I$8="",I11&lt;&gt;""),AND(#REF!="",#REF!&lt;&gt;""),AND(#REF!="",#REF!&lt;&gt;""),AND(#REF!="",#REF!&lt;&gt;""),AND(#REF!="",#REF!&lt;&gt;""),AND(#REF!="",#REF!&lt;&gt;""),AND(#REF!="",#REF!&lt;&gt;""),AND(#REF!="",#REF!&lt;&gt;""),AND($J$8="",J11&lt;&gt;""),AND($K$8="",K11&lt;&gt;""),AND($L$8="",L11&lt;&gt;""),AND($M$8="",M11&lt;&gt;"")),FALSE,"")</f>
        <v>#REF!</v>
      </c>
      <c r="Y11" s="42" t="e">
        <f>IF(AND(B11="",OR(C11&lt;&gt;"",D11&lt;&gt;"",E11&lt;&gt;"",F11&lt;&gt;"",N11&lt;&gt;"",O11&lt;&gt;"",P11&lt;&gt;"",G11&lt;&gt;"",H11&lt;&gt;"",I11&lt;&gt;"",#REF!&lt;&gt;"",#REF!&lt;&gt;"",#REF!&lt;&gt;"",#REF!&lt;&gt;"",#REF!&lt;&gt;"",#REF!&lt;&gt;"",#REF!&lt;&gt;"",J11&lt;&gt;"",K11&lt;&gt;"",L11&lt;&gt;"",M11&lt;&gt;"")),FALSE,"")</f>
        <v>#REF!</v>
      </c>
    </row>
    <row r="12" spans="1:25" ht="15.5" x14ac:dyDescent="0.35">
      <c r="B12" s="31"/>
      <c r="C12" s="32"/>
      <c r="D12" s="33"/>
      <c r="E12" s="34"/>
      <c r="F12" s="35"/>
      <c r="G12" s="36"/>
      <c r="H12" s="36"/>
      <c r="I12" s="36"/>
      <c r="J12" s="36"/>
      <c r="K12" s="36"/>
      <c r="L12" s="36"/>
      <c r="M12" s="36"/>
      <c r="N12" s="37"/>
      <c r="O12" s="38"/>
      <c r="P12" s="36"/>
      <c r="Q12" s="36"/>
      <c r="R12" s="22"/>
      <c r="S12" s="39" t="str">
        <f t="shared" si="0"/>
        <v/>
      </c>
      <c r="T12" s="39" t="str">
        <f t="shared" si="1"/>
        <v/>
      </c>
      <c r="U12" s="39" t="str">
        <f t="shared" si="2"/>
        <v/>
      </c>
      <c r="V12" s="40" t="str">
        <f>IF(M12="","",M12/(P12+G12+H12+I12+#REF!+#REF!+#REF!+#REF!+#REF!+#REF!+#REF!))</f>
        <v/>
      </c>
      <c r="W12" s="41" t="e">
        <f>IF(SUM(P12+G12+H12+I12+#REF!+#REF!+#REF!+#REF!+#REF!+#REF!+#REF!+J12+K12+L12+M12)=D12,"",FALSE)</f>
        <v>#REF!</v>
      </c>
      <c r="X12" s="42" t="e">
        <f>IF(OR(AND(C12="",D12&lt;&gt;""),AND(O12="",P12&lt;&gt;""),AND($G$8="",G12&lt;&gt;""),AND($H$8="",H12&lt;&gt;""),AND($I$8="",I12&lt;&gt;""),AND(#REF!="",#REF!&lt;&gt;""),AND(#REF!="",#REF!&lt;&gt;""),AND(#REF!="",#REF!&lt;&gt;""),AND(#REF!="",#REF!&lt;&gt;""),AND(#REF!="",#REF!&lt;&gt;""),AND(#REF!="",#REF!&lt;&gt;""),AND(#REF!="",#REF!&lt;&gt;""),AND($J$8="",J12&lt;&gt;""),AND($K$8="",K12&lt;&gt;""),AND($L$8="",L12&lt;&gt;""),AND($M$8="",M12&lt;&gt;"")),FALSE,"")</f>
        <v>#REF!</v>
      </c>
      <c r="Y12" s="42" t="e">
        <f>IF(AND(B12="",OR(C12&lt;&gt;"",D12&lt;&gt;"",E12&lt;&gt;"",F12&lt;&gt;"",N12&lt;&gt;"",O12&lt;&gt;"",P12&lt;&gt;"",G12&lt;&gt;"",H12&lt;&gt;"",I12&lt;&gt;"",#REF!&lt;&gt;"",#REF!&lt;&gt;"",#REF!&lt;&gt;"",#REF!&lt;&gt;"",#REF!&lt;&gt;"",#REF!&lt;&gt;"",#REF!&lt;&gt;"",J12&lt;&gt;"",K12&lt;&gt;"",L12&lt;&gt;"",M12&lt;&gt;"")),FALSE,"")</f>
        <v>#REF!</v>
      </c>
    </row>
    <row r="13" spans="1:25" ht="15.5" x14ac:dyDescent="0.35">
      <c r="B13" s="31"/>
      <c r="C13" s="32"/>
      <c r="D13" s="33"/>
      <c r="E13" s="34"/>
      <c r="F13" s="35"/>
      <c r="G13" s="36"/>
      <c r="H13" s="36"/>
      <c r="I13" s="36"/>
      <c r="J13" s="36"/>
      <c r="K13" s="36"/>
      <c r="L13" s="36"/>
      <c r="M13" s="36"/>
      <c r="N13" s="37"/>
      <c r="O13" s="38"/>
      <c r="P13" s="36"/>
      <c r="Q13" s="36"/>
      <c r="R13" s="22"/>
      <c r="S13" s="39" t="str">
        <f t="shared" si="0"/>
        <v/>
      </c>
      <c r="T13" s="39" t="str">
        <f t="shared" si="1"/>
        <v/>
      </c>
      <c r="U13" s="39" t="str">
        <f t="shared" si="2"/>
        <v/>
      </c>
      <c r="V13" s="40" t="str">
        <f>IF(M13="","",M13/(P13+G13+H13+I13+#REF!+#REF!+#REF!+#REF!+#REF!+#REF!+#REF!))</f>
        <v/>
      </c>
      <c r="W13" s="41" t="e">
        <f>IF(SUM(P13+G13+H13+I13+#REF!+#REF!+#REF!+#REF!+#REF!+#REF!+#REF!+J13+K13+L13+M13)=D13,"",FALSE)</f>
        <v>#REF!</v>
      </c>
      <c r="X13" s="42" t="e">
        <f>IF(OR(AND(C13="",D13&lt;&gt;""),AND(O13="",P13&lt;&gt;""),AND($G$8="",G13&lt;&gt;""),AND($H$8="",H13&lt;&gt;""),AND($I$8="",I13&lt;&gt;""),AND(#REF!="",#REF!&lt;&gt;""),AND(#REF!="",#REF!&lt;&gt;""),AND(#REF!="",#REF!&lt;&gt;""),AND(#REF!="",#REF!&lt;&gt;""),AND(#REF!="",#REF!&lt;&gt;""),AND(#REF!="",#REF!&lt;&gt;""),AND(#REF!="",#REF!&lt;&gt;""),AND($J$8="",J13&lt;&gt;""),AND($K$8="",K13&lt;&gt;""),AND($L$8="",L13&lt;&gt;""),AND($M$8="",M13&lt;&gt;"")),FALSE,"")</f>
        <v>#REF!</v>
      </c>
      <c r="Y13" s="42" t="e">
        <f>IF(AND(B13="",OR(C13&lt;&gt;"",D13&lt;&gt;"",E13&lt;&gt;"",F13&lt;&gt;"",N13&lt;&gt;"",O13&lt;&gt;"",P13&lt;&gt;"",G13&lt;&gt;"",H13&lt;&gt;"",I13&lt;&gt;"",#REF!&lt;&gt;"",#REF!&lt;&gt;"",#REF!&lt;&gt;"",#REF!&lt;&gt;"",#REF!&lt;&gt;"",#REF!&lt;&gt;"",#REF!&lt;&gt;"",J13&lt;&gt;"",K13&lt;&gt;"",L13&lt;&gt;"",M13&lt;&gt;"")),FALSE,"")</f>
        <v>#REF!</v>
      </c>
    </row>
    <row r="14" spans="1:25" ht="15.5" x14ac:dyDescent="0.35">
      <c r="B14" s="31"/>
      <c r="C14" s="32"/>
      <c r="D14" s="33"/>
      <c r="E14" s="34"/>
      <c r="F14" s="35"/>
      <c r="G14" s="36"/>
      <c r="H14" s="36"/>
      <c r="I14" s="36"/>
      <c r="J14" s="36"/>
      <c r="K14" s="36"/>
      <c r="L14" s="36"/>
      <c r="M14" s="36"/>
      <c r="N14" s="37"/>
      <c r="O14" s="38"/>
      <c r="P14" s="36"/>
      <c r="Q14" s="36"/>
      <c r="R14" s="22"/>
      <c r="S14" s="39" t="str">
        <f t="shared" si="0"/>
        <v/>
      </c>
      <c r="T14" s="39" t="str">
        <f t="shared" si="1"/>
        <v/>
      </c>
      <c r="U14" s="39" t="str">
        <f t="shared" si="2"/>
        <v/>
      </c>
      <c r="V14" s="40" t="str">
        <f>IF(M14="","",M14/(P14+G14+H14+I14+#REF!+#REF!+#REF!+#REF!+#REF!+#REF!+#REF!))</f>
        <v/>
      </c>
      <c r="W14" s="41" t="e">
        <f>IF(SUM(P14+G14+H14+I14+#REF!+#REF!+#REF!+#REF!+#REF!+#REF!+#REF!+J14+K14+L14+M14)=D14,"",FALSE)</f>
        <v>#REF!</v>
      </c>
      <c r="X14" s="42" t="e">
        <f>IF(OR(AND(C14="",D14&lt;&gt;""),AND(O14="",P14&lt;&gt;""),AND($G$8="",G14&lt;&gt;""),AND($H$8="",H14&lt;&gt;""),AND($I$8="",I14&lt;&gt;""),AND(#REF!="",#REF!&lt;&gt;""),AND(#REF!="",#REF!&lt;&gt;""),AND(#REF!="",#REF!&lt;&gt;""),AND(#REF!="",#REF!&lt;&gt;""),AND(#REF!="",#REF!&lt;&gt;""),AND(#REF!="",#REF!&lt;&gt;""),AND(#REF!="",#REF!&lt;&gt;""),AND($J$8="",J14&lt;&gt;""),AND($K$8="",K14&lt;&gt;""),AND($L$8="",L14&lt;&gt;""),AND($M$8="",M14&lt;&gt;"")),FALSE,"")</f>
        <v>#REF!</v>
      </c>
      <c r="Y14" s="42" t="e">
        <f>IF(AND(B14="",OR(C14&lt;&gt;"",D14&lt;&gt;"",E14&lt;&gt;"",F14&lt;&gt;"",N14&lt;&gt;"",O14&lt;&gt;"",P14&lt;&gt;"",G14&lt;&gt;"",H14&lt;&gt;"",I14&lt;&gt;"",#REF!&lt;&gt;"",#REF!&lt;&gt;"",#REF!&lt;&gt;"",#REF!&lt;&gt;"",#REF!&lt;&gt;"",#REF!&lt;&gt;"",#REF!&lt;&gt;"",J14&lt;&gt;"",K14&lt;&gt;"",L14&lt;&gt;"",M14&lt;&gt;"")),FALSE,"")</f>
        <v>#REF!</v>
      </c>
    </row>
    <row r="15" spans="1:25" ht="15.5" x14ac:dyDescent="0.35">
      <c r="B15" s="31"/>
      <c r="C15" s="32"/>
      <c r="D15" s="33"/>
      <c r="E15" s="34"/>
      <c r="F15" s="35"/>
      <c r="G15" s="43"/>
      <c r="H15" s="43"/>
      <c r="I15" s="36"/>
      <c r="J15" s="43"/>
      <c r="K15" s="43"/>
      <c r="L15" s="36"/>
      <c r="M15" s="43"/>
      <c r="N15" s="37"/>
      <c r="O15" s="44"/>
      <c r="P15" s="43"/>
      <c r="Q15" s="43"/>
      <c r="R15" s="22"/>
      <c r="S15" s="39" t="str">
        <f t="shared" si="0"/>
        <v/>
      </c>
      <c r="T15" s="39" t="str">
        <f t="shared" si="1"/>
        <v/>
      </c>
      <c r="U15" s="39" t="str">
        <f t="shared" si="2"/>
        <v/>
      </c>
      <c r="V15" s="40" t="str">
        <f>IF(M15="","",M15/(P15+G15+H15+I15+#REF!+#REF!+#REF!+#REF!+#REF!+#REF!+#REF!))</f>
        <v/>
      </c>
      <c r="W15" s="41" t="e">
        <f>IF(SUM(P15+G15+H15+I15+#REF!+#REF!+#REF!+#REF!+#REF!+#REF!+#REF!+J15+K15+L15+M15)=D15,"",FALSE)</f>
        <v>#REF!</v>
      </c>
      <c r="X15" s="42" t="e">
        <f>IF(OR(AND(C15="",D15&lt;&gt;""),AND(O15="",P15&lt;&gt;""),AND($G$8="",G15&lt;&gt;""),AND($H$8="",H15&lt;&gt;""),AND($I$8="",I15&lt;&gt;""),AND(#REF!="",#REF!&lt;&gt;""),AND(#REF!="",#REF!&lt;&gt;""),AND(#REF!="",#REF!&lt;&gt;""),AND(#REF!="",#REF!&lt;&gt;""),AND(#REF!="",#REF!&lt;&gt;""),AND(#REF!="",#REF!&lt;&gt;""),AND(#REF!="",#REF!&lt;&gt;""),AND($J$8="",J15&lt;&gt;""),AND($K$8="",K15&lt;&gt;""),AND($L$8="",L15&lt;&gt;""),AND($M$8="",M15&lt;&gt;"")),FALSE,"")</f>
        <v>#REF!</v>
      </c>
      <c r="Y15" s="42" t="e">
        <f>IF(AND(B15="",OR(C15&lt;&gt;"",D15&lt;&gt;"",E15&lt;&gt;"",F15&lt;&gt;"",N15&lt;&gt;"",O15&lt;&gt;"",P15&lt;&gt;"",G15&lt;&gt;"",H15&lt;&gt;"",I15&lt;&gt;"",#REF!&lt;&gt;"",#REF!&lt;&gt;"",#REF!&lt;&gt;"",#REF!&lt;&gt;"",#REF!&lt;&gt;"",#REF!&lt;&gt;"",#REF!&lt;&gt;"",J15&lt;&gt;"",K15&lt;&gt;"",L15&lt;&gt;"",M15&lt;&gt;"")),FALSE,"")</f>
        <v>#REF!</v>
      </c>
    </row>
    <row r="16" spans="1:25" ht="15.5" x14ac:dyDescent="0.35">
      <c r="B16" s="31"/>
      <c r="C16" s="32"/>
      <c r="D16" s="33"/>
      <c r="E16" s="34"/>
      <c r="F16" s="35"/>
      <c r="G16" s="36"/>
      <c r="H16" s="36"/>
      <c r="I16" s="36"/>
      <c r="J16" s="36"/>
      <c r="K16" s="36"/>
      <c r="L16" s="36"/>
      <c r="M16" s="36"/>
      <c r="N16" s="37"/>
      <c r="O16" s="38"/>
      <c r="P16" s="36"/>
      <c r="Q16" s="36"/>
      <c r="R16" s="22"/>
      <c r="S16" s="39" t="str">
        <f t="shared" si="0"/>
        <v/>
      </c>
      <c r="T16" s="39" t="str">
        <f t="shared" si="1"/>
        <v/>
      </c>
      <c r="U16" s="39" t="str">
        <f t="shared" si="2"/>
        <v/>
      </c>
      <c r="V16" s="40" t="str">
        <f>IF(M16="","",M16/(P16+G16+H16+I16+#REF!+#REF!+#REF!+#REF!+#REF!+#REF!+#REF!))</f>
        <v/>
      </c>
      <c r="W16" s="41" t="e">
        <f>IF(SUM(P16+G16+H16+I16+#REF!+#REF!+#REF!+#REF!+#REF!+#REF!+#REF!+J16+K16+L16+M16)=D16,"",FALSE)</f>
        <v>#REF!</v>
      </c>
      <c r="X16" s="42" t="e">
        <f>IF(OR(AND(C16="",D16&lt;&gt;""),AND(O16="",P16&lt;&gt;""),AND($G$8="",G16&lt;&gt;""),AND($H$8="",H16&lt;&gt;""),AND($I$8="",I16&lt;&gt;""),AND(#REF!="",#REF!&lt;&gt;""),AND(#REF!="",#REF!&lt;&gt;""),AND(#REF!="",#REF!&lt;&gt;""),AND(#REF!="",#REF!&lt;&gt;""),AND(#REF!="",#REF!&lt;&gt;""),AND(#REF!="",#REF!&lt;&gt;""),AND(#REF!="",#REF!&lt;&gt;""),AND($J$8="",J16&lt;&gt;""),AND($K$8="",K16&lt;&gt;""),AND($L$8="",L16&lt;&gt;""),AND($M$8="",M16&lt;&gt;"")),FALSE,"")</f>
        <v>#REF!</v>
      </c>
      <c r="Y16" s="42" t="e">
        <f>IF(AND(B16="",OR(C16&lt;&gt;"",D16&lt;&gt;"",E16&lt;&gt;"",F16&lt;&gt;"",N16&lt;&gt;"",O16&lt;&gt;"",P16&lt;&gt;"",G16&lt;&gt;"",H16&lt;&gt;"",I16&lt;&gt;"",#REF!&lt;&gt;"",#REF!&lt;&gt;"",#REF!&lt;&gt;"",#REF!&lt;&gt;"",#REF!&lt;&gt;"",#REF!&lt;&gt;"",#REF!&lt;&gt;"",J16&lt;&gt;"",K16&lt;&gt;"",L16&lt;&gt;"",M16&lt;&gt;"")),FALSE,"")</f>
        <v>#REF!</v>
      </c>
    </row>
    <row r="17" spans="2:25" ht="15.5" x14ac:dyDescent="0.35">
      <c r="B17" s="31"/>
      <c r="C17" s="32"/>
      <c r="D17" s="45"/>
      <c r="E17" s="46"/>
      <c r="F17" s="47"/>
      <c r="G17" s="36"/>
      <c r="H17" s="36"/>
      <c r="I17" s="36"/>
      <c r="J17" s="36"/>
      <c r="K17" s="36"/>
      <c r="L17" s="36"/>
      <c r="M17" s="36"/>
      <c r="N17" s="48"/>
      <c r="O17" s="38"/>
      <c r="P17" s="36"/>
      <c r="Q17" s="36"/>
      <c r="R17" s="22"/>
      <c r="S17" s="39" t="str">
        <f t="shared" si="0"/>
        <v/>
      </c>
      <c r="T17" s="39" t="str">
        <f t="shared" si="1"/>
        <v/>
      </c>
      <c r="U17" s="39" t="str">
        <f t="shared" si="2"/>
        <v/>
      </c>
      <c r="V17" s="40" t="str">
        <f>IF(M17="","",M17/(P17+G17+H17+I17+#REF!+#REF!+#REF!+#REF!+#REF!+#REF!+#REF!))</f>
        <v/>
      </c>
      <c r="W17" s="41" t="e">
        <f>IF(SUM(P17+G17+H17+I17+#REF!+#REF!+#REF!+#REF!+#REF!+#REF!+#REF!+J17+K17+L17+M17)=D17,"",FALSE)</f>
        <v>#REF!</v>
      </c>
      <c r="X17" s="42" t="e">
        <f>IF(OR(AND(C17="",D17&lt;&gt;""),AND(O17="",P17&lt;&gt;""),AND($G$8="",G17&lt;&gt;""),AND($H$8="",H17&lt;&gt;""),AND($I$8="",I17&lt;&gt;""),AND(#REF!="",#REF!&lt;&gt;""),AND(#REF!="",#REF!&lt;&gt;""),AND(#REF!="",#REF!&lt;&gt;""),AND(#REF!="",#REF!&lt;&gt;""),AND(#REF!="",#REF!&lt;&gt;""),AND(#REF!="",#REF!&lt;&gt;""),AND(#REF!="",#REF!&lt;&gt;""),AND($J$8="",J17&lt;&gt;""),AND($K$8="",K17&lt;&gt;""),AND($L$8="",L17&lt;&gt;""),AND($M$8="",M17&lt;&gt;"")),FALSE,"")</f>
        <v>#REF!</v>
      </c>
      <c r="Y17" s="42" t="e">
        <f>IF(AND(B17="",OR(C17&lt;&gt;"",D17&lt;&gt;"",E17&lt;&gt;"",F17&lt;&gt;"",N17&lt;&gt;"",O17&lt;&gt;"",P17&lt;&gt;"",G17&lt;&gt;"",H17&lt;&gt;"",I17&lt;&gt;"",#REF!&lt;&gt;"",#REF!&lt;&gt;"",#REF!&lt;&gt;"",#REF!&lt;&gt;"",#REF!&lt;&gt;"",#REF!&lt;&gt;"",#REF!&lt;&gt;"",J17&lt;&gt;"",K17&lt;&gt;"",L17&lt;&gt;"",M17&lt;&gt;"")),FALSE,"")</f>
        <v>#REF!</v>
      </c>
    </row>
    <row r="18" spans="2:25" ht="15.5" x14ac:dyDescent="0.35">
      <c r="B18" s="31"/>
      <c r="C18" s="32"/>
      <c r="D18" s="49"/>
      <c r="E18" s="34"/>
      <c r="F18" s="35"/>
      <c r="G18" s="36"/>
      <c r="H18" s="36"/>
      <c r="I18" s="36"/>
      <c r="J18" s="36"/>
      <c r="K18" s="36"/>
      <c r="L18" s="36"/>
      <c r="M18" s="36"/>
      <c r="N18" s="37"/>
      <c r="O18" s="38"/>
      <c r="P18" s="36"/>
      <c r="Q18" s="36"/>
      <c r="R18" s="22"/>
      <c r="S18" s="39" t="str">
        <f t="shared" si="0"/>
        <v/>
      </c>
      <c r="T18" s="39" t="str">
        <f t="shared" si="1"/>
        <v/>
      </c>
      <c r="U18" s="39" t="str">
        <f t="shared" si="2"/>
        <v/>
      </c>
      <c r="V18" s="40" t="str">
        <f>IF(M18="","",M18/(P18+G18+H18+I18+#REF!+#REF!+#REF!+#REF!+#REF!+#REF!+#REF!))</f>
        <v/>
      </c>
      <c r="W18" s="41" t="e">
        <f>IF(SUM(P18+G18+H18+I18+#REF!+#REF!+#REF!+#REF!+#REF!+#REF!+#REF!+J18+K18+L18+M18)=D18,"",FALSE)</f>
        <v>#REF!</v>
      </c>
      <c r="X18" s="42" t="e">
        <f>IF(OR(AND(C18="",D18&lt;&gt;""),AND(O18="",P18&lt;&gt;""),AND($G$8="",G18&lt;&gt;""),AND($H$8="",H18&lt;&gt;""),AND($I$8="",I18&lt;&gt;""),AND(#REF!="",#REF!&lt;&gt;""),AND(#REF!="",#REF!&lt;&gt;""),AND(#REF!="",#REF!&lt;&gt;""),AND(#REF!="",#REF!&lt;&gt;""),AND(#REF!="",#REF!&lt;&gt;""),AND(#REF!="",#REF!&lt;&gt;""),AND(#REF!="",#REF!&lt;&gt;""),AND($J$8="",J18&lt;&gt;""),AND($K$8="",K18&lt;&gt;""),AND($L$8="",L18&lt;&gt;""),AND($M$8="",M18&lt;&gt;"")),FALSE,"")</f>
        <v>#REF!</v>
      </c>
      <c r="Y18" s="42" t="e">
        <f>IF(AND(B18="",OR(C18&lt;&gt;"",D18&lt;&gt;"",E18&lt;&gt;"",F18&lt;&gt;"",N18&lt;&gt;"",O18&lt;&gt;"",P18&lt;&gt;"",G18&lt;&gt;"",H18&lt;&gt;"",I18&lt;&gt;"",#REF!&lt;&gt;"",#REF!&lt;&gt;"",#REF!&lt;&gt;"",#REF!&lt;&gt;"",#REF!&lt;&gt;"",#REF!&lt;&gt;"",#REF!&lt;&gt;"",J18&lt;&gt;"",K18&lt;&gt;"",L18&lt;&gt;"",M18&lt;&gt;"")),FALSE,"")</f>
        <v>#REF!</v>
      </c>
    </row>
    <row r="19" spans="2:25" ht="15.5" hidden="1" x14ac:dyDescent="0.35">
      <c r="B19" s="31"/>
      <c r="C19" s="32"/>
      <c r="D19" s="49"/>
      <c r="E19" s="34"/>
      <c r="F19" s="35"/>
      <c r="G19" s="43"/>
      <c r="H19" s="43"/>
      <c r="I19" s="36"/>
      <c r="J19" s="43"/>
      <c r="K19" s="43"/>
      <c r="L19" s="36"/>
      <c r="M19" s="43"/>
      <c r="N19" s="37"/>
      <c r="O19" s="44"/>
      <c r="P19" s="43"/>
      <c r="Q19" s="43"/>
      <c r="R19" s="22"/>
      <c r="S19" s="39" t="str">
        <f t="shared" si="0"/>
        <v/>
      </c>
      <c r="T19" s="39" t="str">
        <f t="shared" si="1"/>
        <v/>
      </c>
      <c r="U19" s="39" t="str">
        <f t="shared" si="2"/>
        <v/>
      </c>
      <c r="V19" s="40" t="str">
        <f>IF(M19="","",M19/(P19+G19+H19+I19+#REF!+#REF!+#REF!+#REF!+#REF!+#REF!+#REF!))</f>
        <v/>
      </c>
      <c r="W19" s="41" t="e">
        <f>IF(SUM(P19+G19+H19+I19+#REF!+#REF!+#REF!+#REF!+#REF!+#REF!+#REF!+J19+K19+L19+M19)=D19,"",FALSE)</f>
        <v>#REF!</v>
      </c>
      <c r="X19" s="42" t="e">
        <f>IF(OR(AND(C19="",D19&lt;&gt;""),AND(O19="",P19&lt;&gt;""),AND($G$8="",G19&lt;&gt;""),AND($H$8="",H19&lt;&gt;""),AND($I$8="",I19&lt;&gt;""),AND(#REF!="",#REF!&lt;&gt;""),AND(#REF!="",#REF!&lt;&gt;""),AND(#REF!="",#REF!&lt;&gt;""),AND(#REF!="",#REF!&lt;&gt;""),AND(#REF!="",#REF!&lt;&gt;""),AND(#REF!="",#REF!&lt;&gt;""),AND(#REF!="",#REF!&lt;&gt;""),AND($J$8="",J19&lt;&gt;""),AND($K$8="",K19&lt;&gt;""),AND($L$8="",L19&lt;&gt;""),AND($M$8="",M19&lt;&gt;"")),FALSE,"")</f>
        <v>#REF!</v>
      </c>
      <c r="Y19" s="42" t="e">
        <f>IF(AND(B19="",OR(C19&lt;&gt;"",D19&lt;&gt;"",E19&lt;&gt;"",F19&lt;&gt;"",N19&lt;&gt;"",O19&lt;&gt;"",P19&lt;&gt;"",G19&lt;&gt;"",H19&lt;&gt;"",I19&lt;&gt;"",#REF!&lt;&gt;"",#REF!&lt;&gt;"",#REF!&lt;&gt;"",#REF!&lt;&gt;"",#REF!&lt;&gt;"",#REF!&lt;&gt;"",#REF!&lt;&gt;"",J19&lt;&gt;"",K19&lt;&gt;"",L19&lt;&gt;"",M19&lt;&gt;"")),FALSE,"")</f>
        <v>#REF!</v>
      </c>
    </row>
    <row r="20" spans="2:25" ht="15.5" hidden="1" x14ac:dyDescent="0.35">
      <c r="B20" s="31"/>
      <c r="C20" s="32"/>
      <c r="D20" s="49"/>
      <c r="E20" s="34"/>
      <c r="F20" s="35"/>
      <c r="G20" s="43"/>
      <c r="H20" s="43"/>
      <c r="I20" s="36"/>
      <c r="J20" s="43"/>
      <c r="K20" s="43"/>
      <c r="L20" s="36"/>
      <c r="M20" s="43"/>
      <c r="N20" s="37"/>
      <c r="O20" s="44"/>
      <c r="P20" s="43"/>
      <c r="Q20" s="43"/>
      <c r="R20" s="22"/>
      <c r="S20" s="39" t="str">
        <f t="shared" si="0"/>
        <v/>
      </c>
      <c r="T20" s="39" t="str">
        <f t="shared" si="1"/>
        <v/>
      </c>
      <c r="U20" s="39" t="str">
        <f t="shared" si="2"/>
        <v/>
      </c>
      <c r="V20" s="40" t="str">
        <f>IF(M20="","",M20/(P20+G20+H20+I20+#REF!+#REF!+#REF!+#REF!+#REF!+#REF!+#REF!))</f>
        <v/>
      </c>
      <c r="W20" s="41" t="e">
        <f>IF(SUM(P20+G20+H20+I20+#REF!+#REF!+#REF!+#REF!+#REF!+#REF!+#REF!+J20+K20+L20+M20)=D20,"",FALSE)</f>
        <v>#REF!</v>
      </c>
      <c r="X20" s="42" t="e">
        <f>IF(OR(AND(C20="",D20&lt;&gt;""),AND(O20="",P20&lt;&gt;""),AND($G$8="",G20&lt;&gt;""),AND($H$8="",H20&lt;&gt;""),AND($I$8="",I20&lt;&gt;""),AND(#REF!="",#REF!&lt;&gt;""),AND(#REF!="",#REF!&lt;&gt;""),AND(#REF!="",#REF!&lt;&gt;""),AND(#REF!="",#REF!&lt;&gt;""),AND(#REF!="",#REF!&lt;&gt;""),AND(#REF!="",#REF!&lt;&gt;""),AND(#REF!="",#REF!&lt;&gt;""),AND($J$8="",J20&lt;&gt;""),AND($K$8="",K20&lt;&gt;""),AND($L$8="",L20&lt;&gt;""),AND($M$8="",M20&lt;&gt;"")),FALSE,"")</f>
        <v>#REF!</v>
      </c>
      <c r="Y20" s="42" t="e">
        <f>IF(AND(B20="",OR(C20&lt;&gt;"",D20&lt;&gt;"",E20&lt;&gt;"",F20&lt;&gt;"",N20&lt;&gt;"",O20&lt;&gt;"",P20&lt;&gt;"",G20&lt;&gt;"",H20&lt;&gt;"",I20&lt;&gt;"",#REF!&lt;&gt;"",#REF!&lt;&gt;"",#REF!&lt;&gt;"",#REF!&lt;&gt;"",#REF!&lt;&gt;"",#REF!&lt;&gt;"",#REF!&lt;&gt;"",J20&lt;&gt;"",K20&lt;&gt;"",L20&lt;&gt;"",M20&lt;&gt;"")),FALSE,"")</f>
        <v>#REF!</v>
      </c>
    </row>
    <row r="21" spans="2:25" ht="15.5" hidden="1" x14ac:dyDescent="0.35">
      <c r="B21" s="31"/>
      <c r="C21" s="32"/>
      <c r="D21" s="49"/>
      <c r="E21" s="34"/>
      <c r="F21" s="35"/>
      <c r="G21" s="43"/>
      <c r="H21" s="43"/>
      <c r="I21" s="36"/>
      <c r="J21" s="43"/>
      <c r="K21" s="43"/>
      <c r="L21" s="36"/>
      <c r="M21" s="43"/>
      <c r="N21" s="37"/>
      <c r="O21" s="44"/>
      <c r="P21" s="43"/>
      <c r="Q21" s="43"/>
      <c r="R21" s="22"/>
      <c r="S21" s="39" t="str">
        <f t="shared" si="0"/>
        <v/>
      </c>
      <c r="T21" s="39" t="str">
        <f t="shared" si="1"/>
        <v/>
      </c>
      <c r="U21" s="39" t="str">
        <f t="shared" si="2"/>
        <v/>
      </c>
      <c r="V21" s="40" t="str">
        <f>IF(M21="","",M21/(P21+G21+H21+I21+#REF!+#REF!+#REF!+#REF!+#REF!+#REF!+#REF!))</f>
        <v/>
      </c>
      <c r="W21" s="41" t="e">
        <f>IF(SUM(P21+G21+H21+I21+#REF!+#REF!+#REF!+#REF!+#REF!+#REF!+#REF!+J21+K21+L21+M21)=D21,"",FALSE)</f>
        <v>#REF!</v>
      </c>
      <c r="X21" s="42" t="e">
        <f>IF(OR(AND(C21="",D21&lt;&gt;""),AND(O21="",P21&lt;&gt;""),AND($G$8="",G21&lt;&gt;""),AND($H$8="",H21&lt;&gt;""),AND($I$8="",I21&lt;&gt;""),AND(#REF!="",#REF!&lt;&gt;""),AND(#REF!="",#REF!&lt;&gt;""),AND(#REF!="",#REF!&lt;&gt;""),AND(#REF!="",#REF!&lt;&gt;""),AND(#REF!="",#REF!&lt;&gt;""),AND(#REF!="",#REF!&lt;&gt;""),AND(#REF!="",#REF!&lt;&gt;""),AND($J$8="",J21&lt;&gt;""),AND($K$8="",K21&lt;&gt;""),AND($L$8="",L21&lt;&gt;""),AND($M$8="",M21&lt;&gt;"")),FALSE,"")</f>
        <v>#REF!</v>
      </c>
      <c r="Y21" s="42" t="e">
        <f>IF(AND(B21="",OR(C21&lt;&gt;"",D21&lt;&gt;"",E21&lt;&gt;"",F21&lt;&gt;"",N21&lt;&gt;"",O21&lt;&gt;"",P21&lt;&gt;"",G21&lt;&gt;"",H21&lt;&gt;"",I21&lt;&gt;"",#REF!&lt;&gt;"",#REF!&lt;&gt;"",#REF!&lt;&gt;"",#REF!&lt;&gt;"",#REF!&lt;&gt;"",#REF!&lt;&gt;"",#REF!&lt;&gt;"",J21&lt;&gt;"",K21&lt;&gt;"",L21&lt;&gt;"",M21&lt;&gt;"")),FALSE,"")</f>
        <v>#REF!</v>
      </c>
    </row>
    <row r="22" spans="2:25" ht="15.5" hidden="1" x14ac:dyDescent="0.35">
      <c r="B22" s="31"/>
      <c r="C22" s="32"/>
      <c r="D22" s="49"/>
      <c r="E22" s="34"/>
      <c r="F22" s="35"/>
      <c r="G22" s="43"/>
      <c r="H22" s="43"/>
      <c r="I22" s="36"/>
      <c r="J22" s="43"/>
      <c r="K22" s="43"/>
      <c r="L22" s="36"/>
      <c r="M22" s="43"/>
      <c r="N22" s="37"/>
      <c r="O22" s="44"/>
      <c r="P22" s="43"/>
      <c r="Q22" s="43"/>
      <c r="R22" s="22"/>
      <c r="S22" s="39" t="str">
        <f t="shared" si="0"/>
        <v/>
      </c>
      <c r="T22" s="39" t="str">
        <f t="shared" si="1"/>
        <v/>
      </c>
      <c r="U22" s="39" t="str">
        <f t="shared" si="2"/>
        <v/>
      </c>
      <c r="V22" s="40" t="str">
        <f>IF(M22="","",M22/(P22+G22+H22+I22+#REF!+#REF!+#REF!+#REF!+#REF!+#REF!+#REF!))</f>
        <v/>
      </c>
      <c r="W22" s="41" t="e">
        <f>IF(SUM(P22+G22+H22+I22+#REF!+#REF!+#REF!+#REF!+#REF!+#REF!+#REF!+J22+K22+L22+M22)=D22,"",FALSE)</f>
        <v>#REF!</v>
      </c>
      <c r="X22" s="42" t="e">
        <f>IF(OR(AND(C22="",D22&lt;&gt;""),AND(O22="",P22&lt;&gt;""),AND($G$8="",G22&lt;&gt;""),AND($H$8="",H22&lt;&gt;""),AND($I$8="",I22&lt;&gt;""),AND(#REF!="",#REF!&lt;&gt;""),AND(#REF!="",#REF!&lt;&gt;""),AND(#REF!="",#REF!&lt;&gt;""),AND(#REF!="",#REF!&lt;&gt;""),AND(#REF!="",#REF!&lt;&gt;""),AND(#REF!="",#REF!&lt;&gt;""),AND(#REF!="",#REF!&lt;&gt;""),AND($J$8="",J22&lt;&gt;""),AND($K$8="",K22&lt;&gt;""),AND($L$8="",L22&lt;&gt;""),AND($M$8="",M22&lt;&gt;"")),FALSE,"")</f>
        <v>#REF!</v>
      </c>
      <c r="Y22" s="42" t="e">
        <f>IF(AND(B22="",OR(C22&lt;&gt;"",D22&lt;&gt;"",E22&lt;&gt;"",F22&lt;&gt;"",N22&lt;&gt;"",O22&lt;&gt;"",P22&lt;&gt;"",G22&lt;&gt;"",H22&lt;&gt;"",I22&lt;&gt;"",#REF!&lt;&gt;"",#REF!&lt;&gt;"",#REF!&lt;&gt;"",#REF!&lt;&gt;"",#REF!&lt;&gt;"",#REF!&lt;&gt;"",#REF!&lt;&gt;"",J22&lt;&gt;"",K22&lt;&gt;"",L22&lt;&gt;"",M22&lt;&gt;"")),FALSE,"")</f>
        <v>#REF!</v>
      </c>
    </row>
    <row r="23" spans="2:25" ht="15.5" hidden="1" x14ac:dyDescent="0.35">
      <c r="B23" s="31"/>
      <c r="C23" s="50"/>
      <c r="D23" s="49"/>
      <c r="E23" s="34"/>
      <c r="F23" s="35"/>
      <c r="G23" s="43"/>
      <c r="H23" s="43"/>
      <c r="I23" s="36"/>
      <c r="J23" s="43"/>
      <c r="K23" s="43"/>
      <c r="L23" s="36"/>
      <c r="M23" s="43"/>
      <c r="N23" s="37"/>
      <c r="O23" s="44"/>
      <c r="P23" s="43"/>
      <c r="Q23" s="43"/>
      <c r="R23" s="22"/>
      <c r="S23" s="39" t="str">
        <f t="shared" si="0"/>
        <v/>
      </c>
      <c r="T23" s="39" t="str">
        <f t="shared" si="1"/>
        <v/>
      </c>
      <c r="U23" s="39" t="str">
        <f t="shared" si="2"/>
        <v/>
      </c>
      <c r="V23" s="40" t="str">
        <f>IF(M23="","",M23/(P23+G23+H23+I23+#REF!+#REF!+#REF!+#REF!+#REF!+#REF!+#REF!))</f>
        <v/>
      </c>
      <c r="W23" s="41" t="e">
        <f>IF(SUM(P23+G23+H23+I23+#REF!+#REF!+#REF!+#REF!+#REF!+#REF!+#REF!+J23+K23+L23+M23)=D23,"",FALSE)</f>
        <v>#REF!</v>
      </c>
      <c r="X23" s="42" t="e">
        <f>IF(OR(AND(C23="",D23&lt;&gt;""),AND(O23="",P23&lt;&gt;""),AND($G$8="",G23&lt;&gt;""),AND($H$8="",H23&lt;&gt;""),AND($I$8="",I23&lt;&gt;""),AND(#REF!="",#REF!&lt;&gt;""),AND(#REF!="",#REF!&lt;&gt;""),AND(#REF!="",#REF!&lt;&gt;""),AND(#REF!="",#REF!&lt;&gt;""),AND(#REF!="",#REF!&lt;&gt;""),AND(#REF!="",#REF!&lt;&gt;""),AND(#REF!="",#REF!&lt;&gt;""),AND($J$8="",J23&lt;&gt;""),AND($K$8="",K23&lt;&gt;""),AND($L$8="",L23&lt;&gt;""),AND($M$8="",M23&lt;&gt;"")),FALSE,"")</f>
        <v>#REF!</v>
      </c>
      <c r="Y23" s="42" t="e">
        <f>IF(AND(B23="",OR(C23&lt;&gt;"",D23&lt;&gt;"",E23&lt;&gt;"",F23&lt;&gt;"",N23&lt;&gt;"",O23&lt;&gt;"",P23&lt;&gt;"",G23&lt;&gt;"",H23&lt;&gt;"",I23&lt;&gt;"",#REF!&lt;&gt;"",#REF!&lt;&gt;"",#REF!&lt;&gt;"",#REF!&lt;&gt;"",#REF!&lt;&gt;"",#REF!&lt;&gt;"",#REF!&lt;&gt;"",J23&lt;&gt;"",K23&lt;&gt;"",L23&lt;&gt;"",M23&lt;&gt;"")),FALSE,"")</f>
        <v>#REF!</v>
      </c>
    </row>
    <row r="24" spans="2:25" ht="15.5" hidden="1" x14ac:dyDescent="0.35">
      <c r="B24" s="31"/>
      <c r="C24" s="50"/>
      <c r="D24" s="49"/>
      <c r="E24" s="34"/>
      <c r="F24" s="35"/>
      <c r="G24" s="43"/>
      <c r="H24" s="43"/>
      <c r="I24" s="36"/>
      <c r="J24" s="43"/>
      <c r="K24" s="43"/>
      <c r="L24" s="36"/>
      <c r="M24" s="43"/>
      <c r="N24" s="37"/>
      <c r="O24" s="44"/>
      <c r="P24" s="43"/>
      <c r="Q24" s="43"/>
      <c r="R24" s="22"/>
      <c r="S24" s="39" t="str">
        <f t="shared" si="0"/>
        <v/>
      </c>
      <c r="T24" s="39" t="str">
        <f t="shared" si="1"/>
        <v/>
      </c>
      <c r="U24" s="39" t="str">
        <f t="shared" si="2"/>
        <v/>
      </c>
      <c r="V24" s="40" t="str">
        <f>IF(M24="","",M24/(P24+G24+H24+I24+#REF!+#REF!+#REF!+#REF!+#REF!+#REF!+#REF!))</f>
        <v/>
      </c>
      <c r="W24" s="41" t="e">
        <f>IF(SUM(P24+G24+H24+I24+#REF!+#REF!+#REF!+#REF!+#REF!+#REF!+#REF!+J24+K24+L24+M24)=D24,"",FALSE)</f>
        <v>#REF!</v>
      </c>
      <c r="X24" s="42" t="e">
        <f>IF(OR(AND(C24="",D24&lt;&gt;""),AND(O24="",P24&lt;&gt;""),AND($G$8="",G24&lt;&gt;""),AND($H$8="",H24&lt;&gt;""),AND($I$8="",I24&lt;&gt;""),AND(#REF!="",#REF!&lt;&gt;""),AND(#REF!="",#REF!&lt;&gt;""),AND(#REF!="",#REF!&lt;&gt;""),AND(#REF!="",#REF!&lt;&gt;""),AND(#REF!="",#REF!&lt;&gt;""),AND(#REF!="",#REF!&lt;&gt;""),AND(#REF!="",#REF!&lt;&gt;""),AND($J$8="",J24&lt;&gt;""),AND($K$8="",K24&lt;&gt;""),AND($L$8="",L24&lt;&gt;""),AND($M$8="",M24&lt;&gt;"")),FALSE,"")</f>
        <v>#REF!</v>
      </c>
      <c r="Y24" s="42" t="e">
        <f>IF(AND(B24="",OR(C24&lt;&gt;"",D24&lt;&gt;"",E24&lt;&gt;"",F24&lt;&gt;"",N24&lt;&gt;"",O24&lt;&gt;"",P24&lt;&gt;"",G24&lt;&gt;"",H24&lt;&gt;"",I24&lt;&gt;"",#REF!&lt;&gt;"",#REF!&lt;&gt;"",#REF!&lt;&gt;"",#REF!&lt;&gt;"",#REF!&lt;&gt;"",#REF!&lt;&gt;"",#REF!&lt;&gt;"",J24&lt;&gt;"",K24&lt;&gt;"",L24&lt;&gt;"",M24&lt;&gt;"")),FALSE,"")</f>
        <v>#REF!</v>
      </c>
    </row>
    <row r="25" spans="2:25" ht="15.5" hidden="1" x14ac:dyDescent="0.35">
      <c r="B25" s="31"/>
      <c r="C25" s="50"/>
      <c r="D25" s="49"/>
      <c r="E25" s="34"/>
      <c r="F25" s="35"/>
      <c r="G25" s="43"/>
      <c r="H25" s="43"/>
      <c r="I25" s="36"/>
      <c r="J25" s="43"/>
      <c r="K25" s="43"/>
      <c r="L25" s="36"/>
      <c r="M25" s="43"/>
      <c r="N25" s="37"/>
      <c r="O25" s="44"/>
      <c r="P25" s="43"/>
      <c r="Q25" s="43"/>
      <c r="R25" s="22"/>
      <c r="S25" s="39" t="str">
        <f t="shared" si="0"/>
        <v/>
      </c>
      <c r="T25" s="39" t="str">
        <f t="shared" si="1"/>
        <v/>
      </c>
      <c r="U25" s="39" t="str">
        <f t="shared" si="2"/>
        <v/>
      </c>
      <c r="V25" s="40" t="str">
        <f>IF(M25="","",M25/(P25+G25+H25+I25+#REF!+#REF!+#REF!+#REF!+#REF!+#REF!+#REF!))</f>
        <v/>
      </c>
      <c r="W25" s="41" t="e">
        <f>IF(SUM(P25+G25+H25+I25+#REF!+#REF!+#REF!+#REF!+#REF!+#REF!+#REF!+J25+K25+L25+M25)=D25,"",FALSE)</f>
        <v>#REF!</v>
      </c>
      <c r="X25" s="42" t="e">
        <f>IF(OR(AND(C25="",D25&lt;&gt;""),AND(O25="",P25&lt;&gt;""),AND($G$8="",G25&lt;&gt;""),AND($H$8="",H25&lt;&gt;""),AND($I$8="",I25&lt;&gt;""),AND(#REF!="",#REF!&lt;&gt;""),AND(#REF!="",#REF!&lt;&gt;""),AND(#REF!="",#REF!&lt;&gt;""),AND(#REF!="",#REF!&lt;&gt;""),AND(#REF!="",#REF!&lt;&gt;""),AND(#REF!="",#REF!&lt;&gt;""),AND(#REF!="",#REF!&lt;&gt;""),AND($J$8="",J25&lt;&gt;""),AND($K$8="",K25&lt;&gt;""),AND($L$8="",L25&lt;&gt;""),AND($M$8="",M25&lt;&gt;"")),FALSE,"")</f>
        <v>#REF!</v>
      </c>
      <c r="Y25" s="42" t="e">
        <f>IF(AND(B25="",OR(C25&lt;&gt;"",D25&lt;&gt;"",E25&lt;&gt;"",F25&lt;&gt;"",N25&lt;&gt;"",O25&lt;&gt;"",P25&lt;&gt;"",G25&lt;&gt;"",H25&lt;&gt;"",I25&lt;&gt;"",#REF!&lt;&gt;"",#REF!&lt;&gt;"",#REF!&lt;&gt;"",#REF!&lt;&gt;"",#REF!&lt;&gt;"",#REF!&lt;&gt;"",#REF!&lt;&gt;"",J25&lt;&gt;"",K25&lt;&gt;"",L25&lt;&gt;"",M25&lt;&gt;"")),FALSE,"")</f>
        <v>#REF!</v>
      </c>
    </row>
    <row r="26" spans="2:25" ht="15.5" hidden="1" x14ac:dyDescent="0.35">
      <c r="B26" s="31"/>
      <c r="C26" s="50"/>
      <c r="D26" s="49"/>
      <c r="E26" s="34"/>
      <c r="F26" s="35"/>
      <c r="G26" s="43"/>
      <c r="H26" s="43"/>
      <c r="I26" s="36"/>
      <c r="J26" s="43"/>
      <c r="K26" s="43"/>
      <c r="L26" s="36"/>
      <c r="M26" s="43"/>
      <c r="N26" s="37"/>
      <c r="O26" s="44"/>
      <c r="P26" s="43"/>
      <c r="Q26" s="43"/>
      <c r="R26" s="22"/>
      <c r="S26" s="39" t="str">
        <f t="shared" si="0"/>
        <v/>
      </c>
      <c r="T26" s="39" t="str">
        <f t="shared" si="1"/>
        <v/>
      </c>
      <c r="U26" s="39" t="str">
        <f t="shared" si="2"/>
        <v/>
      </c>
      <c r="V26" s="40" t="str">
        <f>IF(M26="","",M26/(P26+G26+H26+I26+#REF!+#REF!+#REF!+#REF!+#REF!+#REF!+#REF!))</f>
        <v/>
      </c>
      <c r="W26" s="41" t="e">
        <f>IF(SUM(P26+G26+H26+I26+#REF!+#REF!+#REF!+#REF!+#REF!+#REF!+#REF!+J26+K26+L26+M26)=D26,"",FALSE)</f>
        <v>#REF!</v>
      </c>
      <c r="X26" s="42" t="e">
        <f>IF(OR(AND(C26="",D26&lt;&gt;""),AND(O26="",P26&lt;&gt;""),AND($G$8="",G26&lt;&gt;""),AND($H$8="",H26&lt;&gt;""),AND($I$8="",I26&lt;&gt;""),AND(#REF!="",#REF!&lt;&gt;""),AND(#REF!="",#REF!&lt;&gt;""),AND(#REF!="",#REF!&lt;&gt;""),AND(#REF!="",#REF!&lt;&gt;""),AND(#REF!="",#REF!&lt;&gt;""),AND(#REF!="",#REF!&lt;&gt;""),AND(#REF!="",#REF!&lt;&gt;""),AND($J$8="",J26&lt;&gt;""),AND($K$8="",K26&lt;&gt;""),AND($L$8="",L26&lt;&gt;""),AND($M$8="",M26&lt;&gt;"")),FALSE,"")</f>
        <v>#REF!</v>
      </c>
      <c r="Y26" s="42" t="e">
        <f>IF(AND(B26="",OR(C26&lt;&gt;"",D26&lt;&gt;"",E26&lt;&gt;"",F26&lt;&gt;"",N26&lt;&gt;"",O26&lt;&gt;"",P26&lt;&gt;"",G26&lt;&gt;"",H26&lt;&gt;"",I26&lt;&gt;"",#REF!&lt;&gt;"",#REF!&lt;&gt;"",#REF!&lt;&gt;"",#REF!&lt;&gt;"",#REF!&lt;&gt;"",#REF!&lt;&gt;"",#REF!&lt;&gt;"",J26&lt;&gt;"",K26&lt;&gt;"",L26&lt;&gt;"",M26&lt;&gt;"")),FALSE,"")</f>
        <v>#REF!</v>
      </c>
    </row>
    <row r="27" spans="2:25" ht="15.5" hidden="1" x14ac:dyDescent="0.35">
      <c r="B27" s="31"/>
      <c r="C27" s="50"/>
      <c r="D27" s="49"/>
      <c r="E27" s="34"/>
      <c r="F27" s="35"/>
      <c r="G27" s="43"/>
      <c r="H27" s="43"/>
      <c r="I27" s="36"/>
      <c r="J27" s="43"/>
      <c r="K27" s="43"/>
      <c r="L27" s="36"/>
      <c r="M27" s="43"/>
      <c r="N27" s="37"/>
      <c r="O27" s="44"/>
      <c r="P27" s="43"/>
      <c r="Q27" s="43"/>
      <c r="R27" s="22"/>
      <c r="S27" s="39" t="str">
        <f t="shared" si="0"/>
        <v/>
      </c>
      <c r="T27" s="39" t="str">
        <f t="shared" si="1"/>
        <v/>
      </c>
      <c r="U27" s="39" t="str">
        <f t="shared" si="2"/>
        <v/>
      </c>
      <c r="V27" s="40" t="str">
        <f>IF(M27="","",M27/(P27+G27+H27+I27+#REF!+#REF!+#REF!+#REF!+#REF!+#REF!+#REF!))</f>
        <v/>
      </c>
      <c r="W27" s="41" t="e">
        <f>IF(SUM(P27+G27+H27+I27+#REF!+#REF!+#REF!+#REF!+#REF!+#REF!+#REF!+J27+K27+L27+M27)=D27,"",FALSE)</f>
        <v>#REF!</v>
      </c>
      <c r="X27" s="42" t="e">
        <f>IF(OR(AND(C27="",D27&lt;&gt;""),AND(O27="",P27&lt;&gt;""),AND($G$8="",G27&lt;&gt;""),AND($H$8="",H27&lt;&gt;""),AND($I$8="",I27&lt;&gt;""),AND(#REF!="",#REF!&lt;&gt;""),AND(#REF!="",#REF!&lt;&gt;""),AND(#REF!="",#REF!&lt;&gt;""),AND(#REF!="",#REF!&lt;&gt;""),AND(#REF!="",#REF!&lt;&gt;""),AND(#REF!="",#REF!&lt;&gt;""),AND(#REF!="",#REF!&lt;&gt;""),AND($J$8="",J27&lt;&gt;""),AND($K$8="",K27&lt;&gt;""),AND($L$8="",L27&lt;&gt;""),AND($M$8="",M27&lt;&gt;"")),FALSE,"")</f>
        <v>#REF!</v>
      </c>
      <c r="Y27" s="42" t="e">
        <f>IF(AND(B27="",OR(C27&lt;&gt;"",D27&lt;&gt;"",E27&lt;&gt;"",F27&lt;&gt;"",N27&lt;&gt;"",O27&lt;&gt;"",P27&lt;&gt;"",G27&lt;&gt;"",H27&lt;&gt;"",I27&lt;&gt;"",#REF!&lt;&gt;"",#REF!&lt;&gt;"",#REF!&lt;&gt;"",#REF!&lt;&gt;"",#REF!&lt;&gt;"",#REF!&lt;&gt;"",#REF!&lt;&gt;"",J27&lt;&gt;"",K27&lt;&gt;"",L27&lt;&gt;"",M27&lt;&gt;"")),FALSE,"")</f>
        <v>#REF!</v>
      </c>
    </row>
    <row r="28" spans="2:25" ht="15.5" hidden="1" x14ac:dyDescent="0.35">
      <c r="B28" s="31"/>
      <c r="C28" s="50"/>
      <c r="D28" s="49"/>
      <c r="E28" s="34"/>
      <c r="F28" s="35"/>
      <c r="G28" s="43"/>
      <c r="H28" s="43"/>
      <c r="I28" s="36"/>
      <c r="J28" s="43"/>
      <c r="K28" s="43"/>
      <c r="L28" s="36"/>
      <c r="M28" s="43"/>
      <c r="N28" s="37"/>
      <c r="O28" s="44"/>
      <c r="P28" s="43"/>
      <c r="Q28" s="43"/>
      <c r="R28" s="22"/>
      <c r="S28" s="39" t="str">
        <f t="shared" si="0"/>
        <v/>
      </c>
      <c r="T28" s="39" t="str">
        <f t="shared" si="1"/>
        <v/>
      </c>
      <c r="U28" s="39" t="str">
        <f t="shared" si="2"/>
        <v/>
      </c>
      <c r="V28" s="40" t="str">
        <f>IF(M28="","",M28/(P28+G28+H28+I28+#REF!+#REF!+#REF!+#REF!+#REF!+#REF!+#REF!))</f>
        <v/>
      </c>
      <c r="W28" s="41" t="e">
        <f>IF(SUM(P28+G28+H28+I28+#REF!+#REF!+#REF!+#REF!+#REF!+#REF!+#REF!+J28+K28+L28+M28)=D28,"",FALSE)</f>
        <v>#REF!</v>
      </c>
      <c r="X28" s="42" t="e">
        <f>IF(OR(AND(C28="",D28&lt;&gt;""),AND(O28="",P28&lt;&gt;""),AND($G$8="",G28&lt;&gt;""),AND($H$8="",H28&lt;&gt;""),AND($I$8="",I28&lt;&gt;""),AND(#REF!="",#REF!&lt;&gt;""),AND(#REF!="",#REF!&lt;&gt;""),AND(#REF!="",#REF!&lt;&gt;""),AND(#REF!="",#REF!&lt;&gt;""),AND(#REF!="",#REF!&lt;&gt;""),AND(#REF!="",#REF!&lt;&gt;""),AND(#REF!="",#REF!&lt;&gt;""),AND($J$8="",J28&lt;&gt;""),AND($K$8="",K28&lt;&gt;""),AND($L$8="",L28&lt;&gt;""),AND($M$8="",M28&lt;&gt;"")),FALSE,"")</f>
        <v>#REF!</v>
      </c>
      <c r="Y28" s="42" t="e">
        <f>IF(AND(B28="",OR(C28&lt;&gt;"",D28&lt;&gt;"",E28&lt;&gt;"",F28&lt;&gt;"",N28&lt;&gt;"",O28&lt;&gt;"",P28&lt;&gt;"",G28&lt;&gt;"",H28&lt;&gt;"",I28&lt;&gt;"",#REF!&lt;&gt;"",#REF!&lt;&gt;"",#REF!&lt;&gt;"",#REF!&lt;&gt;"",#REF!&lt;&gt;"",#REF!&lt;&gt;"",#REF!&lt;&gt;"",J28&lt;&gt;"",K28&lt;&gt;"",L28&lt;&gt;"",M28&lt;&gt;"")),FALSE,"")</f>
        <v>#REF!</v>
      </c>
    </row>
    <row r="29" spans="2:25" ht="15.5" hidden="1" x14ac:dyDescent="0.35">
      <c r="B29" s="31"/>
      <c r="C29" s="50"/>
      <c r="D29" s="49"/>
      <c r="E29" s="34"/>
      <c r="F29" s="35"/>
      <c r="G29" s="43"/>
      <c r="H29" s="43"/>
      <c r="I29" s="36"/>
      <c r="J29" s="43"/>
      <c r="K29" s="43"/>
      <c r="L29" s="36"/>
      <c r="M29" s="43"/>
      <c r="N29" s="37"/>
      <c r="O29" s="44"/>
      <c r="P29" s="43"/>
      <c r="Q29" s="43"/>
      <c r="R29" s="22"/>
      <c r="S29" s="39" t="str">
        <f t="shared" si="0"/>
        <v/>
      </c>
      <c r="T29" s="39" t="str">
        <f t="shared" si="1"/>
        <v/>
      </c>
      <c r="U29" s="39" t="str">
        <f t="shared" si="2"/>
        <v/>
      </c>
      <c r="V29" s="40" t="str">
        <f>IF(M29="","",M29/(P29+G29+H29+I29+#REF!+#REF!+#REF!+#REF!+#REF!+#REF!+#REF!))</f>
        <v/>
      </c>
      <c r="W29" s="41" t="e">
        <f>IF(SUM(P29+G29+H29+I29+#REF!+#REF!+#REF!+#REF!+#REF!+#REF!+#REF!+J29+K29+L29+M29)=D29,"",FALSE)</f>
        <v>#REF!</v>
      </c>
      <c r="X29" s="42" t="e">
        <f>IF(OR(AND(C29="",D29&lt;&gt;""),AND(O29="",P29&lt;&gt;""),AND($G$8="",G29&lt;&gt;""),AND($H$8="",H29&lt;&gt;""),AND($I$8="",I29&lt;&gt;""),AND(#REF!="",#REF!&lt;&gt;""),AND(#REF!="",#REF!&lt;&gt;""),AND(#REF!="",#REF!&lt;&gt;""),AND(#REF!="",#REF!&lt;&gt;""),AND(#REF!="",#REF!&lt;&gt;""),AND(#REF!="",#REF!&lt;&gt;""),AND(#REF!="",#REF!&lt;&gt;""),AND($J$8="",J29&lt;&gt;""),AND($K$8="",K29&lt;&gt;""),AND($L$8="",L29&lt;&gt;""),AND($M$8="",M29&lt;&gt;"")),FALSE,"")</f>
        <v>#REF!</v>
      </c>
      <c r="Y29" s="42" t="e">
        <f>IF(AND(B29="",OR(C29&lt;&gt;"",D29&lt;&gt;"",E29&lt;&gt;"",F29&lt;&gt;"",N29&lt;&gt;"",O29&lt;&gt;"",P29&lt;&gt;"",G29&lt;&gt;"",H29&lt;&gt;"",I29&lt;&gt;"",#REF!&lt;&gt;"",#REF!&lt;&gt;"",#REF!&lt;&gt;"",#REF!&lt;&gt;"",#REF!&lt;&gt;"",#REF!&lt;&gt;"",#REF!&lt;&gt;"",J29&lt;&gt;"",K29&lt;&gt;"",L29&lt;&gt;"",M29&lt;&gt;"")),FALSE,"")</f>
        <v>#REF!</v>
      </c>
    </row>
    <row r="30" spans="2:25" ht="15.5" hidden="1" x14ac:dyDescent="0.35">
      <c r="B30" s="31"/>
      <c r="C30" s="50"/>
      <c r="D30" s="49"/>
      <c r="E30" s="34"/>
      <c r="F30" s="35"/>
      <c r="G30" s="43"/>
      <c r="H30" s="43"/>
      <c r="I30" s="36"/>
      <c r="J30" s="43"/>
      <c r="K30" s="43"/>
      <c r="L30" s="36"/>
      <c r="M30" s="43"/>
      <c r="N30" s="37"/>
      <c r="O30" s="44"/>
      <c r="P30" s="43"/>
      <c r="Q30" s="43"/>
      <c r="R30" s="22"/>
      <c r="S30" s="39" t="str">
        <f t="shared" si="0"/>
        <v/>
      </c>
      <c r="T30" s="39" t="str">
        <f t="shared" si="1"/>
        <v/>
      </c>
      <c r="U30" s="39" t="str">
        <f t="shared" si="2"/>
        <v/>
      </c>
      <c r="V30" s="40" t="str">
        <f>IF(M30="","",M30/(P30+G30+H30+I30+#REF!+#REF!+#REF!+#REF!+#REF!+#REF!+#REF!))</f>
        <v/>
      </c>
      <c r="W30" s="41" t="e">
        <f>IF(SUM(P30+G30+H30+I30+#REF!+#REF!+#REF!+#REF!+#REF!+#REF!+#REF!+J30+K30+L30+M30)=D30,"",FALSE)</f>
        <v>#REF!</v>
      </c>
      <c r="X30" s="42" t="e">
        <f>IF(OR(AND(C30="",D30&lt;&gt;""),AND(O30="",P30&lt;&gt;""),AND($G$8="",G30&lt;&gt;""),AND($H$8="",H30&lt;&gt;""),AND($I$8="",I30&lt;&gt;""),AND(#REF!="",#REF!&lt;&gt;""),AND(#REF!="",#REF!&lt;&gt;""),AND(#REF!="",#REF!&lt;&gt;""),AND(#REF!="",#REF!&lt;&gt;""),AND(#REF!="",#REF!&lt;&gt;""),AND(#REF!="",#REF!&lt;&gt;""),AND(#REF!="",#REF!&lt;&gt;""),AND($J$8="",J30&lt;&gt;""),AND($K$8="",K30&lt;&gt;""),AND($L$8="",L30&lt;&gt;""),AND($M$8="",M30&lt;&gt;"")),FALSE,"")</f>
        <v>#REF!</v>
      </c>
      <c r="Y30" s="42" t="e">
        <f>IF(AND(B30="",OR(C30&lt;&gt;"",D30&lt;&gt;"",E30&lt;&gt;"",F30&lt;&gt;"",N30&lt;&gt;"",O30&lt;&gt;"",P30&lt;&gt;"",G30&lt;&gt;"",H30&lt;&gt;"",I30&lt;&gt;"",#REF!&lt;&gt;"",#REF!&lt;&gt;"",#REF!&lt;&gt;"",#REF!&lt;&gt;"",#REF!&lt;&gt;"",#REF!&lt;&gt;"",#REF!&lt;&gt;"",J30&lt;&gt;"",K30&lt;&gt;"",L30&lt;&gt;"",M30&lt;&gt;"")),FALSE,"")</f>
        <v>#REF!</v>
      </c>
    </row>
    <row r="31" spans="2:25" ht="15.5" hidden="1" x14ac:dyDescent="0.35">
      <c r="B31" s="31"/>
      <c r="C31" s="50"/>
      <c r="D31" s="49"/>
      <c r="E31" s="34"/>
      <c r="F31" s="51"/>
      <c r="G31" s="43"/>
      <c r="H31" s="43"/>
      <c r="I31" s="36"/>
      <c r="J31" s="43"/>
      <c r="K31" s="43"/>
      <c r="L31" s="36"/>
      <c r="M31" s="43"/>
      <c r="N31" s="37"/>
      <c r="O31" s="44"/>
      <c r="P31" s="43"/>
      <c r="Q31" s="43"/>
      <c r="R31" s="22"/>
      <c r="S31" s="39" t="str">
        <f t="shared" si="0"/>
        <v/>
      </c>
      <c r="T31" s="39" t="str">
        <f t="shared" si="1"/>
        <v/>
      </c>
      <c r="U31" s="39" t="str">
        <f t="shared" si="2"/>
        <v/>
      </c>
      <c r="V31" s="40" t="str">
        <f>IF(M31="","",M31/(P31+G31+H31+I31+#REF!+#REF!+#REF!+#REF!+#REF!+#REF!+#REF!))</f>
        <v/>
      </c>
      <c r="W31" s="41" t="e">
        <f>IF(SUM(P31+G31+H31+I31+#REF!+#REF!+#REF!+#REF!+#REF!+#REF!+#REF!+J31+K31+L31+M31)=D31,"",FALSE)</f>
        <v>#REF!</v>
      </c>
      <c r="X31" s="42" t="e">
        <f>IF(OR(AND(C31="",D31&lt;&gt;""),AND(O31="",P31&lt;&gt;""),AND($G$8="",G31&lt;&gt;""),AND($H$8="",H31&lt;&gt;""),AND($I$8="",I31&lt;&gt;""),AND(#REF!="",#REF!&lt;&gt;""),AND(#REF!="",#REF!&lt;&gt;""),AND(#REF!="",#REF!&lt;&gt;""),AND(#REF!="",#REF!&lt;&gt;""),AND(#REF!="",#REF!&lt;&gt;""),AND(#REF!="",#REF!&lt;&gt;""),AND(#REF!="",#REF!&lt;&gt;""),AND($J$8="",J31&lt;&gt;""),AND($K$8="",K31&lt;&gt;""),AND($L$8="",L31&lt;&gt;""),AND($M$8="",M31&lt;&gt;"")),FALSE,"")</f>
        <v>#REF!</v>
      </c>
      <c r="Y31" s="42" t="e">
        <f>IF(AND(B31="",OR(C31&lt;&gt;"",D31&lt;&gt;"",E31&lt;&gt;"",F31&lt;&gt;"",N31&lt;&gt;"",O31&lt;&gt;"",P31&lt;&gt;"",G31&lt;&gt;"",H31&lt;&gt;"",I31&lt;&gt;"",#REF!&lt;&gt;"",#REF!&lt;&gt;"",#REF!&lt;&gt;"",#REF!&lt;&gt;"",#REF!&lt;&gt;"",#REF!&lt;&gt;"",#REF!&lt;&gt;"",J31&lt;&gt;"",K31&lt;&gt;"",L31&lt;&gt;"",M31&lt;&gt;"")),FALSE,"")</f>
        <v>#REF!</v>
      </c>
    </row>
    <row r="32" spans="2:25" ht="15.5" hidden="1" x14ac:dyDescent="0.35">
      <c r="B32" s="31"/>
      <c r="C32" s="50"/>
      <c r="D32" s="49"/>
      <c r="E32" s="34"/>
      <c r="F32" s="35"/>
      <c r="G32" s="43"/>
      <c r="H32" s="43"/>
      <c r="I32" s="36"/>
      <c r="J32" s="43"/>
      <c r="K32" s="43"/>
      <c r="L32" s="36"/>
      <c r="M32" s="43"/>
      <c r="N32" s="37"/>
      <c r="O32" s="44"/>
      <c r="P32" s="43"/>
      <c r="Q32" s="43"/>
      <c r="R32" s="22"/>
      <c r="S32" s="39" t="str">
        <f t="shared" si="0"/>
        <v/>
      </c>
      <c r="T32" s="39" t="str">
        <f t="shared" si="1"/>
        <v/>
      </c>
      <c r="U32" s="39" t="str">
        <f t="shared" si="2"/>
        <v/>
      </c>
      <c r="V32" s="40" t="str">
        <f>IF(M32="","",M32/(P32+G32+H32+I32+#REF!+#REF!+#REF!+#REF!+#REF!+#REF!+#REF!))</f>
        <v/>
      </c>
      <c r="W32" s="41" t="e">
        <f>IF(SUM(P32+G32+H32+I32+#REF!+#REF!+#REF!+#REF!+#REF!+#REF!+#REF!+J32+K32+L32+M32)=D32,"",FALSE)</f>
        <v>#REF!</v>
      </c>
      <c r="X32" s="42" t="e">
        <f>IF(OR(AND(C32="",D32&lt;&gt;""),AND(O32="",P32&lt;&gt;""),AND($G$8="",G32&lt;&gt;""),AND($H$8="",H32&lt;&gt;""),AND($I$8="",I32&lt;&gt;""),AND(#REF!="",#REF!&lt;&gt;""),AND(#REF!="",#REF!&lt;&gt;""),AND(#REF!="",#REF!&lt;&gt;""),AND(#REF!="",#REF!&lt;&gt;""),AND(#REF!="",#REF!&lt;&gt;""),AND(#REF!="",#REF!&lt;&gt;""),AND(#REF!="",#REF!&lt;&gt;""),AND($J$8="",J32&lt;&gt;""),AND($K$8="",K32&lt;&gt;""),AND($L$8="",L32&lt;&gt;""),AND($M$8="",M32&lt;&gt;"")),FALSE,"")</f>
        <v>#REF!</v>
      </c>
      <c r="Y32" s="42" t="e">
        <f>IF(AND(B32="",OR(C32&lt;&gt;"",D32&lt;&gt;"",E32&lt;&gt;"",F32&lt;&gt;"",N32&lt;&gt;"",O32&lt;&gt;"",P32&lt;&gt;"",G32&lt;&gt;"",H32&lt;&gt;"",I32&lt;&gt;"",#REF!&lt;&gt;"",#REF!&lt;&gt;"",#REF!&lt;&gt;"",#REF!&lt;&gt;"",#REF!&lt;&gt;"",#REF!&lt;&gt;"",#REF!&lt;&gt;"",J32&lt;&gt;"",K32&lt;&gt;"",L32&lt;&gt;"",M32&lt;&gt;"")),FALSE,"")</f>
        <v>#REF!</v>
      </c>
    </row>
    <row r="33" spans="2:25" ht="15.5" hidden="1" x14ac:dyDescent="0.35">
      <c r="B33" s="31"/>
      <c r="C33" s="50"/>
      <c r="D33" s="49"/>
      <c r="E33" s="34"/>
      <c r="F33" s="35"/>
      <c r="G33" s="43"/>
      <c r="H33" s="43"/>
      <c r="I33" s="36"/>
      <c r="J33" s="43"/>
      <c r="K33" s="43"/>
      <c r="L33" s="36"/>
      <c r="M33" s="43"/>
      <c r="N33" s="37"/>
      <c r="O33" s="44"/>
      <c r="P33" s="43"/>
      <c r="Q33" s="43"/>
      <c r="R33" s="22"/>
      <c r="S33" s="39" t="str">
        <f t="shared" si="0"/>
        <v/>
      </c>
      <c r="T33" s="39" t="str">
        <f t="shared" si="1"/>
        <v/>
      </c>
      <c r="U33" s="39" t="str">
        <f t="shared" si="2"/>
        <v/>
      </c>
      <c r="V33" s="40" t="str">
        <f>IF(M33="","",M33/(P33+G33+H33+I33+#REF!+#REF!+#REF!+#REF!+#REF!+#REF!+#REF!))</f>
        <v/>
      </c>
      <c r="W33" s="41" t="e">
        <f>IF(SUM(P33+G33+H33+I33+#REF!+#REF!+#REF!+#REF!+#REF!+#REF!+#REF!+J33+K33+L33+M33)=D33,"",FALSE)</f>
        <v>#REF!</v>
      </c>
      <c r="X33" s="42" t="e">
        <f>IF(OR(AND(C33="",D33&lt;&gt;""),AND(O33="",P33&lt;&gt;""),AND($G$8="",G33&lt;&gt;""),AND($H$8="",H33&lt;&gt;""),AND($I$8="",I33&lt;&gt;""),AND(#REF!="",#REF!&lt;&gt;""),AND(#REF!="",#REF!&lt;&gt;""),AND(#REF!="",#REF!&lt;&gt;""),AND(#REF!="",#REF!&lt;&gt;""),AND(#REF!="",#REF!&lt;&gt;""),AND(#REF!="",#REF!&lt;&gt;""),AND(#REF!="",#REF!&lt;&gt;""),AND($J$8="",J33&lt;&gt;""),AND($K$8="",K33&lt;&gt;""),AND($L$8="",L33&lt;&gt;""),AND($M$8="",M33&lt;&gt;"")),FALSE,"")</f>
        <v>#REF!</v>
      </c>
      <c r="Y33" s="42" t="e">
        <f>IF(AND(B33="",OR(C33&lt;&gt;"",D33&lt;&gt;"",E33&lt;&gt;"",F33&lt;&gt;"",N33&lt;&gt;"",O33&lt;&gt;"",P33&lt;&gt;"",G33&lt;&gt;"",H33&lt;&gt;"",I33&lt;&gt;"",#REF!&lt;&gt;"",#REF!&lt;&gt;"",#REF!&lt;&gt;"",#REF!&lt;&gt;"",#REF!&lt;&gt;"",#REF!&lt;&gt;"",#REF!&lt;&gt;"",J33&lt;&gt;"",K33&lt;&gt;"",L33&lt;&gt;"",M33&lt;&gt;"")),FALSE,"")</f>
        <v>#REF!</v>
      </c>
    </row>
    <row r="34" spans="2:25" ht="15.5" hidden="1" x14ac:dyDescent="0.35">
      <c r="B34" s="31"/>
      <c r="C34" s="50"/>
      <c r="D34" s="49"/>
      <c r="E34" s="34"/>
      <c r="F34" s="35"/>
      <c r="G34" s="43"/>
      <c r="H34" s="43"/>
      <c r="I34" s="36"/>
      <c r="J34" s="43"/>
      <c r="K34" s="43"/>
      <c r="L34" s="36"/>
      <c r="M34" s="43"/>
      <c r="N34" s="37"/>
      <c r="O34" s="44"/>
      <c r="P34" s="43"/>
      <c r="Q34" s="43"/>
      <c r="R34" s="22"/>
      <c r="S34" s="39" t="str">
        <f t="shared" si="0"/>
        <v/>
      </c>
      <c r="T34" s="39" t="str">
        <f t="shared" si="1"/>
        <v/>
      </c>
      <c r="U34" s="39" t="str">
        <f t="shared" si="2"/>
        <v/>
      </c>
      <c r="V34" s="40" t="str">
        <f>IF(M34="","",M34/(P34+G34+H34+I34+#REF!+#REF!+#REF!+#REF!+#REF!+#REF!+#REF!))</f>
        <v/>
      </c>
      <c r="W34" s="41" t="e">
        <f>IF(SUM(P34+G34+H34+I34+#REF!+#REF!+#REF!+#REF!+#REF!+#REF!+#REF!+J34+K34+L34+M34)=D34,"",FALSE)</f>
        <v>#REF!</v>
      </c>
      <c r="X34" s="42" t="e">
        <f>IF(OR(AND(C34="",D34&lt;&gt;""),AND(O34="",P34&lt;&gt;""),AND($G$8="",G34&lt;&gt;""),AND($H$8="",H34&lt;&gt;""),AND($I$8="",I34&lt;&gt;""),AND(#REF!="",#REF!&lt;&gt;""),AND(#REF!="",#REF!&lt;&gt;""),AND(#REF!="",#REF!&lt;&gt;""),AND(#REF!="",#REF!&lt;&gt;""),AND(#REF!="",#REF!&lt;&gt;""),AND(#REF!="",#REF!&lt;&gt;""),AND(#REF!="",#REF!&lt;&gt;""),AND($J$8="",J34&lt;&gt;""),AND($K$8="",K34&lt;&gt;""),AND($L$8="",L34&lt;&gt;""),AND($M$8="",M34&lt;&gt;"")),FALSE,"")</f>
        <v>#REF!</v>
      </c>
      <c r="Y34" s="42" t="e">
        <f>IF(AND(B34="",OR(C34&lt;&gt;"",D34&lt;&gt;"",E34&lt;&gt;"",F34&lt;&gt;"",N34&lt;&gt;"",O34&lt;&gt;"",P34&lt;&gt;"",G34&lt;&gt;"",H34&lt;&gt;"",I34&lt;&gt;"",#REF!&lt;&gt;"",#REF!&lt;&gt;"",#REF!&lt;&gt;"",#REF!&lt;&gt;"",#REF!&lt;&gt;"",#REF!&lt;&gt;"",#REF!&lt;&gt;"",J34&lt;&gt;"",K34&lt;&gt;"",L34&lt;&gt;"",M34&lt;&gt;"")),FALSE,"")</f>
        <v>#REF!</v>
      </c>
    </row>
    <row r="35" spans="2:25" ht="15.5" hidden="1" x14ac:dyDescent="0.35">
      <c r="B35" s="31"/>
      <c r="C35" s="50"/>
      <c r="D35" s="49"/>
      <c r="E35" s="34"/>
      <c r="F35" s="35"/>
      <c r="G35" s="43"/>
      <c r="H35" s="43"/>
      <c r="I35" s="36"/>
      <c r="J35" s="43"/>
      <c r="K35" s="43"/>
      <c r="L35" s="36"/>
      <c r="M35" s="43"/>
      <c r="N35" s="37"/>
      <c r="O35" s="44"/>
      <c r="P35" s="43"/>
      <c r="Q35" s="43"/>
      <c r="R35" s="22"/>
      <c r="S35" s="39" t="str">
        <f t="shared" si="0"/>
        <v/>
      </c>
      <c r="T35" s="39" t="str">
        <f t="shared" si="1"/>
        <v/>
      </c>
      <c r="U35" s="39" t="str">
        <f t="shared" si="2"/>
        <v/>
      </c>
      <c r="V35" s="40" t="str">
        <f>IF(M35="","",M35/(P35+G35+H35+I35+#REF!+#REF!+#REF!+#REF!+#REF!+#REF!+#REF!))</f>
        <v/>
      </c>
      <c r="W35" s="41" t="e">
        <f>IF(SUM(P35+G35+H35+I35+#REF!+#REF!+#REF!+#REF!+#REF!+#REF!+#REF!+J35+K35+L35+M35)=D35,"",FALSE)</f>
        <v>#REF!</v>
      </c>
      <c r="X35" s="42" t="e">
        <f>IF(OR(AND(C35="",D35&lt;&gt;""),AND(O35="",P35&lt;&gt;""),AND($G$8="",G35&lt;&gt;""),AND($H$8="",H35&lt;&gt;""),AND($I$8="",I35&lt;&gt;""),AND(#REF!="",#REF!&lt;&gt;""),AND(#REF!="",#REF!&lt;&gt;""),AND(#REF!="",#REF!&lt;&gt;""),AND(#REF!="",#REF!&lt;&gt;""),AND(#REF!="",#REF!&lt;&gt;""),AND(#REF!="",#REF!&lt;&gt;""),AND(#REF!="",#REF!&lt;&gt;""),AND($J$8="",J35&lt;&gt;""),AND($K$8="",K35&lt;&gt;""),AND($L$8="",L35&lt;&gt;""),AND($M$8="",M35&lt;&gt;"")),FALSE,"")</f>
        <v>#REF!</v>
      </c>
      <c r="Y35" s="42" t="e">
        <f>IF(AND(B35="",OR(C35&lt;&gt;"",D35&lt;&gt;"",E35&lt;&gt;"",F35&lt;&gt;"",N35&lt;&gt;"",O35&lt;&gt;"",P35&lt;&gt;"",G35&lt;&gt;"",H35&lt;&gt;"",I35&lt;&gt;"",#REF!&lt;&gt;"",#REF!&lt;&gt;"",#REF!&lt;&gt;"",#REF!&lt;&gt;"",#REF!&lt;&gt;"",#REF!&lt;&gt;"",#REF!&lt;&gt;"",J35&lt;&gt;"",K35&lt;&gt;"",L35&lt;&gt;"",M35&lt;&gt;"")),FALSE,"")</f>
        <v>#REF!</v>
      </c>
    </row>
    <row r="36" spans="2:25" ht="15.5" hidden="1" x14ac:dyDescent="0.35">
      <c r="B36" s="31"/>
      <c r="C36" s="50"/>
      <c r="D36" s="49"/>
      <c r="E36" s="34"/>
      <c r="F36" s="35"/>
      <c r="G36" s="43"/>
      <c r="H36" s="43"/>
      <c r="I36" s="36"/>
      <c r="J36" s="43"/>
      <c r="K36" s="43"/>
      <c r="L36" s="36"/>
      <c r="M36" s="43"/>
      <c r="N36" s="37"/>
      <c r="O36" s="44"/>
      <c r="P36" s="43"/>
      <c r="Q36" s="43"/>
      <c r="R36" s="22"/>
      <c r="S36" s="39" t="str">
        <f t="shared" si="0"/>
        <v/>
      </c>
      <c r="T36" s="39" t="str">
        <f t="shared" si="1"/>
        <v/>
      </c>
      <c r="U36" s="39" t="str">
        <f t="shared" si="2"/>
        <v/>
      </c>
      <c r="V36" s="40" t="str">
        <f>IF(M36="","",M36/(P36+G36+H36+I36+#REF!+#REF!+#REF!+#REF!+#REF!+#REF!+#REF!))</f>
        <v/>
      </c>
      <c r="W36" s="41" t="e">
        <f>IF(SUM(P36+G36+H36+I36+#REF!+#REF!+#REF!+#REF!+#REF!+#REF!+#REF!+J36+K36+L36+M36)=D36,"",FALSE)</f>
        <v>#REF!</v>
      </c>
      <c r="X36" s="42" t="e">
        <f>IF(OR(AND(C36="",D36&lt;&gt;""),AND(O36="",P36&lt;&gt;""),AND($G$8="",G36&lt;&gt;""),AND($H$8="",H36&lt;&gt;""),AND($I$8="",I36&lt;&gt;""),AND(#REF!="",#REF!&lt;&gt;""),AND(#REF!="",#REF!&lt;&gt;""),AND(#REF!="",#REF!&lt;&gt;""),AND(#REF!="",#REF!&lt;&gt;""),AND(#REF!="",#REF!&lt;&gt;""),AND(#REF!="",#REF!&lt;&gt;""),AND(#REF!="",#REF!&lt;&gt;""),AND($J$8="",J36&lt;&gt;""),AND($K$8="",K36&lt;&gt;""),AND($L$8="",L36&lt;&gt;""),AND($M$8="",M36&lt;&gt;"")),FALSE,"")</f>
        <v>#REF!</v>
      </c>
      <c r="Y36" s="42" t="e">
        <f>IF(AND(B36="",OR(C36&lt;&gt;"",D36&lt;&gt;"",E36&lt;&gt;"",F36&lt;&gt;"",N36&lt;&gt;"",O36&lt;&gt;"",P36&lt;&gt;"",G36&lt;&gt;"",H36&lt;&gt;"",I36&lt;&gt;"",#REF!&lt;&gt;"",#REF!&lt;&gt;"",#REF!&lt;&gt;"",#REF!&lt;&gt;"",#REF!&lt;&gt;"",#REF!&lt;&gt;"",#REF!&lt;&gt;"",J36&lt;&gt;"",K36&lt;&gt;"",L36&lt;&gt;"",M36&lt;&gt;"")),FALSE,"")</f>
        <v>#REF!</v>
      </c>
    </row>
    <row r="37" spans="2:25" ht="15.5" hidden="1" x14ac:dyDescent="0.35">
      <c r="B37" s="31"/>
      <c r="C37" s="50"/>
      <c r="D37" s="49"/>
      <c r="E37" s="34"/>
      <c r="F37" s="35"/>
      <c r="G37" s="43"/>
      <c r="H37" s="43"/>
      <c r="I37" s="36"/>
      <c r="J37" s="43"/>
      <c r="K37" s="43"/>
      <c r="L37" s="36"/>
      <c r="M37" s="43"/>
      <c r="N37" s="37"/>
      <c r="O37" s="44"/>
      <c r="P37" s="43"/>
      <c r="Q37" s="43"/>
      <c r="R37" s="22"/>
      <c r="S37" s="39" t="str">
        <f t="shared" si="0"/>
        <v/>
      </c>
      <c r="T37" s="39" t="str">
        <f t="shared" si="1"/>
        <v/>
      </c>
      <c r="U37" s="39" t="str">
        <f t="shared" si="2"/>
        <v/>
      </c>
      <c r="V37" s="40" t="str">
        <f>IF(M37="","",M37/(P37+G37+H37+I37+#REF!+#REF!+#REF!+#REF!+#REF!+#REF!+#REF!))</f>
        <v/>
      </c>
      <c r="W37" s="41" t="e">
        <f>IF(SUM(P37+G37+H37+I37+#REF!+#REF!+#REF!+#REF!+#REF!+#REF!+#REF!+J37+K37+L37+M37)=D37,"",FALSE)</f>
        <v>#REF!</v>
      </c>
      <c r="X37" s="42" t="e">
        <f>IF(OR(AND(C37="",D37&lt;&gt;""),AND(O37="",P37&lt;&gt;""),AND($G$8="",G37&lt;&gt;""),AND($H$8="",H37&lt;&gt;""),AND($I$8="",I37&lt;&gt;""),AND(#REF!="",#REF!&lt;&gt;""),AND(#REF!="",#REF!&lt;&gt;""),AND(#REF!="",#REF!&lt;&gt;""),AND(#REF!="",#REF!&lt;&gt;""),AND(#REF!="",#REF!&lt;&gt;""),AND(#REF!="",#REF!&lt;&gt;""),AND(#REF!="",#REF!&lt;&gt;""),AND($J$8="",J37&lt;&gt;""),AND($K$8="",K37&lt;&gt;""),AND($L$8="",L37&lt;&gt;""),AND($M$8="",M37&lt;&gt;"")),FALSE,"")</f>
        <v>#REF!</v>
      </c>
      <c r="Y37" s="42" t="e">
        <f>IF(AND(B37="",OR(C37&lt;&gt;"",D37&lt;&gt;"",E37&lt;&gt;"",F37&lt;&gt;"",N37&lt;&gt;"",O37&lt;&gt;"",P37&lt;&gt;"",G37&lt;&gt;"",H37&lt;&gt;"",I37&lt;&gt;"",#REF!&lt;&gt;"",#REF!&lt;&gt;"",#REF!&lt;&gt;"",#REF!&lt;&gt;"",#REF!&lt;&gt;"",#REF!&lt;&gt;"",#REF!&lt;&gt;"",J37&lt;&gt;"",K37&lt;&gt;"",L37&lt;&gt;"",M37&lt;&gt;"")),FALSE,"")</f>
        <v>#REF!</v>
      </c>
    </row>
    <row r="38" spans="2:25" ht="15.5" hidden="1" x14ac:dyDescent="0.35">
      <c r="B38" s="31"/>
      <c r="C38" s="50"/>
      <c r="D38" s="49"/>
      <c r="E38" s="34"/>
      <c r="F38" s="35"/>
      <c r="G38" s="43"/>
      <c r="H38" s="43"/>
      <c r="I38" s="36"/>
      <c r="J38" s="43"/>
      <c r="K38" s="43"/>
      <c r="L38" s="36"/>
      <c r="M38" s="43"/>
      <c r="N38" s="37"/>
      <c r="O38" s="44"/>
      <c r="P38" s="43"/>
      <c r="Q38" s="43"/>
      <c r="R38" s="22"/>
      <c r="S38" s="39" t="str">
        <f t="shared" si="0"/>
        <v/>
      </c>
      <c r="T38" s="39" t="str">
        <f t="shared" si="1"/>
        <v/>
      </c>
      <c r="U38" s="39" t="str">
        <f t="shared" si="2"/>
        <v/>
      </c>
      <c r="V38" s="40" t="str">
        <f>IF(M38="","",M38/(P38+G38+H38+I38+#REF!+#REF!+#REF!+#REF!+#REF!+#REF!+#REF!))</f>
        <v/>
      </c>
      <c r="W38" s="41" t="e">
        <f>IF(SUM(P38+G38+H38+I38+#REF!+#REF!+#REF!+#REF!+#REF!+#REF!+#REF!+J38+K38+L38+M38)=D38,"",FALSE)</f>
        <v>#REF!</v>
      </c>
      <c r="X38" s="42" t="e">
        <f>IF(OR(AND(C38="",D38&lt;&gt;""),AND(O38="",P38&lt;&gt;""),AND($G$8="",G38&lt;&gt;""),AND($H$8="",H38&lt;&gt;""),AND($I$8="",I38&lt;&gt;""),AND(#REF!="",#REF!&lt;&gt;""),AND(#REF!="",#REF!&lt;&gt;""),AND(#REF!="",#REF!&lt;&gt;""),AND(#REF!="",#REF!&lt;&gt;""),AND(#REF!="",#REF!&lt;&gt;""),AND(#REF!="",#REF!&lt;&gt;""),AND(#REF!="",#REF!&lt;&gt;""),AND($J$8="",J38&lt;&gt;""),AND($K$8="",K38&lt;&gt;""),AND($L$8="",L38&lt;&gt;""),AND($M$8="",M38&lt;&gt;"")),FALSE,"")</f>
        <v>#REF!</v>
      </c>
      <c r="Y38" s="42" t="e">
        <f>IF(AND(B38="",OR(C38&lt;&gt;"",D38&lt;&gt;"",E38&lt;&gt;"",F38&lt;&gt;"",N38&lt;&gt;"",O38&lt;&gt;"",P38&lt;&gt;"",G38&lt;&gt;"",H38&lt;&gt;"",I38&lt;&gt;"",#REF!&lt;&gt;"",#REF!&lt;&gt;"",#REF!&lt;&gt;"",#REF!&lt;&gt;"",#REF!&lt;&gt;"",#REF!&lt;&gt;"",#REF!&lt;&gt;"",J38&lt;&gt;"",K38&lt;&gt;"",L38&lt;&gt;"",M38&lt;&gt;"")),FALSE,"")</f>
        <v>#REF!</v>
      </c>
    </row>
    <row r="39" spans="2:25" ht="15.5" hidden="1" x14ac:dyDescent="0.35">
      <c r="B39" s="31"/>
      <c r="C39" s="50"/>
      <c r="D39" s="49"/>
      <c r="E39" s="34"/>
      <c r="F39" s="35"/>
      <c r="G39" s="43"/>
      <c r="H39" s="43"/>
      <c r="I39" s="36"/>
      <c r="J39" s="43"/>
      <c r="K39" s="43"/>
      <c r="L39" s="36"/>
      <c r="M39" s="43"/>
      <c r="N39" s="37"/>
      <c r="O39" s="44"/>
      <c r="P39" s="43"/>
      <c r="Q39" s="43"/>
      <c r="R39" s="22"/>
      <c r="S39" s="39" t="str">
        <f t="shared" si="0"/>
        <v/>
      </c>
      <c r="T39" s="39" t="str">
        <f t="shared" si="1"/>
        <v/>
      </c>
      <c r="U39" s="39" t="str">
        <f t="shared" si="2"/>
        <v/>
      </c>
      <c r="V39" s="40" t="str">
        <f>IF(M39="","",M39/(P39+G39+H39+I39+#REF!+#REF!+#REF!+#REF!+#REF!+#REF!+#REF!))</f>
        <v/>
      </c>
      <c r="W39" s="41" t="e">
        <f>IF(SUM(P39+G39+H39+I39+#REF!+#REF!+#REF!+#REF!+#REF!+#REF!+#REF!+J39+K39+L39+M39)=D39,"",FALSE)</f>
        <v>#REF!</v>
      </c>
      <c r="X39" s="42" t="e">
        <f>IF(OR(AND(C39="",D39&lt;&gt;""),AND(O39="",P39&lt;&gt;""),AND($G$8="",G39&lt;&gt;""),AND($H$8="",H39&lt;&gt;""),AND($I$8="",I39&lt;&gt;""),AND(#REF!="",#REF!&lt;&gt;""),AND(#REF!="",#REF!&lt;&gt;""),AND(#REF!="",#REF!&lt;&gt;""),AND(#REF!="",#REF!&lt;&gt;""),AND(#REF!="",#REF!&lt;&gt;""),AND(#REF!="",#REF!&lt;&gt;""),AND(#REF!="",#REF!&lt;&gt;""),AND($J$8="",J39&lt;&gt;""),AND($K$8="",K39&lt;&gt;""),AND($L$8="",L39&lt;&gt;""),AND($M$8="",M39&lt;&gt;"")),FALSE,"")</f>
        <v>#REF!</v>
      </c>
      <c r="Y39" s="42" t="e">
        <f>IF(AND(B39="",OR(C39&lt;&gt;"",D39&lt;&gt;"",E39&lt;&gt;"",F39&lt;&gt;"",N39&lt;&gt;"",O39&lt;&gt;"",P39&lt;&gt;"",G39&lt;&gt;"",H39&lt;&gt;"",I39&lt;&gt;"",#REF!&lt;&gt;"",#REF!&lt;&gt;"",#REF!&lt;&gt;"",#REF!&lt;&gt;"",#REF!&lt;&gt;"",#REF!&lt;&gt;"",#REF!&lt;&gt;"",J39&lt;&gt;"",K39&lt;&gt;"",L39&lt;&gt;"",M39&lt;&gt;"")),FALSE,"")</f>
        <v>#REF!</v>
      </c>
    </row>
    <row r="40" spans="2:25" ht="15.5" hidden="1" x14ac:dyDescent="0.35">
      <c r="B40" s="31"/>
      <c r="C40" s="50"/>
      <c r="D40" s="49"/>
      <c r="E40" s="34"/>
      <c r="F40" s="35"/>
      <c r="G40" s="43"/>
      <c r="H40" s="43"/>
      <c r="I40" s="36"/>
      <c r="J40" s="43"/>
      <c r="K40" s="43"/>
      <c r="L40" s="36"/>
      <c r="M40" s="43"/>
      <c r="N40" s="37"/>
      <c r="O40" s="44"/>
      <c r="P40" s="43"/>
      <c r="Q40" s="43"/>
      <c r="R40" s="22"/>
      <c r="S40" s="39" t="str">
        <f t="shared" si="0"/>
        <v/>
      </c>
      <c r="T40" s="39" t="str">
        <f t="shared" si="1"/>
        <v/>
      </c>
      <c r="U40" s="39" t="str">
        <f t="shared" si="2"/>
        <v/>
      </c>
      <c r="V40" s="40" t="str">
        <f>IF(M40="","",M40/(P40+G40+H40+I40+#REF!+#REF!+#REF!+#REF!+#REF!+#REF!+#REF!))</f>
        <v/>
      </c>
      <c r="W40" s="41" t="e">
        <f>IF(SUM(P40+G40+H40+I40+#REF!+#REF!+#REF!+#REF!+#REF!+#REF!+#REF!+J40+K40+L40+M40)=D40,"",FALSE)</f>
        <v>#REF!</v>
      </c>
      <c r="X40" s="42" t="e">
        <f>IF(OR(AND(C40="",D40&lt;&gt;""),AND(O40="",P40&lt;&gt;""),AND($G$8="",G40&lt;&gt;""),AND($H$8="",H40&lt;&gt;""),AND($I$8="",I40&lt;&gt;""),AND(#REF!="",#REF!&lt;&gt;""),AND(#REF!="",#REF!&lt;&gt;""),AND(#REF!="",#REF!&lt;&gt;""),AND(#REF!="",#REF!&lt;&gt;""),AND(#REF!="",#REF!&lt;&gt;""),AND(#REF!="",#REF!&lt;&gt;""),AND(#REF!="",#REF!&lt;&gt;""),AND($J$8="",J40&lt;&gt;""),AND($K$8="",K40&lt;&gt;""),AND($L$8="",L40&lt;&gt;""),AND($M$8="",M40&lt;&gt;"")),FALSE,"")</f>
        <v>#REF!</v>
      </c>
      <c r="Y40" s="42" t="e">
        <f>IF(AND(B40="",OR(C40&lt;&gt;"",D40&lt;&gt;"",E40&lt;&gt;"",F40&lt;&gt;"",N40&lt;&gt;"",O40&lt;&gt;"",P40&lt;&gt;"",G40&lt;&gt;"",H40&lt;&gt;"",I40&lt;&gt;"",#REF!&lt;&gt;"",#REF!&lt;&gt;"",#REF!&lt;&gt;"",#REF!&lt;&gt;"",#REF!&lt;&gt;"",#REF!&lt;&gt;"",#REF!&lt;&gt;"",J40&lt;&gt;"",K40&lt;&gt;"",L40&lt;&gt;"",M40&lt;&gt;"")),FALSE,"")</f>
        <v>#REF!</v>
      </c>
    </row>
    <row r="41" spans="2:25" ht="15.5" hidden="1" x14ac:dyDescent="0.35">
      <c r="B41" s="31"/>
      <c r="C41" s="50"/>
      <c r="D41" s="49"/>
      <c r="E41" s="34"/>
      <c r="F41" s="35"/>
      <c r="G41" s="43"/>
      <c r="H41" s="43"/>
      <c r="I41" s="36"/>
      <c r="J41" s="43"/>
      <c r="K41" s="43"/>
      <c r="L41" s="36"/>
      <c r="M41" s="43"/>
      <c r="N41" s="37"/>
      <c r="O41" s="44"/>
      <c r="P41" s="43"/>
      <c r="Q41" s="43"/>
      <c r="R41" s="22"/>
      <c r="S41" s="39" t="str">
        <f t="shared" si="0"/>
        <v/>
      </c>
      <c r="T41" s="39" t="str">
        <f t="shared" si="1"/>
        <v/>
      </c>
      <c r="U41" s="39" t="str">
        <f t="shared" si="2"/>
        <v/>
      </c>
      <c r="V41" s="40" t="str">
        <f>IF(M41="","",M41/(P41+G41+H41+I41+#REF!+#REF!+#REF!+#REF!+#REF!+#REF!+#REF!))</f>
        <v/>
      </c>
      <c r="W41" s="41" t="e">
        <f>IF(SUM(P41+G41+H41+I41+#REF!+#REF!+#REF!+#REF!+#REF!+#REF!+#REF!+J41+K41+L41+M41)=D41,"",FALSE)</f>
        <v>#REF!</v>
      </c>
      <c r="X41" s="42" t="e">
        <f>IF(OR(AND(C41="",D41&lt;&gt;""),AND(O41="",P41&lt;&gt;""),AND($G$8="",G41&lt;&gt;""),AND($H$8="",H41&lt;&gt;""),AND($I$8="",I41&lt;&gt;""),AND(#REF!="",#REF!&lt;&gt;""),AND(#REF!="",#REF!&lt;&gt;""),AND(#REF!="",#REF!&lt;&gt;""),AND(#REF!="",#REF!&lt;&gt;""),AND(#REF!="",#REF!&lt;&gt;""),AND(#REF!="",#REF!&lt;&gt;""),AND(#REF!="",#REF!&lt;&gt;""),AND($J$8="",J41&lt;&gt;""),AND($K$8="",K41&lt;&gt;""),AND($L$8="",L41&lt;&gt;""),AND($M$8="",M41&lt;&gt;"")),FALSE,"")</f>
        <v>#REF!</v>
      </c>
      <c r="Y41" s="42" t="e">
        <f>IF(AND(B41="",OR(C41&lt;&gt;"",D41&lt;&gt;"",E41&lt;&gt;"",F41&lt;&gt;"",N41&lt;&gt;"",O41&lt;&gt;"",P41&lt;&gt;"",G41&lt;&gt;"",H41&lt;&gt;"",I41&lt;&gt;"",#REF!&lt;&gt;"",#REF!&lt;&gt;"",#REF!&lt;&gt;"",#REF!&lt;&gt;"",#REF!&lt;&gt;"",#REF!&lt;&gt;"",#REF!&lt;&gt;"",J41&lt;&gt;"",K41&lt;&gt;"",L41&lt;&gt;"",M41&lt;&gt;"")),FALSE,"")</f>
        <v>#REF!</v>
      </c>
    </row>
    <row r="42" spans="2:25" ht="15.5" hidden="1" x14ac:dyDescent="0.35">
      <c r="B42" s="31"/>
      <c r="C42" s="50"/>
      <c r="D42" s="49"/>
      <c r="E42" s="34"/>
      <c r="F42" s="35"/>
      <c r="G42" s="43"/>
      <c r="H42" s="43"/>
      <c r="I42" s="36"/>
      <c r="J42" s="43"/>
      <c r="K42" s="43"/>
      <c r="L42" s="36"/>
      <c r="M42" s="43"/>
      <c r="N42" s="37"/>
      <c r="O42" s="44"/>
      <c r="P42" s="43"/>
      <c r="Q42" s="43"/>
      <c r="R42" s="22"/>
      <c r="S42" s="39" t="str">
        <f t="shared" si="0"/>
        <v/>
      </c>
      <c r="T42" s="39" t="str">
        <f t="shared" si="1"/>
        <v/>
      </c>
      <c r="U42" s="39" t="str">
        <f t="shared" si="2"/>
        <v/>
      </c>
      <c r="V42" s="40" t="str">
        <f>IF(M42="","",M42/(P42+G42+H42+I42+#REF!+#REF!+#REF!+#REF!+#REF!+#REF!+#REF!))</f>
        <v/>
      </c>
      <c r="W42" s="41" t="e">
        <f>IF(SUM(P42+G42+H42+I42+#REF!+#REF!+#REF!+#REF!+#REF!+#REF!+#REF!+J42+K42+L42+M42)=D42,"",FALSE)</f>
        <v>#REF!</v>
      </c>
      <c r="X42" s="42" t="e">
        <f>IF(OR(AND(C42="",D42&lt;&gt;""),AND(O42="",P42&lt;&gt;""),AND($G$8="",G42&lt;&gt;""),AND($H$8="",H42&lt;&gt;""),AND($I$8="",I42&lt;&gt;""),AND(#REF!="",#REF!&lt;&gt;""),AND(#REF!="",#REF!&lt;&gt;""),AND(#REF!="",#REF!&lt;&gt;""),AND(#REF!="",#REF!&lt;&gt;""),AND(#REF!="",#REF!&lt;&gt;""),AND(#REF!="",#REF!&lt;&gt;""),AND(#REF!="",#REF!&lt;&gt;""),AND($J$8="",J42&lt;&gt;""),AND($K$8="",K42&lt;&gt;""),AND($L$8="",L42&lt;&gt;""),AND($M$8="",M42&lt;&gt;"")),FALSE,"")</f>
        <v>#REF!</v>
      </c>
      <c r="Y42" s="42" t="e">
        <f>IF(AND(B42="",OR(C42&lt;&gt;"",D42&lt;&gt;"",E42&lt;&gt;"",F42&lt;&gt;"",N42&lt;&gt;"",O42&lt;&gt;"",P42&lt;&gt;"",G42&lt;&gt;"",H42&lt;&gt;"",I42&lt;&gt;"",#REF!&lt;&gt;"",#REF!&lt;&gt;"",#REF!&lt;&gt;"",#REF!&lt;&gt;"",#REF!&lt;&gt;"",#REF!&lt;&gt;"",#REF!&lt;&gt;"",J42&lt;&gt;"",K42&lt;&gt;"",L42&lt;&gt;"",M42&lt;&gt;"")),FALSE,"")</f>
        <v>#REF!</v>
      </c>
    </row>
    <row r="43" spans="2:25" ht="15.5" hidden="1" x14ac:dyDescent="0.35">
      <c r="B43" s="31"/>
      <c r="C43" s="50"/>
      <c r="D43" s="49"/>
      <c r="E43" s="34"/>
      <c r="F43" s="35"/>
      <c r="G43" s="43"/>
      <c r="H43" s="43"/>
      <c r="I43" s="36"/>
      <c r="J43" s="43"/>
      <c r="K43" s="43"/>
      <c r="L43" s="36"/>
      <c r="M43" s="43"/>
      <c r="N43" s="37"/>
      <c r="O43" s="44"/>
      <c r="P43" s="43"/>
      <c r="Q43" s="43"/>
      <c r="R43" s="22"/>
      <c r="S43" s="39" t="str">
        <f t="shared" ref="S43:S74" si="3">IF(J43="","",J43/SUM(G43:I43))</f>
        <v/>
      </c>
      <c r="T43" s="39" t="str">
        <f t="shared" ref="T43:T74" si="4">IF(K43="","",K43/SUM(G43:I43))</f>
        <v/>
      </c>
      <c r="U43" s="39" t="str">
        <f t="shared" ref="U43:U74" si="5">IF(L43="","",L43/SUM(G43:I43))</f>
        <v/>
      </c>
      <c r="V43" s="40" t="str">
        <f>IF(M43="","",M43/(P43+G43+H43+I43+#REF!+#REF!+#REF!+#REF!+#REF!+#REF!+#REF!))</f>
        <v/>
      </c>
      <c r="W43" s="41" t="e">
        <f>IF(SUM(P43+G43+H43+I43+#REF!+#REF!+#REF!+#REF!+#REF!+#REF!+#REF!+J43+K43+L43+M43)=D43,"",FALSE)</f>
        <v>#REF!</v>
      </c>
      <c r="X43" s="42" t="e">
        <f>IF(OR(AND(C43="",D43&lt;&gt;""),AND(O43="",P43&lt;&gt;""),AND($G$8="",G43&lt;&gt;""),AND($H$8="",H43&lt;&gt;""),AND($I$8="",I43&lt;&gt;""),AND(#REF!="",#REF!&lt;&gt;""),AND(#REF!="",#REF!&lt;&gt;""),AND(#REF!="",#REF!&lt;&gt;""),AND(#REF!="",#REF!&lt;&gt;""),AND(#REF!="",#REF!&lt;&gt;""),AND(#REF!="",#REF!&lt;&gt;""),AND(#REF!="",#REF!&lt;&gt;""),AND($J$8="",J43&lt;&gt;""),AND($K$8="",K43&lt;&gt;""),AND($L$8="",L43&lt;&gt;""),AND($M$8="",M43&lt;&gt;"")),FALSE,"")</f>
        <v>#REF!</v>
      </c>
      <c r="Y43" s="42" t="e">
        <f>IF(AND(B43="",OR(C43&lt;&gt;"",D43&lt;&gt;"",E43&lt;&gt;"",F43&lt;&gt;"",N43&lt;&gt;"",O43&lt;&gt;"",P43&lt;&gt;"",G43&lt;&gt;"",H43&lt;&gt;"",I43&lt;&gt;"",#REF!&lt;&gt;"",#REF!&lt;&gt;"",#REF!&lt;&gt;"",#REF!&lt;&gt;"",#REF!&lt;&gt;"",#REF!&lt;&gt;"",#REF!&lt;&gt;"",J43&lt;&gt;"",K43&lt;&gt;"",L43&lt;&gt;"",M43&lt;&gt;"")),FALSE,"")</f>
        <v>#REF!</v>
      </c>
    </row>
    <row r="44" spans="2:25" ht="15.5" hidden="1" x14ac:dyDescent="0.35">
      <c r="B44" s="31"/>
      <c r="C44" s="50"/>
      <c r="D44" s="49"/>
      <c r="E44" s="34"/>
      <c r="F44" s="35"/>
      <c r="G44" s="43"/>
      <c r="H44" s="43"/>
      <c r="I44" s="36"/>
      <c r="J44" s="43"/>
      <c r="K44" s="43"/>
      <c r="L44" s="36"/>
      <c r="M44" s="43"/>
      <c r="N44" s="37"/>
      <c r="O44" s="44"/>
      <c r="P44" s="43"/>
      <c r="Q44" s="43"/>
      <c r="R44" s="22"/>
      <c r="S44" s="39" t="str">
        <f t="shared" si="3"/>
        <v/>
      </c>
      <c r="T44" s="39" t="str">
        <f t="shared" si="4"/>
        <v/>
      </c>
      <c r="U44" s="39" t="str">
        <f t="shared" si="5"/>
        <v/>
      </c>
      <c r="V44" s="40" t="str">
        <f>IF(M44="","",M44/(P44+G44+H44+I44+#REF!+#REF!+#REF!+#REF!+#REF!+#REF!+#REF!))</f>
        <v/>
      </c>
      <c r="W44" s="41" t="e">
        <f>IF(SUM(P44+G44+H44+I44+#REF!+#REF!+#REF!+#REF!+#REF!+#REF!+#REF!+J44+K44+L44+M44)=D44,"",FALSE)</f>
        <v>#REF!</v>
      </c>
      <c r="X44" s="42" t="e">
        <f>IF(OR(AND(C44="",D44&lt;&gt;""),AND(O44="",P44&lt;&gt;""),AND($G$8="",G44&lt;&gt;""),AND($H$8="",H44&lt;&gt;""),AND($I$8="",I44&lt;&gt;""),AND(#REF!="",#REF!&lt;&gt;""),AND(#REF!="",#REF!&lt;&gt;""),AND(#REF!="",#REF!&lt;&gt;""),AND(#REF!="",#REF!&lt;&gt;""),AND(#REF!="",#REF!&lt;&gt;""),AND(#REF!="",#REF!&lt;&gt;""),AND(#REF!="",#REF!&lt;&gt;""),AND($J$8="",J44&lt;&gt;""),AND($K$8="",K44&lt;&gt;""),AND($L$8="",L44&lt;&gt;""),AND($M$8="",M44&lt;&gt;"")),FALSE,"")</f>
        <v>#REF!</v>
      </c>
      <c r="Y44" s="42" t="e">
        <f>IF(AND(B44="",OR(C44&lt;&gt;"",D44&lt;&gt;"",E44&lt;&gt;"",F44&lt;&gt;"",N44&lt;&gt;"",O44&lt;&gt;"",P44&lt;&gt;"",G44&lt;&gt;"",H44&lt;&gt;"",I44&lt;&gt;"",#REF!&lt;&gt;"",#REF!&lt;&gt;"",#REF!&lt;&gt;"",#REF!&lt;&gt;"",#REF!&lt;&gt;"",#REF!&lt;&gt;"",#REF!&lt;&gt;"",J44&lt;&gt;"",K44&lt;&gt;"",L44&lt;&gt;"",M44&lt;&gt;"")),FALSE,"")</f>
        <v>#REF!</v>
      </c>
    </row>
    <row r="45" spans="2:25" ht="15.5" hidden="1" x14ac:dyDescent="0.35">
      <c r="B45" s="31"/>
      <c r="C45" s="50"/>
      <c r="D45" s="49"/>
      <c r="E45" s="34"/>
      <c r="F45" s="35"/>
      <c r="G45" s="43"/>
      <c r="H45" s="43"/>
      <c r="I45" s="36"/>
      <c r="J45" s="43"/>
      <c r="K45" s="43"/>
      <c r="L45" s="36"/>
      <c r="M45" s="43"/>
      <c r="N45" s="37"/>
      <c r="O45" s="44"/>
      <c r="P45" s="43"/>
      <c r="Q45" s="43"/>
      <c r="R45" s="22"/>
      <c r="S45" s="39" t="str">
        <f t="shared" si="3"/>
        <v/>
      </c>
      <c r="T45" s="39" t="str">
        <f t="shared" si="4"/>
        <v/>
      </c>
      <c r="U45" s="39" t="str">
        <f t="shared" si="5"/>
        <v/>
      </c>
      <c r="V45" s="40" t="str">
        <f>IF(M45="","",M45/(P45+G45+H45+I45+#REF!+#REF!+#REF!+#REF!+#REF!+#REF!+#REF!))</f>
        <v/>
      </c>
      <c r="W45" s="41" t="e">
        <f>IF(SUM(P45+G45+H45+I45+#REF!+#REF!+#REF!+#REF!+#REF!+#REF!+#REF!+J45+K45+L45+M45)=D45,"",FALSE)</f>
        <v>#REF!</v>
      </c>
      <c r="X45" s="42" t="e">
        <f>IF(OR(AND(C45="",D45&lt;&gt;""),AND(O45="",P45&lt;&gt;""),AND($G$8="",G45&lt;&gt;""),AND($H$8="",H45&lt;&gt;""),AND($I$8="",I45&lt;&gt;""),AND(#REF!="",#REF!&lt;&gt;""),AND(#REF!="",#REF!&lt;&gt;""),AND(#REF!="",#REF!&lt;&gt;""),AND(#REF!="",#REF!&lt;&gt;""),AND(#REF!="",#REF!&lt;&gt;""),AND(#REF!="",#REF!&lt;&gt;""),AND(#REF!="",#REF!&lt;&gt;""),AND($J$8="",J45&lt;&gt;""),AND($K$8="",K45&lt;&gt;""),AND($L$8="",L45&lt;&gt;""),AND($M$8="",M45&lt;&gt;"")),FALSE,"")</f>
        <v>#REF!</v>
      </c>
      <c r="Y45" s="42" t="e">
        <f>IF(AND(B45="",OR(C45&lt;&gt;"",D45&lt;&gt;"",E45&lt;&gt;"",F45&lt;&gt;"",N45&lt;&gt;"",O45&lt;&gt;"",P45&lt;&gt;"",G45&lt;&gt;"",H45&lt;&gt;"",I45&lt;&gt;"",#REF!&lt;&gt;"",#REF!&lt;&gt;"",#REF!&lt;&gt;"",#REF!&lt;&gt;"",#REF!&lt;&gt;"",#REF!&lt;&gt;"",#REF!&lt;&gt;"",J45&lt;&gt;"",K45&lt;&gt;"",L45&lt;&gt;"",M45&lt;&gt;"")),FALSE,"")</f>
        <v>#REF!</v>
      </c>
    </row>
    <row r="46" spans="2:25" ht="15.5" hidden="1" x14ac:dyDescent="0.35">
      <c r="B46" s="31"/>
      <c r="C46" s="50"/>
      <c r="D46" s="49"/>
      <c r="E46" s="34"/>
      <c r="F46" s="35"/>
      <c r="G46" s="43"/>
      <c r="H46" s="43"/>
      <c r="I46" s="36"/>
      <c r="J46" s="43"/>
      <c r="K46" s="43"/>
      <c r="L46" s="36"/>
      <c r="M46" s="43"/>
      <c r="N46" s="37"/>
      <c r="O46" s="44"/>
      <c r="P46" s="43"/>
      <c r="Q46" s="43"/>
      <c r="R46" s="22"/>
      <c r="S46" s="39" t="str">
        <f t="shared" si="3"/>
        <v/>
      </c>
      <c r="T46" s="39" t="str">
        <f t="shared" si="4"/>
        <v/>
      </c>
      <c r="U46" s="39" t="str">
        <f t="shared" si="5"/>
        <v/>
      </c>
      <c r="V46" s="40" t="str">
        <f>IF(M46="","",M46/(P46+G46+H46+I46+#REF!+#REF!+#REF!+#REF!+#REF!+#REF!+#REF!))</f>
        <v/>
      </c>
      <c r="W46" s="41" t="e">
        <f>IF(SUM(P46+G46+H46+I46+#REF!+#REF!+#REF!+#REF!+#REF!+#REF!+#REF!+J46+K46+L46+M46)=D46,"",FALSE)</f>
        <v>#REF!</v>
      </c>
      <c r="X46" s="42" t="e">
        <f>IF(OR(AND(C46="",D46&lt;&gt;""),AND(O46="",P46&lt;&gt;""),AND($G$8="",G46&lt;&gt;""),AND($H$8="",H46&lt;&gt;""),AND($I$8="",I46&lt;&gt;""),AND(#REF!="",#REF!&lt;&gt;""),AND(#REF!="",#REF!&lt;&gt;""),AND(#REF!="",#REF!&lt;&gt;""),AND(#REF!="",#REF!&lt;&gt;""),AND(#REF!="",#REF!&lt;&gt;""),AND(#REF!="",#REF!&lt;&gt;""),AND(#REF!="",#REF!&lt;&gt;""),AND($J$8="",J46&lt;&gt;""),AND($K$8="",K46&lt;&gt;""),AND($L$8="",L46&lt;&gt;""),AND($M$8="",M46&lt;&gt;"")),FALSE,"")</f>
        <v>#REF!</v>
      </c>
      <c r="Y46" s="42" t="e">
        <f>IF(AND(B46="",OR(C46&lt;&gt;"",D46&lt;&gt;"",E46&lt;&gt;"",F46&lt;&gt;"",N46&lt;&gt;"",O46&lt;&gt;"",P46&lt;&gt;"",G46&lt;&gt;"",H46&lt;&gt;"",I46&lt;&gt;"",#REF!&lt;&gt;"",#REF!&lt;&gt;"",#REF!&lt;&gt;"",#REF!&lt;&gt;"",#REF!&lt;&gt;"",#REF!&lt;&gt;"",#REF!&lt;&gt;"",J46&lt;&gt;"",K46&lt;&gt;"",L46&lt;&gt;"",M46&lt;&gt;"")),FALSE,"")</f>
        <v>#REF!</v>
      </c>
    </row>
    <row r="47" spans="2:25" ht="15.5" hidden="1" x14ac:dyDescent="0.35">
      <c r="B47" s="31"/>
      <c r="C47" s="50"/>
      <c r="D47" s="49"/>
      <c r="E47" s="34"/>
      <c r="F47" s="35"/>
      <c r="G47" s="43"/>
      <c r="H47" s="43"/>
      <c r="I47" s="36"/>
      <c r="J47" s="43"/>
      <c r="K47" s="43"/>
      <c r="L47" s="36"/>
      <c r="M47" s="43"/>
      <c r="N47" s="37"/>
      <c r="O47" s="44"/>
      <c r="P47" s="43"/>
      <c r="Q47" s="43"/>
      <c r="R47" s="22"/>
      <c r="S47" s="39" t="str">
        <f t="shared" si="3"/>
        <v/>
      </c>
      <c r="T47" s="39" t="str">
        <f t="shared" si="4"/>
        <v/>
      </c>
      <c r="U47" s="39" t="str">
        <f t="shared" si="5"/>
        <v/>
      </c>
      <c r="V47" s="40" t="str">
        <f>IF(M47="","",M47/(P47+G47+H47+I47+#REF!+#REF!+#REF!+#REF!+#REF!+#REF!+#REF!))</f>
        <v/>
      </c>
      <c r="W47" s="41" t="e">
        <f>IF(SUM(P47+G47+H47+I47+#REF!+#REF!+#REF!+#REF!+#REF!+#REF!+#REF!+J47+K47+L47+M47)=D47,"",FALSE)</f>
        <v>#REF!</v>
      </c>
      <c r="X47" s="42" t="e">
        <f>IF(OR(AND(C47="",D47&lt;&gt;""),AND(O47="",P47&lt;&gt;""),AND($G$8="",G47&lt;&gt;""),AND($H$8="",H47&lt;&gt;""),AND($I$8="",I47&lt;&gt;""),AND(#REF!="",#REF!&lt;&gt;""),AND(#REF!="",#REF!&lt;&gt;""),AND(#REF!="",#REF!&lt;&gt;""),AND(#REF!="",#REF!&lt;&gt;""),AND(#REF!="",#REF!&lt;&gt;""),AND(#REF!="",#REF!&lt;&gt;""),AND(#REF!="",#REF!&lt;&gt;""),AND($J$8="",J47&lt;&gt;""),AND($K$8="",K47&lt;&gt;""),AND($L$8="",L47&lt;&gt;""),AND($M$8="",M47&lt;&gt;"")),FALSE,"")</f>
        <v>#REF!</v>
      </c>
      <c r="Y47" s="42" t="e">
        <f>IF(AND(B47="",OR(C47&lt;&gt;"",D47&lt;&gt;"",E47&lt;&gt;"",F47&lt;&gt;"",N47&lt;&gt;"",O47&lt;&gt;"",P47&lt;&gt;"",G47&lt;&gt;"",H47&lt;&gt;"",I47&lt;&gt;"",#REF!&lt;&gt;"",#REF!&lt;&gt;"",#REF!&lt;&gt;"",#REF!&lt;&gt;"",#REF!&lt;&gt;"",#REF!&lt;&gt;"",#REF!&lt;&gt;"",J47&lt;&gt;"",K47&lt;&gt;"",L47&lt;&gt;"",M47&lt;&gt;"")),FALSE,"")</f>
        <v>#REF!</v>
      </c>
    </row>
    <row r="48" spans="2:25" ht="15.5" hidden="1" x14ac:dyDescent="0.35">
      <c r="B48" s="31"/>
      <c r="C48" s="50"/>
      <c r="D48" s="49"/>
      <c r="E48" s="34"/>
      <c r="F48" s="35"/>
      <c r="G48" s="43"/>
      <c r="H48" s="43"/>
      <c r="I48" s="36"/>
      <c r="J48" s="43"/>
      <c r="K48" s="43"/>
      <c r="L48" s="36"/>
      <c r="M48" s="43"/>
      <c r="N48" s="37"/>
      <c r="O48" s="44"/>
      <c r="P48" s="43"/>
      <c r="Q48" s="43"/>
      <c r="R48" s="22"/>
      <c r="S48" s="39" t="str">
        <f t="shared" si="3"/>
        <v/>
      </c>
      <c r="T48" s="39" t="str">
        <f t="shared" si="4"/>
        <v/>
      </c>
      <c r="U48" s="39" t="str">
        <f t="shared" si="5"/>
        <v/>
      </c>
      <c r="V48" s="40" t="str">
        <f>IF(M48="","",M48/(P48+G48+H48+I48+#REF!+#REF!+#REF!+#REF!+#REF!+#REF!+#REF!))</f>
        <v/>
      </c>
      <c r="W48" s="41" t="e">
        <f>IF(SUM(P48+G48+H48+I48+#REF!+#REF!+#REF!+#REF!+#REF!+#REF!+#REF!+J48+K48+L48+M48)=D48,"",FALSE)</f>
        <v>#REF!</v>
      </c>
      <c r="X48" s="42" t="e">
        <f>IF(OR(AND(C48="",D48&lt;&gt;""),AND(O48="",P48&lt;&gt;""),AND($G$8="",G48&lt;&gt;""),AND($H$8="",H48&lt;&gt;""),AND($I$8="",I48&lt;&gt;""),AND(#REF!="",#REF!&lt;&gt;""),AND(#REF!="",#REF!&lt;&gt;""),AND(#REF!="",#REF!&lt;&gt;""),AND(#REF!="",#REF!&lt;&gt;""),AND(#REF!="",#REF!&lt;&gt;""),AND(#REF!="",#REF!&lt;&gt;""),AND(#REF!="",#REF!&lt;&gt;""),AND($J$8="",J48&lt;&gt;""),AND($K$8="",K48&lt;&gt;""),AND($L$8="",L48&lt;&gt;""),AND($M$8="",M48&lt;&gt;"")),FALSE,"")</f>
        <v>#REF!</v>
      </c>
      <c r="Y48" s="42" t="e">
        <f>IF(AND(B48="",OR(C48&lt;&gt;"",D48&lt;&gt;"",E48&lt;&gt;"",F48&lt;&gt;"",N48&lt;&gt;"",O48&lt;&gt;"",P48&lt;&gt;"",G48&lt;&gt;"",H48&lt;&gt;"",I48&lt;&gt;"",#REF!&lt;&gt;"",#REF!&lt;&gt;"",#REF!&lt;&gt;"",#REF!&lt;&gt;"",#REF!&lt;&gt;"",#REF!&lt;&gt;"",#REF!&lt;&gt;"",J48&lt;&gt;"",K48&lt;&gt;"",L48&lt;&gt;"",M48&lt;&gt;"")),FALSE,"")</f>
        <v>#REF!</v>
      </c>
    </row>
    <row r="49" spans="2:25" ht="15.5" hidden="1" x14ac:dyDescent="0.35">
      <c r="B49" s="31"/>
      <c r="C49" s="50"/>
      <c r="D49" s="49"/>
      <c r="E49" s="34"/>
      <c r="F49" s="35"/>
      <c r="G49" s="43"/>
      <c r="H49" s="43"/>
      <c r="I49" s="36"/>
      <c r="J49" s="43"/>
      <c r="K49" s="43"/>
      <c r="L49" s="36"/>
      <c r="M49" s="43"/>
      <c r="N49" s="37"/>
      <c r="O49" s="44"/>
      <c r="P49" s="43"/>
      <c r="Q49" s="43"/>
      <c r="R49" s="22"/>
      <c r="S49" s="39" t="str">
        <f t="shared" si="3"/>
        <v/>
      </c>
      <c r="T49" s="39" t="str">
        <f t="shared" si="4"/>
        <v/>
      </c>
      <c r="U49" s="39" t="str">
        <f t="shared" si="5"/>
        <v/>
      </c>
      <c r="V49" s="40" t="str">
        <f>IF(M49="","",M49/(P49+G49+H49+I49+#REF!+#REF!+#REF!+#REF!+#REF!+#REF!+#REF!))</f>
        <v/>
      </c>
      <c r="W49" s="41" t="e">
        <f>IF(SUM(P49+G49+H49+I49+#REF!+#REF!+#REF!+#REF!+#REF!+#REF!+#REF!+J49+K49+L49+M49)=D49,"",FALSE)</f>
        <v>#REF!</v>
      </c>
      <c r="X49" s="42" t="e">
        <f>IF(OR(AND(C49="",D49&lt;&gt;""),AND(O49="",P49&lt;&gt;""),AND($G$8="",G49&lt;&gt;""),AND($H$8="",H49&lt;&gt;""),AND($I$8="",I49&lt;&gt;""),AND(#REF!="",#REF!&lt;&gt;""),AND(#REF!="",#REF!&lt;&gt;""),AND(#REF!="",#REF!&lt;&gt;""),AND(#REF!="",#REF!&lt;&gt;""),AND(#REF!="",#REF!&lt;&gt;""),AND(#REF!="",#REF!&lt;&gt;""),AND(#REF!="",#REF!&lt;&gt;""),AND($J$8="",J49&lt;&gt;""),AND($K$8="",K49&lt;&gt;""),AND($L$8="",L49&lt;&gt;""),AND($M$8="",M49&lt;&gt;"")),FALSE,"")</f>
        <v>#REF!</v>
      </c>
      <c r="Y49" s="42" t="e">
        <f>IF(AND(B49="",OR(C49&lt;&gt;"",D49&lt;&gt;"",E49&lt;&gt;"",F49&lt;&gt;"",N49&lt;&gt;"",O49&lt;&gt;"",P49&lt;&gt;"",G49&lt;&gt;"",H49&lt;&gt;"",I49&lt;&gt;"",#REF!&lt;&gt;"",#REF!&lt;&gt;"",#REF!&lt;&gt;"",#REF!&lt;&gt;"",#REF!&lt;&gt;"",#REF!&lt;&gt;"",#REF!&lt;&gt;"",J49&lt;&gt;"",K49&lt;&gt;"",L49&lt;&gt;"",M49&lt;&gt;"")),FALSE,"")</f>
        <v>#REF!</v>
      </c>
    </row>
    <row r="50" spans="2:25" ht="15.5" hidden="1" x14ac:dyDescent="0.35">
      <c r="B50" s="31"/>
      <c r="C50" s="50"/>
      <c r="D50" s="49"/>
      <c r="E50" s="34"/>
      <c r="F50" s="35"/>
      <c r="G50" s="43"/>
      <c r="H50" s="43"/>
      <c r="I50" s="36"/>
      <c r="J50" s="43"/>
      <c r="K50" s="43"/>
      <c r="L50" s="36"/>
      <c r="M50" s="43"/>
      <c r="N50" s="37"/>
      <c r="O50" s="44"/>
      <c r="P50" s="43"/>
      <c r="Q50" s="43"/>
      <c r="R50" s="22"/>
      <c r="S50" s="39" t="str">
        <f t="shared" si="3"/>
        <v/>
      </c>
      <c r="T50" s="39" t="str">
        <f t="shared" si="4"/>
        <v/>
      </c>
      <c r="U50" s="39" t="str">
        <f t="shared" si="5"/>
        <v/>
      </c>
      <c r="V50" s="40" t="str">
        <f>IF(M50="","",M50/(P50+G50+H50+I50+#REF!+#REF!+#REF!+#REF!+#REF!+#REF!+#REF!))</f>
        <v/>
      </c>
      <c r="W50" s="41" t="e">
        <f>IF(SUM(P50+G50+H50+I50+#REF!+#REF!+#REF!+#REF!+#REF!+#REF!+#REF!+J50+K50+L50+M50)=D50,"",FALSE)</f>
        <v>#REF!</v>
      </c>
      <c r="X50" s="42" t="e">
        <f>IF(OR(AND(C50="",D50&lt;&gt;""),AND(O50="",P50&lt;&gt;""),AND($G$8="",G50&lt;&gt;""),AND($H$8="",H50&lt;&gt;""),AND($I$8="",I50&lt;&gt;""),AND(#REF!="",#REF!&lt;&gt;""),AND(#REF!="",#REF!&lt;&gt;""),AND(#REF!="",#REF!&lt;&gt;""),AND(#REF!="",#REF!&lt;&gt;""),AND(#REF!="",#REF!&lt;&gt;""),AND(#REF!="",#REF!&lt;&gt;""),AND(#REF!="",#REF!&lt;&gt;""),AND($J$8="",J50&lt;&gt;""),AND($K$8="",K50&lt;&gt;""),AND($L$8="",L50&lt;&gt;""),AND($M$8="",M50&lt;&gt;"")),FALSE,"")</f>
        <v>#REF!</v>
      </c>
      <c r="Y50" s="42" t="e">
        <f>IF(AND(B50="",OR(C50&lt;&gt;"",D50&lt;&gt;"",E50&lt;&gt;"",F50&lt;&gt;"",N50&lt;&gt;"",O50&lt;&gt;"",P50&lt;&gt;"",G50&lt;&gt;"",H50&lt;&gt;"",I50&lt;&gt;"",#REF!&lt;&gt;"",#REF!&lt;&gt;"",#REF!&lt;&gt;"",#REF!&lt;&gt;"",#REF!&lt;&gt;"",#REF!&lt;&gt;"",#REF!&lt;&gt;"",J50&lt;&gt;"",K50&lt;&gt;"",L50&lt;&gt;"",M50&lt;&gt;"")),FALSE,"")</f>
        <v>#REF!</v>
      </c>
    </row>
    <row r="51" spans="2:25" ht="15.5" hidden="1" x14ac:dyDescent="0.35">
      <c r="B51" s="31"/>
      <c r="C51" s="50"/>
      <c r="D51" s="49"/>
      <c r="E51" s="34"/>
      <c r="F51" s="35"/>
      <c r="G51" s="43"/>
      <c r="H51" s="43"/>
      <c r="I51" s="36"/>
      <c r="J51" s="43"/>
      <c r="K51" s="43"/>
      <c r="L51" s="36"/>
      <c r="M51" s="43"/>
      <c r="N51" s="37"/>
      <c r="O51" s="44"/>
      <c r="P51" s="43"/>
      <c r="Q51" s="43"/>
      <c r="R51" s="22"/>
      <c r="S51" s="39" t="str">
        <f t="shared" si="3"/>
        <v/>
      </c>
      <c r="T51" s="39" t="str">
        <f t="shared" si="4"/>
        <v/>
      </c>
      <c r="U51" s="39" t="str">
        <f t="shared" si="5"/>
        <v/>
      </c>
      <c r="V51" s="40" t="str">
        <f>IF(M51="","",M51/(P51+G51+H51+I51+#REF!+#REF!+#REF!+#REF!+#REF!+#REF!+#REF!))</f>
        <v/>
      </c>
      <c r="W51" s="41" t="e">
        <f>IF(SUM(P51+G51+H51+I51+#REF!+#REF!+#REF!+#REF!+#REF!+#REF!+#REF!+J51+K51+L51+M51)=D51,"",FALSE)</f>
        <v>#REF!</v>
      </c>
      <c r="X51" s="42" t="e">
        <f>IF(OR(AND(C51="",D51&lt;&gt;""),AND(O51="",P51&lt;&gt;""),AND($G$8="",G51&lt;&gt;""),AND($H$8="",H51&lt;&gt;""),AND($I$8="",I51&lt;&gt;""),AND(#REF!="",#REF!&lt;&gt;""),AND(#REF!="",#REF!&lt;&gt;""),AND(#REF!="",#REF!&lt;&gt;""),AND(#REF!="",#REF!&lt;&gt;""),AND(#REF!="",#REF!&lt;&gt;""),AND(#REF!="",#REF!&lt;&gt;""),AND(#REF!="",#REF!&lt;&gt;""),AND($J$8="",J51&lt;&gt;""),AND($K$8="",K51&lt;&gt;""),AND($L$8="",L51&lt;&gt;""),AND($M$8="",M51&lt;&gt;"")),FALSE,"")</f>
        <v>#REF!</v>
      </c>
      <c r="Y51" s="42" t="e">
        <f>IF(AND(B51="",OR(C51&lt;&gt;"",D51&lt;&gt;"",E51&lt;&gt;"",F51&lt;&gt;"",N51&lt;&gt;"",O51&lt;&gt;"",P51&lt;&gt;"",G51&lt;&gt;"",H51&lt;&gt;"",I51&lt;&gt;"",#REF!&lt;&gt;"",#REF!&lt;&gt;"",#REF!&lt;&gt;"",#REF!&lt;&gt;"",#REF!&lt;&gt;"",#REF!&lt;&gt;"",#REF!&lt;&gt;"",J51&lt;&gt;"",K51&lt;&gt;"",L51&lt;&gt;"",M51&lt;&gt;"")),FALSE,"")</f>
        <v>#REF!</v>
      </c>
    </row>
    <row r="52" spans="2:25" ht="15.5" hidden="1" x14ac:dyDescent="0.35">
      <c r="B52" s="31"/>
      <c r="C52" s="50"/>
      <c r="D52" s="49"/>
      <c r="E52" s="34"/>
      <c r="F52" s="35"/>
      <c r="G52" s="43"/>
      <c r="H52" s="43"/>
      <c r="I52" s="36"/>
      <c r="J52" s="43"/>
      <c r="K52" s="43"/>
      <c r="L52" s="36"/>
      <c r="M52" s="43"/>
      <c r="N52" s="37"/>
      <c r="O52" s="44"/>
      <c r="P52" s="43"/>
      <c r="Q52" s="43"/>
      <c r="R52" s="22"/>
      <c r="S52" s="39" t="str">
        <f t="shared" si="3"/>
        <v/>
      </c>
      <c r="T52" s="39" t="str">
        <f t="shared" si="4"/>
        <v/>
      </c>
      <c r="U52" s="39" t="str">
        <f t="shared" si="5"/>
        <v/>
      </c>
      <c r="V52" s="40" t="str">
        <f>IF(M52="","",M52/(P52+G52+H52+I52+#REF!+#REF!+#REF!+#REF!+#REF!+#REF!+#REF!))</f>
        <v/>
      </c>
      <c r="W52" s="41" t="e">
        <f>IF(SUM(P52+G52+H52+I52+#REF!+#REF!+#REF!+#REF!+#REF!+#REF!+#REF!+J52+K52+L52+M52)=D52,"",FALSE)</f>
        <v>#REF!</v>
      </c>
      <c r="X52" s="42" t="e">
        <f>IF(OR(AND(C52="",D52&lt;&gt;""),AND(O52="",P52&lt;&gt;""),AND($G$8="",G52&lt;&gt;""),AND($H$8="",H52&lt;&gt;""),AND($I$8="",I52&lt;&gt;""),AND(#REF!="",#REF!&lt;&gt;""),AND(#REF!="",#REF!&lt;&gt;""),AND(#REF!="",#REF!&lt;&gt;""),AND(#REF!="",#REF!&lt;&gt;""),AND(#REF!="",#REF!&lt;&gt;""),AND(#REF!="",#REF!&lt;&gt;""),AND(#REF!="",#REF!&lt;&gt;""),AND($J$8="",J52&lt;&gt;""),AND($K$8="",K52&lt;&gt;""),AND($L$8="",L52&lt;&gt;""),AND($M$8="",M52&lt;&gt;"")),FALSE,"")</f>
        <v>#REF!</v>
      </c>
      <c r="Y52" s="42" t="e">
        <f>IF(AND(B52="",OR(C52&lt;&gt;"",D52&lt;&gt;"",E52&lt;&gt;"",F52&lt;&gt;"",N52&lt;&gt;"",O52&lt;&gt;"",P52&lt;&gt;"",G52&lt;&gt;"",H52&lt;&gt;"",I52&lt;&gt;"",#REF!&lt;&gt;"",#REF!&lt;&gt;"",#REF!&lt;&gt;"",#REF!&lt;&gt;"",#REF!&lt;&gt;"",#REF!&lt;&gt;"",#REF!&lt;&gt;"",J52&lt;&gt;"",K52&lt;&gt;"",L52&lt;&gt;"",M52&lt;&gt;"")),FALSE,"")</f>
        <v>#REF!</v>
      </c>
    </row>
    <row r="53" spans="2:25" ht="15.5" hidden="1" x14ac:dyDescent="0.35">
      <c r="B53" s="31"/>
      <c r="C53" s="50"/>
      <c r="D53" s="49"/>
      <c r="E53" s="34"/>
      <c r="F53" s="35"/>
      <c r="G53" s="43"/>
      <c r="H53" s="43"/>
      <c r="I53" s="36"/>
      <c r="J53" s="43"/>
      <c r="K53" s="43"/>
      <c r="L53" s="36"/>
      <c r="M53" s="43"/>
      <c r="N53" s="37"/>
      <c r="O53" s="44"/>
      <c r="P53" s="43"/>
      <c r="Q53" s="43"/>
      <c r="R53" s="22"/>
      <c r="S53" s="39" t="str">
        <f t="shared" si="3"/>
        <v/>
      </c>
      <c r="T53" s="39" t="str">
        <f t="shared" si="4"/>
        <v/>
      </c>
      <c r="U53" s="39" t="str">
        <f t="shared" si="5"/>
        <v/>
      </c>
      <c r="V53" s="40" t="str">
        <f>IF(M53="","",M53/(P53+G53+H53+I53+#REF!+#REF!+#REF!+#REF!+#REF!+#REF!+#REF!))</f>
        <v/>
      </c>
      <c r="W53" s="41" t="e">
        <f>IF(SUM(P53+G53+H53+I53+#REF!+#REF!+#REF!+#REF!+#REF!+#REF!+#REF!+J53+K53+L53+M53)=D53,"",FALSE)</f>
        <v>#REF!</v>
      </c>
      <c r="X53" s="42" t="e">
        <f>IF(OR(AND(C53="",D53&lt;&gt;""),AND(O53="",P53&lt;&gt;""),AND($G$8="",G53&lt;&gt;""),AND($H$8="",H53&lt;&gt;""),AND($I$8="",I53&lt;&gt;""),AND(#REF!="",#REF!&lt;&gt;""),AND(#REF!="",#REF!&lt;&gt;""),AND(#REF!="",#REF!&lt;&gt;""),AND(#REF!="",#REF!&lt;&gt;""),AND(#REF!="",#REF!&lt;&gt;""),AND(#REF!="",#REF!&lt;&gt;""),AND(#REF!="",#REF!&lt;&gt;""),AND($J$8="",J53&lt;&gt;""),AND($K$8="",K53&lt;&gt;""),AND($L$8="",L53&lt;&gt;""),AND($M$8="",M53&lt;&gt;"")),FALSE,"")</f>
        <v>#REF!</v>
      </c>
      <c r="Y53" s="42" t="e">
        <f>IF(AND(B53="",OR(C53&lt;&gt;"",D53&lt;&gt;"",E53&lt;&gt;"",F53&lt;&gt;"",N53&lt;&gt;"",O53&lt;&gt;"",P53&lt;&gt;"",G53&lt;&gt;"",H53&lt;&gt;"",I53&lt;&gt;"",#REF!&lt;&gt;"",#REF!&lt;&gt;"",#REF!&lt;&gt;"",#REF!&lt;&gt;"",#REF!&lt;&gt;"",#REF!&lt;&gt;"",#REF!&lt;&gt;"",J53&lt;&gt;"",K53&lt;&gt;"",L53&lt;&gt;"",M53&lt;&gt;"")),FALSE,"")</f>
        <v>#REF!</v>
      </c>
    </row>
    <row r="54" spans="2:25" ht="15.5" hidden="1" x14ac:dyDescent="0.35">
      <c r="B54" s="31"/>
      <c r="C54" s="50"/>
      <c r="D54" s="49"/>
      <c r="E54" s="34"/>
      <c r="F54" s="35"/>
      <c r="G54" s="43"/>
      <c r="H54" s="43"/>
      <c r="I54" s="36"/>
      <c r="J54" s="43"/>
      <c r="K54" s="43"/>
      <c r="L54" s="36"/>
      <c r="M54" s="43"/>
      <c r="N54" s="37"/>
      <c r="O54" s="44"/>
      <c r="P54" s="43"/>
      <c r="Q54" s="43"/>
      <c r="R54" s="22"/>
      <c r="S54" s="39" t="str">
        <f t="shared" si="3"/>
        <v/>
      </c>
      <c r="T54" s="39" t="str">
        <f t="shared" si="4"/>
        <v/>
      </c>
      <c r="U54" s="39" t="str">
        <f t="shared" si="5"/>
        <v/>
      </c>
      <c r="V54" s="40" t="str">
        <f>IF(M54="","",M54/(P54+G54+H54+I54+#REF!+#REF!+#REF!+#REF!+#REF!+#REF!+#REF!))</f>
        <v/>
      </c>
      <c r="W54" s="41" t="e">
        <f>IF(SUM(P54+G54+H54+I54+#REF!+#REF!+#REF!+#REF!+#REF!+#REF!+#REF!+J54+K54+L54+M54)=D54,"",FALSE)</f>
        <v>#REF!</v>
      </c>
      <c r="X54" s="42" t="e">
        <f>IF(OR(AND(C54="",D54&lt;&gt;""),AND(O54="",P54&lt;&gt;""),AND($G$8="",G54&lt;&gt;""),AND($H$8="",H54&lt;&gt;""),AND($I$8="",I54&lt;&gt;""),AND(#REF!="",#REF!&lt;&gt;""),AND(#REF!="",#REF!&lt;&gt;""),AND(#REF!="",#REF!&lt;&gt;""),AND(#REF!="",#REF!&lt;&gt;""),AND(#REF!="",#REF!&lt;&gt;""),AND(#REF!="",#REF!&lt;&gt;""),AND(#REF!="",#REF!&lt;&gt;""),AND($J$8="",J54&lt;&gt;""),AND($K$8="",K54&lt;&gt;""),AND($L$8="",L54&lt;&gt;""),AND($M$8="",M54&lt;&gt;"")),FALSE,"")</f>
        <v>#REF!</v>
      </c>
      <c r="Y54" s="42" t="e">
        <f>IF(AND(B54="",OR(C54&lt;&gt;"",D54&lt;&gt;"",E54&lt;&gt;"",F54&lt;&gt;"",N54&lt;&gt;"",O54&lt;&gt;"",P54&lt;&gt;"",G54&lt;&gt;"",H54&lt;&gt;"",I54&lt;&gt;"",#REF!&lt;&gt;"",#REF!&lt;&gt;"",#REF!&lt;&gt;"",#REF!&lt;&gt;"",#REF!&lt;&gt;"",#REF!&lt;&gt;"",#REF!&lt;&gt;"",J54&lt;&gt;"",K54&lt;&gt;"",L54&lt;&gt;"",M54&lt;&gt;"")),FALSE,"")</f>
        <v>#REF!</v>
      </c>
    </row>
    <row r="55" spans="2:25" ht="15.5" hidden="1" x14ac:dyDescent="0.35">
      <c r="B55" s="31"/>
      <c r="C55" s="50"/>
      <c r="D55" s="49"/>
      <c r="E55" s="34"/>
      <c r="F55" s="35"/>
      <c r="G55" s="43"/>
      <c r="H55" s="43"/>
      <c r="I55" s="36"/>
      <c r="J55" s="43"/>
      <c r="K55" s="43"/>
      <c r="L55" s="36"/>
      <c r="M55" s="43"/>
      <c r="N55" s="37"/>
      <c r="O55" s="44"/>
      <c r="P55" s="43"/>
      <c r="Q55" s="43"/>
      <c r="R55" s="22"/>
      <c r="S55" s="39" t="str">
        <f t="shared" si="3"/>
        <v/>
      </c>
      <c r="T55" s="39" t="str">
        <f t="shared" si="4"/>
        <v/>
      </c>
      <c r="U55" s="39" t="str">
        <f t="shared" si="5"/>
        <v/>
      </c>
      <c r="V55" s="40" t="str">
        <f>IF(M55="","",M55/(P55+G55+H55+I55+#REF!+#REF!+#REF!+#REF!+#REF!+#REF!+#REF!))</f>
        <v/>
      </c>
      <c r="W55" s="41" t="e">
        <f>IF(SUM(P55+G55+H55+I55+#REF!+#REF!+#REF!+#REF!+#REF!+#REF!+#REF!+J55+K55+L55+M55)=D55,"",FALSE)</f>
        <v>#REF!</v>
      </c>
      <c r="X55" s="42" t="e">
        <f>IF(OR(AND(C55="",D55&lt;&gt;""),AND(O55="",P55&lt;&gt;""),AND($G$8="",G55&lt;&gt;""),AND($H$8="",H55&lt;&gt;""),AND($I$8="",I55&lt;&gt;""),AND(#REF!="",#REF!&lt;&gt;""),AND(#REF!="",#REF!&lt;&gt;""),AND(#REF!="",#REF!&lt;&gt;""),AND(#REF!="",#REF!&lt;&gt;""),AND(#REF!="",#REF!&lt;&gt;""),AND(#REF!="",#REF!&lt;&gt;""),AND(#REF!="",#REF!&lt;&gt;""),AND($J$8="",J55&lt;&gt;""),AND($K$8="",K55&lt;&gt;""),AND($L$8="",L55&lt;&gt;""),AND($M$8="",M55&lt;&gt;"")),FALSE,"")</f>
        <v>#REF!</v>
      </c>
      <c r="Y55" s="42" t="e">
        <f>IF(AND(B55="",OR(C55&lt;&gt;"",D55&lt;&gt;"",E55&lt;&gt;"",F55&lt;&gt;"",N55&lt;&gt;"",O55&lt;&gt;"",P55&lt;&gt;"",G55&lt;&gt;"",H55&lt;&gt;"",I55&lt;&gt;"",#REF!&lt;&gt;"",#REF!&lt;&gt;"",#REF!&lt;&gt;"",#REF!&lt;&gt;"",#REF!&lt;&gt;"",#REF!&lt;&gt;"",#REF!&lt;&gt;"",J55&lt;&gt;"",K55&lt;&gt;"",L55&lt;&gt;"",M55&lt;&gt;"")),FALSE,"")</f>
        <v>#REF!</v>
      </c>
    </row>
    <row r="56" spans="2:25" ht="15.5" hidden="1" x14ac:dyDescent="0.35">
      <c r="B56" s="31"/>
      <c r="C56" s="50"/>
      <c r="D56" s="49"/>
      <c r="E56" s="34"/>
      <c r="F56" s="35"/>
      <c r="G56" s="43"/>
      <c r="H56" s="43"/>
      <c r="I56" s="36"/>
      <c r="J56" s="43"/>
      <c r="K56" s="43"/>
      <c r="L56" s="36"/>
      <c r="M56" s="43"/>
      <c r="N56" s="37"/>
      <c r="O56" s="44"/>
      <c r="P56" s="43"/>
      <c r="Q56" s="43"/>
      <c r="R56" s="22"/>
      <c r="S56" s="39" t="str">
        <f t="shared" si="3"/>
        <v/>
      </c>
      <c r="T56" s="39" t="str">
        <f t="shared" si="4"/>
        <v/>
      </c>
      <c r="U56" s="39" t="str">
        <f t="shared" si="5"/>
        <v/>
      </c>
      <c r="V56" s="40" t="str">
        <f>IF(M56="","",M56/(P56+G56+H56+I56+#REF!+#REF!+#REF!+#REF!+#REF!+#REF!+#REF!))</f>
        <v/>
      </c>
      <c r="W56" s="41" t="e">
        <f>IF(SUM(P56+G56+H56+I56+#REF!+#REF!+#REF!+#REF!+#REF!+#REF!+#REF!+J56+K56+L56+M56)=D56,"",FALSE)</f>
        <v>#REF!</v>
      </c>
      <c r="X56" s="42" t="e">
        <f>IF(OR(AND(C56="",D56&lt;&gt;""),AND(O56="",P56&lt;&gt;""),AND($G$8="",G56&lt;&gt;""),AND($H$8="",H56&lt;&gt;""),AND($I$8="",I56&lt;&gt;""),AND(#REF!="",#REF!&lt;&gt;""),AND(#REF!="",#REF!&lt;&gt;""),AND(#REF!="",#REF!&lt;&gt;""),AND(#REF!="",#REF!&lt;&gt;""),AND(#REF!="",#REF!&lt;&gt;""),AND(#REF!="",#REF!&lt;&gt;""),AND(#REF!="",#REF!&lt;&gt;""),AND($J$8="",J56&lt;&gt;""),AND($K$8="",K56&lt;&gt;""),AND($L$8="",L56&lt;&gt;""),AND($M$8="",M56&lt;&gt;"")),FALSE,"")</f>
        <v>#REF!</v>
      </c>
      <c r="Y56" s="42" t="e">
        <f>IF(AND(B56="",OR(C56&lt;&gt;"",D56&lt;&gt;"",E56&lt;&gt;"",F56&lt;&gt;"",N56&lt;&gt;"",O56&lt;&gt;"",P56&lt;&gt;"",G56&lt;&gt;"",H56&lt;&gt;"",I56&lt;&gt;"",#REF!&lt;&gt;"",#REF!&lt;&gt;"",#REF!&lt;&gt;"",#REF!&lt;&gt;"",#REF!&lt;&gt;"",#REF!&lt;&gt;"",#REF!&lt;&gt;"",J56&lt;&gt;"",K56&lt;&gt;"",L56&lt;&gt;"",M56&lt;&gt;"")),FALSE,"")</f>
        <v>#REF!</v>
      </c>
    </row>
    <row r="57" spans="2:25" ht="15.5" hidden="1" x14ac:dyDescent="0.35">
      <c r="B57" s="31"/>
      <c r="C57" s="50"/>
      <c r="D57" s="49"/>
      <c r="E57" s="34"/>
      <c r="F57" s="35"/>
      <c r="G57" s="43"/>
      <c r="H57" s="43"/>
      <c r="I57" s="36"/>
      <c r="J57" s="43"/>
      <c r="K57" s="43"/>
      <c r="L57" s="36"/>
      <c r="M57" s="43"/>
      <c r="N57" s="37"/>
      <c r="O57" s="44"/>
      <c r="P57" s="43"/>
      <c r="Q57" s="43"/>
      <c r="R57" s="22"/>
      <c r="S57" s="39" t="str">
        <f t="shared" si="3"/>
        <v/>
      </c>
      <c r="T57" s="39" t="str">
        <f t="shared" si="4"/>
        <v/>
      </c>
      <c r="U57" s="39" t="str">
        <f t="shared" si="5"/>
        <v/>
      </c>
      <c r="V57" s="40" t="str">
        <f>IF(M57="","",M57/(P57+G57+H57+I57+#REF!+#REF!+#REF!+#REF!+#REF!+#REF!+#REF!))</f>
        <v/>
      </c>
      <c r="W57" s="41" t="e">
        <f>IF(SUM(P57+G57+H57+I57+#REF!+#REF!+#REF!+#REF!+#REF!+#REF!+#REF!+J57+K57+L57+M57)=D57,"",FALSE)</f>
        <v>#REF!</v>
      </c>
      <c r="X57" s="42" t="e">
        <f>IF(OR(AND(C57="",D57&lt;&gt;""),AND(O57="",P57&lt;&gt;""),AND($G$8="",G57&lt;&gt;""),AND($H$8="",H57&lt;&gt;""),AND($I$8="",I57&lt;&gt;""),AND(#REF!="",#REF!&lt;&gt;""),AND(#REF!="",#REF!&lt;&gt;""),AND(#REF!="",#REF!&lt;&gt;""),AND(#REF!="",#REF!&lt;&gt;""),AND(#REF!="",#REF!&lt;&gt;""),AND(#REF!="",#REF!&lt;&gt;""),AND(#REF!="",#REF!&lt;&gt;""),AND($J$8="",J57&lt;&gt;""),AND($K$8="",K57&lt;&gt;""),AND($L$8="",L57&lt;&gt;""),AND($M$8="",M57&lt;&gt;"")),FALSE,"")</f>
        <v>#REF!</v>
      </c>
      <c r="Y57" s="42" t="e">
        <f>IF(AND(B57="",OR(C57&lt;&gt;"",D57&lt;&gt;"",E57&lt;&gt;"",F57&lt;&gt;"",N57&lt;&gt;"",O57&lt;&gt;"",P57&lt;&gt;"",G57&lt;&gt;"",H57&lt;&gt;"",I57&lt;&gt;"",#REF!&lt;&gt;"",#REF!&lt;&gt;"",#REF!&lt;&gt;"",#REF!&lt;&gt;"",#REF!&lt;&gt;"",#REF!&lt;&gt;"",#REF!&lt;&gt;"",J57&lt;&gt;"",K57&lt;&gt;"",L57&lt;&gt;"",M57&lt;&gt;"")),FALSE,"")</f>
        <v>#REF!</v>
      </c>
    </row>
    <row r="58" spans="2:25" ht="15.5" hidden="1" x14ac:dyDescent="0.35">
      <c r="B58" s="31"/>
      <c r="C58" s="50"/>
      <c r="D58" s="49"/>
      <c r="E58" s="34"/>
      <c r="F58" s="35"/>
      <c r="G58" s="43"/>
      <c r="H58" s="43"/>
      <c r="I58" s="36"/>
      <c r="J58" s="43"/>
      <c r="K58" s="43"/>
      <c r="L58" s="36"/>
      <c r="M58" s="43"/>
      <c r="N58" s="37"/>
      <c r="O58" s="44"/>
      <c r="P58" s="43"/>
      <c r="Q58" s="43"/>
      <c r="R58" s="22"/>
      <c r="S58" s="39" t="str">
        <f t="shared" si="3"/>
        <v/>
      </c>
      <c r="T58" s="39" t="str">
        <f t="shared" si="4"/>
        <v/>
      </c>
      <c r="U58" s="39" t="str">
        <f t="shared" si="5"/>
        <v/>
      </c>
      <c r="V58" s="40" t="str">
        <f>IF(M58="","",M58/(P58+G58+H58+I58+#REF!+#REF!+#REF!+#REF!+#REF!+#REF!+#REF!))</f>
        <v/>
      </c>
      <c r="W58" s="41" t="e">
        <f>IF(SUM(P58+G58+H58+I58+#REF!+#REF!+#REF!+#REF!+#REF!+#REF!+#REF!+J58+K58+L58+M58)=D58,"",FALSE)</f>
        <v>#REF!</v>
      </c>
      <c r="X58" s="42" t="e">
        <f>IF(OR(AND(C58="",D58&lt;&gt;""),AND(O58="",P58&lt;&gt;""),AND($G$8="",G58&lt;&gt;""),AND($H$8="",H58&lt;&gt;""),AND($I$8="",I58&lt;&gt;""),AND(#REF!="",#REF!&lt;&gt;""),AND(#REF!="",#REF!&lt;&gt;""),AND(#REF!="",#REF!&lt;&gt;""),AND(#REF!="",#REF!&lt;&gt;""),AND(#REF!="",#REF!&lt;&gt;""),AND(#REF!="",#REF!&lt;&gt;""),AND(#REF!="",#REF!&lt;&gt;""),AND($J$8="",J58&lt;&gt;""),AND($K$8="",K58&lt;&gt;""),AND($L$8="",L58&lt;&gt;""),AND($M$8="",M58&lt;&gt;"")),FALSE,"")</f>
        <v>#REF!</v>
      </c>
      <c r="Y58" s="42" t="e">
        <f>IF(AND(B58="",OR(C58&lt;&gt;"",D58&lt;&gt;"",E58&lt;&gt;"",F58&lt;&gt;"",N58&lt;&gt;"",O58&lt;&gt;"",P58&lt;&gt;"",G58&lt;&gt;"",H58&lt;&gt;"",I58&lt;&gt;"",#REF!&lt;&gt;"",#REF!&lt;&gt;"",#REF!&lt;&gt;"",#REF!&lt;&gt;"",#REF!&lt;&gt;"",#REF!&lt;&gt;"",#REF!&lt;&gt;"",J58&lt;&gt;"",K58&lt;&gt;"",L58&lt;&gt;"",M58&lt;&gt;"")),FALSE,"")</f>
        <v>#REF!</v>
      </c>
    </row>
    <row r="59" spans="2:25" ht="15.5" hidden="1" x14ac:dyDescent="0.35">
      <c r="B59" s="31"/>
      <c r="C59" s="50"/>
      <c r="D59" s="49"/>
      <c r="E59" s="34"/>
      <c r="F59" s="35"/>
      <c r="G59" s="43"/>
      <c r="H59" s="43"/>
      <c r="I59" s="36"/>
      <c r="J59" s="43"/>
      <c r="K59" s="43"/>
      <c r="L59" s="36"/>
      <c r="M59" s="43"/>
      <c r="N59" s="37"/>
      <c r="O59" s="44"/>
      <c r="P59" s="43"/>
      <c r="Q59" s="43"/>
      <c r="R59" s="22"/>
      <c r="S59" s="39" t="str">
        <f t="shared" si="3"/>
        <v/>
      </c>
      <c r="T59" s="39" t="str">
        <f t="shared" si="4"/>
        <v/>
      </c>
      <c r="U59" s="39" t="str">
        <f t="shared" si="5"/>
        <v/>
      </c>
      <c r="V59" s="40" t="str">
        <f>IF(M59="","",M59/(P59+G59+H59+I59+#REF!+#REF!+#REF!+#REF!+#REF!+#REF!+#REF!))</f>
        <v/>
      </c>
      <c r="W59" s="41" t="e">
        <f>IF(SUM(P59+G59+H59+I59+#REF!+#REF!+#REF!+#REF!+#REF!+#REF!+#REF!+J59+K59+L59+M59)=D59,"",FALSE)</f>
        <v>#REF!</v>
      </c>
      <c r="X59" s="42" t="e">
        <f>IF(OR(AND(C59="",D59&lt;&gt;""),AND(O59="",P59&lt;&gt;""),AND($G$8="",G59&lt;&gt;""),AND($H$8="",H59&lt;&gt;""),AND($I$8="",I59&lt;&gt;""),AND(#REF!="",#REF!&lt;&gt;""),AND(#REF!="",#REF!&lt;&gt;""),AND(#REF!="",#REF!&lt;&gt;""),AND(#REF!="",#REF!&lt;&gt;""),AND(#REF!="",#REF!&lt;&gt;""),AND(#REF!="",#REF!&lt;&gt;""),AND(#REF!="",#REF!&lt;&gt;""),AND($J$8="",J59&lt;&gt;""),AND($K$8="",K59&lt;&gt;""),AND($L$8="",L59&lt;&gt;""),AND($M$8="",M59&lt;&gt;"")),FALSE,"")</f>
        <v>#REF!</v>
      </c>
      <c r="Y59" s="42" t="e">
        <f>IF(AND(B59="",OR(C59&lt;&gt;"",D59&lt;&gt;"",E59&lt;&gt;"",F59&lt;&gt;"",N59&lt;&gt;"",O59&lt;&gt;"",P59&lt;&gt;"",G59&lt;&gt;"",H59&lt;&gt;"",I59&lt;&gt;"",#REF!&lt;&gt;"",#REF!&lt;&gt;"",#REF!&lt;&gt;"",#REF!&lt;&gt;"",#REF!&lt;&gt;"",#REF!&lt;&gt;"",#REF!&lt;&gt;"",J59&lt;&gt;"",K59&lt;&gt;"",L59&lt;&gt;"",M59&lt;&gt;"")),FALSE,"")</f>
        <v>#REF!</v>
      </c>
    </row>
    <row r="60" spans="2:25" ht="15.5" hidden="1" x14ac:dyDescent="0.35">
      <c r="B60" s="31"/>
      <c r="C60" s="50"/>
      <c r="D60" s="49"/>
      <c r="E60" s="34"/>
      <c r="F60" s="35"/>
      <c r="G60" s="43"/>
      <c r="H60" s="43"/>
      <c r="I60" s="36"/>
      <c r="J60" s="43"/>
      <c r="K60" s="43"/>
      <c r="L60" s="36"/>
      <c r="M60" s="43"/>
      <c r="N60" s="37"/>
      <c r="O60" s="44"/>
      <c r="P60" s="43"/>
      <c r="Q60" s="43"/>
      <c r="R60" s="22"/>
      <c r="S60" s="39" t="str">
        <f t="shared" si="3"/>
        <v/>
      </c>
      <c r="T60" s="39" t="str">
        <f t="shared" si="4"/>
        <v/>
      </c>
      <c r="U60" s="39" t="str">
        <f t="shared" si="5"/>
        <v/>
      </c>
      <c r="V60" s="40" t="str">
        <f>IF(M60="","",M60/(P60+G60+H60+I60+#REF!+#REF!+#REF!+#REF!+#REF!+#REF!+#REF!))</f>
        <v/>
      </c>
      <c r="W60" s="41" t="e">
        <f>IF(SUM(P60+G60+H60+I60+#REF!+#REF!+#REF!+#REF!+#REF!+#REF!+#REF!+J60+K60+L60+M60)=D60,"",FALSE)</f>
        <v>#REF!</v>
      </c>
      <c r="X60" s="42" t="e">
        <f>IF(OR(AND(C60="",D60&lt;&gt;""),AND(O60="",P60&lt;&gt;""),AND($G$8="",G60&lt;&gt;""),AND($H$8="",H60&lt;&gt;""),AND($I$8="",I60&lt;&gt;""),AND(#REF!="",#REF!&lt;&gt;""),AND(#REF!="",#REF!&lt;&gt;""),AND(#REF!="",#REF!&lt;&gt;""),AND(#REF!="",#REF!&lt;&gt;""),AND(#REF!="",#REF!&lt;&gt;""),AND(#REF!="",#REF!&lt;&gt;""),AND(#REF!="",#REF!&lt;&gt;""),AND($J$8="",J60&lt;&gt;""),AND($K$8="",K60&lt;&gt;""),AND($L$8="",L60&lt;&gt;""),AND($M$8="",M60&lt;&gt;"")),FALSE,"")</f>
        <v>#REF!</v>
      </c>
      <c r="Y60" s="42" t="e">
        <f>IF(AND(B60="",OR(C60&lt;&gt;"",D60&lt;&gt;"",E60&lt;&gt;"",F60&lt;&gt;"",N60&lt;&gt;"",O60&lt;&gt;"",P60&lt;&gt;"",G60&lt;&gt;"",H60&lt;&gt;"",I60&lt;&gt;"",#REF!&lt;&gt;"",#REF!&lt;&gt;"",#REF!&lt;&gt;"",#REF!&lt;&gt;"",#REF!&lt;&gt;"",#REF!&lt;&gt;"",#REF!&lt;&gt;"",J60&lt;&gt;"",K60&lt;&gt;"",L60&lt;&gt;"",M60&lt;&gt;"")),FALSE,"")</f>
        <v>#REF!</v>
      </c>
    </row>
    <row r="61" spans="2:25" ht="15.5" hidden="1" x14ac:dyDescent="0.35">
      <c r="B61" s="31"/>
      <c r="C61" s="50"/>
      <c r="D61" s="49"/>
      <c r="E61" s="34"/>
      <c r="F61" s="35"/>
      <c r="G61" s="43"/>
      <c r="H61" s="43"/>
      <c r="I61" s="36"/>
      <c r="J61" s="43"/>
      <c r="K61" s="43"/>
      <c r="L61" s="36"/>
      <c r="M61" s="43"/>
      <c r="N61" s="37"/>
      <c r="O61" s="44"/>
      <c r="P61" s="43"/>
      <c r="Q61" s="43"/>
      <c r="R61" s="22"/>
      <c r="S61" s="39" t="str">
        <f t="shared" si="3"/>
        <v/>
      </c>
      <c r="T61" s="39" t="str">
        <f t="shared" si="4"/>
        <v/>
      </c>
      <c r="U61" s="39" t="str">
        <f t="shared" si="5"/>
        <v/>
      </c>
      <c r="V61" s="40" t="str">
        <f>IF(M61="","",M61/(P61+G61+H61+I61+#REF!+#REF!+#REF!+#REF!+#REF!+#REF!+#REF!))</f>
        <v/>
      </c>
      <c r="W61" s="41" t="e">
        <f>IF(SUM(P61+G61+H61+I61+#REF!+#REF!+#REF!+#REF!+#REF!+#REF!+#REF!+J61+K61+L61+M61)=D61,"",FALSE)</f>
        <v>#REF!</v>
      </c>
      <c r="X61" s="42" t="e">
        <f>IF(OR(AND(C61="",D61&lt;&gt;""),AND(O61="",P61&lt;&gt;""),AND($G$8="",G61&lt;&gt;""),AND($H$8="",H61&lt;&gt;""),AND($I$8="",I61&lt;&gt;""),AND(#REF!="",#REF!&lt;&gt;""),AND(#REF!="",#REF!&lt;&gt;""),AND(#REF!="",#REF!&lt;&gt;""),AND(#REF!="",#REF!&lt;&gt;""),AND(#REF!="",#REF!&lt;&gt;""),AND(#REF!="",#REF!&lt;&gt;""),AND(#REF!="",#REF!&lt;&gt;""),AND($J$8="",J61&lt;&gt;""),AND($K$8="",K61&lt;&gt;""),AND($L$8="",L61&lt;&gt;""),AND($M$8="",M61&lt;&gt;"")),FALSE,"")</f>
        <v>#REF!</v>
      </c>
      <c r="Y61" s="42" t="e">
        <f>IF(AND(B61="",OR(C61&lt;&gt;"",D61&lt;&gt;"",E61&lt;&gt;"",F61&lt;&gt;"",N61&lt;&gt;"",O61&lt;&gt;"",P61&lt;&gt;"",G61&lt;&gt;"",H61&lt;&gt;"",I61&lt;&gt;"",#REF!&lt;&gt;"",#REF!&lt;&gt;"",#REF!&lt;&gt;"",#REF!&lt;&gt;"",#REF!&lt;&gt;"",#REF!&lt;&gt;"",#REF!&lt;&gt;"",J61&lt;&gt;"",K61&lt;&gt;"",L61&lt;&gt;"",M61&lt;&gt;"")),FALSE,"")</f>
        <v>#REF!</v>
      </c>
    </row>
    <row r="62" spans="2:25" ht="15.5" hidden="1" x14ac:dyDescent="0.35">
      <c r="B62" s="31"/>
      <c r="C62" s="50"/>
      <c r="D62" s="49"/>
      <c r="E62" s="34"/>
      <c r="F62" s="35"/>
      <c r="G62" s="43"/>
      <c r="H62" s="43"/>
      <c r="I62" s="36"/>
      <c r="J62" s="43"/>
      <c r="K62" s="43"/>
      <c r="L62" s="36"/>
      <c r="M62" s="43"/>
      <c r="N62" s="37"/>
      <c r="O62" s="44"/>
      <c r="P62" s="43"/>
      <c r="Q62" s="43"/>
      <c r="R62" s="22"/>
      <c r="S62" s="39" t="str">
        <f t="shared" si="3"/>
        <v/>
      </c>
      <c r="T62" s="39" t="str">
        <f t="shared" si="4"/>
        <v/>
      </c>
      <c r="U62" s="39" t="str">
        <f t="shared" si="5"/>
        <v/>
      </c>
      <c r="V62" s="40" t="str">
        <f>IF(M62="","",M62/(P62+G62+H62+I62+#REF!+#REF!+#REF!+#REF!+#REF!+#REF!+#REF!))</f>
        <v/>
      </c>
      <c r="W62" s="41" t="e">
        <f>IF(SUM(P62+G62+H62+I62+#REF!+#REF!+#REF!+#REF!+#REF!+#REF!+#REF!+J62+K62+L62+M62)=D62,"",FALSE)</f>
        <v>#REF!</v>
      </c>
      <c r="X62" s="42" t="e">
        <f>IF(OR(AND(C62="",D62&lt;&gt;""),AND(O62="",P62&lt;&gt;""),AND($G$8="",G62&lt;&gt;""),AND($H$8="",H62&lt;&gt;""),AND($I$8="",I62&lt;&gt;""),AND(#REF!="",#REF!&lt;&gt;""),AND(#REF!="",#REF!&lt;&gt;""),AND(#REF!="",#REF!&lt;&gt;""),AND(#REF!="",#REF!&lt;&gt;""),AND(#REF!="",#REF!&lt;&gt;""),AND(#REF!="",#REF!&lt;&gt;""),AND(#REF!="",#REF!&lt;&gt;""),AND($J$8="",J62&lt;&gt;""),AND($K$8="",K62&lt;&gt;""),AND($L$8="",L62&lt;&gt;""),AND($M$8="",M62&lt;&gt;"")),FALSE,"")</f>
        <v>#REF!</v>
      </c>
      <c r="Y62" s="42" t="e">
        <f>IF(AND(B62="",OR(C62&lt;&gt;"",D62&lt;&gt;"",E62&lt;&gt;"",F62&lt;&gt;"",N62&lt;&gt;"",O62&lt;&gt;"",P62&lt;&gt;"",G62&lt;&gt;"",H62&lt;&gt;"",I62&lt;&gt;"",#REF!&lt;&gt;"",#REF!&lt;&gt;"",#REF!&lt;&gt;"",#REF!&lt;&gt;"",#REF!&lt;&gt;"",#REF!&lt;&gt;"",#REF!&lt;&gt;"",J62&lt;&gt;"",K62&lt;&gt;"",L62&lt;&gt;"",M62&lt;&gt;"")),FALSE,"")</f>
        <v>#REF!</v>
      </c>
    </row>
    <row r="63" spans="2:25" ht="15.5" hidden="1" x14ac:dyDescent="0.35">
      <c r="B63" s="31"/>
      <c r="C63" s="50"/>
      <c r="D63" s="49"/>
      <c r="E63" s="34"/>
      <c r="F63" s="35"/>
      <c r="G63" s="43"/>
      <c r="H63" s="43"/>
      <c r="I63" s="36"/>
      <c r="J63" s="43"/>
      <c r="K63" s="43"/>
      <c r="L63" s="36"/>
      <c r="M63" s="43"/>
      <c r="N63" s="37"/>
      <c r="O63" s="44"/>
      <c r="P63" s="43"/>
      <c r="Q63" s="43"/>
      <c r="R63" s="22"/>
      <c r="S63" s="39" t="str">
        <f t="shared" si="3"/>
        <v/>
      </c>
      <c r="T63" s="39" t="str">
        <f t="shared" si="4"/>
        <v/>
      </c>
      <c r="U63" s="39" t="str">
        <f t="shared" si="5"/>
        <v/>
      </c>
      <c r="V63" s="40" t="str">
        <f>IF(M63="","",M63/(P63+G63+H63+I63+#REF!+#REF!+#REF!+#REF!+#REF!+#REF!+#REF!))</f>
        <v/>
      </c>
      <c r="W63" s="41" t="e">
        <f>IF(SUM(P63+G63+H63+I63+#REF!+#REF!+#REF!+#REF!+#REF!+#REF!+#REF!+J63+K63+L63+M63)=D63,"",FALSE)</f>
        <v>#REF!</v>
      </c>
      <c r="X63" s="42" t="e">
        <f>IF(OR(AND(C63="",D63&lt;&gt;""),AND(O63="",P63&lt;&gt;""),AND($G$8="",G63&lt;&gt;""),AND($H$8="",H63&lt;&gt;""),AND($I$8="",I63&lt;&gt;""),AND(#REF!="",#REF!&lt;&gt;""),AND(#REF!="",#REF!&lt;&gt;""),AND(#REF!="",#REF!&lt;&gt;""),AND(#REF!="",#REF!&lt;&gt;""),AND(#REF!="",#REF!&lt;&gt;""),AND(#REF!="",#REF!&lt;&gt;""),AND(#REF!="",#REF!&lt;&gt;""),AND($J$8="",J63&lt;&gt;""),AND($K$8="",K63&lt;&gt;""),AND($L$8="",L63&lt;&gt;""),AND($M$8="",M63&lt;&gt;"")),FALSE,"")</f>
        <v>#REF!</v>
      </c>
      <c r="Y63" s="42" t="e">
        <f>IF(AND(B63="",OR(C63&lt;&gt;"",D63&lt;&gt;"",E63&lt;&gt;"",F63&lt;&gt;"",N63&lt;&gt;"",O63&lt;&gt;"",P63&lt;&gt;"",G63&lt;&gt;"",H63&lt;&gt;"",I63&lt;&gt;"",#REF!&lt;&gt;"",#REF!&lt;&gt;"",#REF!&lt;&gt;"",#REF!&lt;&gt;"",#REF!&lt;&gt;"",#REF!&lt;&gt;"",#REF!&lt;&gt;"",J63&lt;&gt;"",K63&lt;&gt;"",L63&lt;&gt;"",M63&lt;&gt;"")),FALSE,"")</f>
        <v>#REF!</v>
      </c>
    </row>
    <row r="64" spans="2:25" ht="15.5" hidden="1" x14ac:dyDescent="0.35">
      <c r="B64" s="31"/>
      <c r="C64" s="50"/>
      <c r="D64" s="49"/>
      <c r="E64" s="34"/>
      <c r="F64" s="35"/>
      <c r="G64" s="43"/>
      <c r="H64" s="43"/>
      <c r="I64" s="36"/>
      <c r="J64" s="43"/>
      <c r="K64" s="43"/>
      <c r="L64" s="36"/>
      <c r="M64" s="43"/>
      <c r="N64" s="37"/>
      <c r="O64" s="44"/>
      <c r="P64" s="43"/>
      <c r="Q64" s="43"/>
      <c r="R64" s="22"/>
      <c r="S64" s="39" t="str">
        <f t="shared" si="3"/>
        <v/>
      </c>
      <c r="T64" s="39" t="str">
        <f t="shared" si="4"/>
        <v/>
      </c>
      <c r="U64" s="39" t="str">
        <f t="shared" si="5"/>
        <v/>
      </c>
      <c r="V64" s="40" t="str">
        <f>IF(M64="","",M64/(P64+G64+H64+I64+#REF!+#REF!+#REF!+#REF!+#REF!+#REF!+#REF!))</f>
        <v/>
      </c>
      <c r="W64" s="41" t="e">
        <f>IF(SUM(P64+G64+H64+I64+#REF!+#REF!+#REF!+#REF!+#REF!+#REF!+#REF!+J64+K64+L64+M64)=D64,"",FALSE)</f>
        <v>#REF!</v>
      </c>
      <c r="X64" s="42" t="e">
        <f>IF(OR(AND(C64="",D64&lt;&gt;""),AND(O64="",P64&lt;&gt;""),AND($G$8="",G64&lt;&gt;""),AND($H$8="",H64&lt;&gt;""),AND($I$8="",I64&lt;&gt;""),AND(#REF!="",#REF!&lt;&gt;""),AND(#REF!="",#REF!&lt;&gt;""),AND(#REF!="",#REF!&lt;&gt;""),AND(#REF!="",#REF!&lt;&gt;""),AND(#REF!="",#REF!&lt;&gt;""),AND(#REF!="",#REF!&lt;&gt;""),AND(#REF!="",#REF!&lt;&gt;""),AND($J$8="",J64&lt;&gt;""),AND($K$8="",K64&lt;&gt;""),AND($L$8="",L64&lt;&gt;""),AND($M$8="",M64&lt;&gt;"")),FALSE,"")</f>
        <v>#REF!</v>
      </c>
      <c r="Y64" s="42" t="e">
        <f>IF(AND(B64="",OR(C64&lt;&gt;"",D64&lt;&gt;"",E64&lt;&gt;"",F64&lt;&gt;"",N64&lt;&gt;"",O64&lt;&gt;"",P64&lt;&gt;"",G64&lt;&gt;"",H64&lt;&gt;"",I64&lt;&gt;"",#REF!&lt;&gt;"",#REF!&lt;&gt;"",#REF!&lt;&gt;"",#REF!&lt;&gt;"",#REF!&lt;&gt;"",#REF!&lt;&gt;"",#REF!&lt;&gt;"",J64&lt;&gt;"",K64&lt;&gt;"",L64&lt;&gt;"",M64&lt;&gt;"")),FALSE,"")</f>
        <v>#REF!</v>
      </c>
    </row>
    <row r="65" spans="2:25" ht="15.5" hidden="1" x14ac:dyDescent="0.35">
      <c r="B65" s="31"/>
      <c r="C65" s="50"/>
      <c r="D65" s="49"/>
      <c r="E65" s="34"/>
      <c r="F65" s="35"/>
      <c r="G65" s="43"/>
      <c r="H65" s="43"/>
      <c r="I65" s="36"/>
      <c r="J65" s="43"/>
      <c r="K65" s="43"/>
      <c r="L65" s="36"/>
      <c r="M65" s="43"/>
      <c r="N65" s="37"/>
      <c r="O65" s="44"/>
      <c r="P65" s="43"/>
      <c r="Q65" s="43"/>
      <c r="R65" s="22"/>
      <c r="S65" s="39" t="str">
        <f t="shared" si="3"/>
        <v/>
      </c>
      <c r="T65" s="39" t="str">
        <f t="shared" si="4"/>
        <v/>
      </c>
      <c r="U65" s="39" t="str">
        <f t="shared" si="5"/>
        <v/>
      </c>
      <c r="V65" s="40" t="str">
        <f>IF(M65="","",M65/(P65+G65+H65+I65+#REF!+#REF!+#REF!+#REF!+#REF!+#REF!+#REF!))</f>
        <v/>
      </c>
      <c r="W65" s="41" t="e">
        <f>IF(SUM(P65+G65+H65+I65+#REF!+#REF!+#REF!+#REF!+#REF!+#REF!+#REF!+J65+K65+L65+M65)=D65,"",FALSE)</f>
        <v>#REF!</v>
      </c>
      <c r="X65" s="42" t="e">
        <f>IF(OR(AND(C65="",D65&lt;&gt;""),AND(O65="",P65&lt;&gt;""),AND($G$8="",G65&lt;&gt;""),AND($H$8="",H65&lt;&gt;""),AND($I$8="",I65&lt;&gt;""),AND(#REF!="",#REF!&lt;&gt;""),AND(#REF!="",#REF!&lt;&gt;""),AND(#REF!="",#REF!&lt;&gt;""),AND(#REF!="",#REF!&lt;&gt;""),AND(#REF!="",#REF!&lt;&gt;""),AND(#REF!="",#REF!&lt;&gt;""),AND(#REF!="",#REF!&lt;&gt;""),AND($J$8="",J65&lt;&gt;""),AND($K$8="",K65&lt;&gt;""),AND($L$8="",L65&lt;&gt;""),AND($M$8="",M65&lt;&gt;"")),FALSE,"")</f>
        <v>#REF!</v>
      </c>
      <c r="Y65" s="42" t="e">
        <f>IF(AND(B65="",OR(C65&lt;&gt;"",D65&lt;&gt;"",E65&lt;&gt;"",F65&lt;&gt;"",N65&lt;&gt;"",O65&lt;&gt;"",P65&lt;&gt;"",G65&lt;&gt;"",H65&lt;&gt;"",I65&lt;&gt;"",#REF!&lt;&gt;"",#REF!&lt;&gt;"",#REF!&lt;&gt;"",#REF!&lt;&gt;"",#REF!&lt;&gt;"",#REF!&lt;&gt;"",#REF!&lt;&gt;"",J65&lt;&gt;"",K65&lt;&gt;"",L65&lt;&gt;"",M65&lt;&gt;"")),FALSE,"")</f>
        <v>#REF!</v>
      </c>
    </row>
    <row r="66" spans="2:25" ht="15.5" hidden="1" x14ac:dyDescent="0.35">
      <c r="B66" s="31"/>
      <c r="C66" s="50"/>
      <c r="D66" s="49"/>
      <c r="E66" s="34"/>
      <c r="F66" s="35"/>
      <c r="G66" s="43"/>
      <c r="H66" s="43"/>
      <c r="I66" s="36"/>
      <c r="J66" s="43"/>
      <c r="K66" s="43"/>
      <c r="L66" s="36"/>
      <c r="M66" s="43"/>
      <c r="N66" s="37"/>
      <c r="O66" s="44"/>
      <c r="P66" s="43"/>
      <c r="Q66" s="43"/>
      <c r="R66" s="22"/>
      <c r="S66" s="39" t="str">
        <f t="shared" si="3"/>
        <v/>
      </c>
      <c r="T66" s="39" t="str">
        <f t="shared" si="4"/>
        <v/>
      </c>
      <c r="U66" s="39" t="str">
        <f t="shared" si="5"/>
        <v/>
      </c>
      <c r="V66" s="40" t="str">
        <f>IF(M66="","",M66/(P66+G66+H66+I66+#REF!+#REF!+#REF!+#REF!+#REF!+#REF!+#REF!))</f>
        <v/>
      </c>
      <c r="W66" s="41" t="e">
        <f>IF(SUM(P66+G66+H66+I66+#REF!+#REF!+#REF!+#REF!+#REF!+#REF!+#REF!+J66+K66+L66+M66)=D66,"",FALSE)</f>
        <v>#REF!</v>
      </c>
      <c r="X66" s="42" t="e">
        <f>IF(OR(AND(C66="",D66&lt;&gt;""),AND(O66="",P66&lt;&gt;""),AND($G$8="",G66&lt;&gt;""),AND($H$8="",H66&lt;&gt;""),AND($I$8="",I66&lt;&gt;""),AND(#REF!="",#REF!&lt;&gt;""),AND(#REF!="",#REF!&lt;&gt;""),AND(#REF!="",#REF!&lt;&gt;""),AND(#REF!="",#REF!&lt;&gt;""),AND(#REF!="",#REF!&lt;&gt;""),AND(#REF!="",#REF!&lt;&gt;""),AND(#REF!="",#REF!&lt;&gt;""),AND($J$8="",J66&lt;&gt;""),AND($K$8="",K66&lt;&gt;""),AND($L$8="",L66&lt;&gt;""),AND($M$8="",M66&lt;&gt;"")),FALSE,"")</f>
        <v>#REF!</v>
      </c>
      <c r="Y66" s="42" t="e">
        <f>IF(AND(B66="",OR(C66&lt;&gt;"",D66&lt;&gt;"",E66&lt;&gt;"",F66&lt;&gt;"",N66&lt;&gt;"",O66&lt;&gt;"",P66&lt;&gt;"",G66&lt;&gt;"",H66&lt;&gt;"",I66&lt;&gt;"",#REF!&lt;&gt;"",#REF!&lt;&gt;"",#REF!&lt;&gt;"",#REF!&lt;&gt;"",#REF!&lt;&gt;"",#REF!&lt;&gt;"",#REF!&lt;&gt;"",J66&lt;&gt;"",K66&lt;&gt;"",L66&lt;&gt;"",M66&lt;&gt;"")),FALSE,"")</f>
        <v>#REF!</v>
      </c>
    </row>
    <row r="67" spans="2:25" ht="15.5" hidden="1" x14ac:dyDescent="0.35">
      <c r="B67" s="31"/>
      <c r="C67" s="50"/>
      <c r="D67" s="49"/>
      <c r="E67" s="34"/>
      <c r="F67" s="35"/>
      <c r="G67" s="43"/>
      <c r="H67" s="43"/>
      <c r="I67" s="36"/>
      <c r="J67" s="43"/>
      <c r="K67" s="43"/>
      <c r="L67" s="36"/>
      <c r="M67" s="43"/>
      <c r="N67" s="37"/>
      <c r="O67" s="44"/>
      <c r="P67" s="43"/>
      <c r="Q67" s="43"/>
      <c r="R67" s="22"/>
      <c r="S67" s="39" t="str">
        <f t="shared" si="3"/>
        <v/>
      </c>
      <c r="T67" s="39" t="str">
        <f t="shared" si="4"/>
        <v/>
      </c>
      <c r="U67" s="39" t="str">
        <f t="shared" si="5"/>
        <v/>
      </c>
      <c r="V67" s="40" t="str">
        <f>IF(M67="","",M67/(P67+G67+H67+I67+#REF!+#REF!+#REF!+#REF!+#REF!+#REF!+#REF!))</f>
        <v/>
      </c>
      <c r="W67" s="41" t="e">
        <f>IF(SUM(P67+G67+H67+I67+#REF!+#REF!+#REF!+#REF!+#REF!+#REF!+#REF!+J67+K67+L67+M67)=D67,"",FALSE)</f>
        <v>#REF!</v>
      </c>
      <c r="X67" s="42" t="e">
        <f>IF(OR(AND(C67="",D67&lt;&gt;""),AND(O67="",P67&lt;&gt;""),AND($G$8="",G67&lt;&gt;""),AND($H$8="",H67&lt;&gt;""),AND($I$8="",I67&lt;&gt;""),AND(#REF!="",#REF!&lt;&gt;""),AND(#REF!="",#REF!&lt;&gt;""),AND(#REF!="",#REF!&lt;&gt;""),AND(#REF!="",#REF!&lt;&gt;""),AND(#REF!="",#REF!&lt;&gt;""),AND(#REF!="",#REF!&lt;&gt;""),AND(#REF!="",#REF!&lt;&gt;""),AND($J$8="",J67&lt;&gt;""),AND($K$8="",K67&lt;&gt;""),AND($L$8="",L67&lt;&gt;""),AND($M$8="",M67&lt;&gt;"")),FALSE,"")</f>
        <v>#REF!</v>
      </c>
      <c r="Y67" s="42" t="e">
        <f>IF(AND(B67="",OR(C67&lt;&gt;"",D67&lt;&gt;"",E67&lt;&gt;"",F67&lt;&gt;"",N67&lt;&gt;"",O67&lt;&gt;"",P67&lt;&gt;"",G67&lt;&gt;"",H67&lt;&gt;"",I67&lt;&gt;"",#REF!&lt;&gt;"",#REF!&lt;&gt;"",#REF!&lt;&gt;"",#REF!&lt;&gt;"",#REF!&lt;&gt;"",#REF!&lt;&gt;"",#REF!&lt;&gt;"",J67&lt;&gt;"",K67&lt;&gt;"",L67&lt;&gt;"",M67&lt;&gt;"")),FALSE,"")</f>
        <v>#REF!</v>
      </c>
    </row>
    <row r="68" spans="2:25" ht="15.5" hidden="1" x14ac:dyDescent="0.35">
      <c r="B68" s="31"/>
      <c r="C68" s="50"/>
      <c r="D68" s="49"/>
      <c r="E68" s="34"/>
      <c r="F68" s="35"/>
      <c r="G68" s="43"/>
      <c r="H68" s="43"/>
      <c r="I68" s="36"/>
      <c r="J68" s="43"/>
      <c r="K68" s="43"/>
      <c r="L68" s="36"/>
      <c r="M68" s="43"/>
      <c r="N68" s="37"/>
      <c r="O68" s="44"/>
      <c r="P68" s="43"/>
      <c r="Q68" s="43"/>
      <c r="R68" s="22"/>
      <c r="S68" s="39" t="str">
        <f t="shared" si="3"/>
        <v/>
      </c>
      <c r="T68" s="39" t="str">
        <f t="shared" si="4"/>
        <v/>
      </c>
      <c r="U68" s="39" t="str">
        <f t="shared" si="5"/>
        <v/>
      </c>
      <c r="V68" s="40" t="str">
        <f>IF(M68="","",M68/(P68+G68+H68+I68+#REF!+#REF!+#REF!+#REF!+#REF!+#REF!+#REF!))</f>
        <v/>
      </c>
      <c r="W68" s="41" t="e">
        <f>IF(SUM(P68+G68+H68+I68+#REF!+#REF!+#REF!+#REF!+#REF!+#REF!+#REF!+J68+K68+L68+M68)=D68,"",FALSE)</f>
        <v>#REF!</v>
      </c>
      <c r="X68" s="42" t="e">
        <f>IF(OR(AND(C68="",D68&lt;&gt;""),AND(O68="",P68&lt;&gt;""),AND($G$8="",G68&lt;&gt;""),AND($H$8="",H68&lt;&gt;""),AND($I$8="",I68&lt;&gt;""),AND(#REF!="",#REF!&lt;&gt;""),AND(#REF!="",#REF!&lt;&gt;""),AND(#REF!="",#REF!&lt;&gt;""),AND(#REF!="",#REF!&lt;&gt;""),AND(#REF!="",#REF!&lt;&gt;""),AND(#REF!="",#REF!&lt;&gt;""),AND(#REF!="",#REF!&lt;&gt;""),AND($J$8="",J68&lt;&gt;""),AND($K$8="",K68&lt;&gt;""),AND($L$8="",L68&lt;&gt;""),AND($M$8="",M68&lt;&gt;"")),FALSE,"")</f>
        <v>#REF!</v>
      </c>
      <c r="Y68" s="42" t="e">
        <f>IF(AND(B68="",OR(C68&lt;&gt;"",D68&lt;&gt;"",E68&lt;&gt;"",F68&lt;&gt;"",N68&lt;&gt;"",O68&lt;&gt;"",P68&lt;&gt;"",G68&lt;&gt;"",H68&lt;&gt;"",I68&lt;&gt;"",#REF!&lt;&gt;"",#REF!&lt;&gt;"",#REF!&lt;&gt;"",#REF!&lt;&gt;"",#REF!&lt;&gt;"",#REF!&lt;&gt;"",#REF!&lt;&gt;"",J68&lt;&gt;"",K68&lt;&gt;"",L68&lt;&gt;"",M68&lt;&gt;"")),FALSE,"")</f>
        <v>#REF!</v>
      </c>
    </row>
    <row r="69" spans="2:25" ht="15.5" hidden="1" x14ac:dyDescent="0.35">
      <c r="B69" s="31"/>
      <c r="C69" s="50"/>
      <c r="D69" s="49"/>
      <c r="E69" s="34"/>
      <c r="F69" s="35"/>
      <c r="G69" s="43"/>
      <c r="H69" s="43"/>
      <c r="I69" s="36"/>
      <c r="J69" s="43"/>
      <c r="K69" s="43"/>
      <c r="L69" s="36"/>
      <c r="M69" s="43"/>
      <c r="N69" s="37"/>
      <c r="O69" s="44"/>
      <c r="P69" s="43"/>
      <c r="Q69" s="43"/>
      <c r="R69" s="22"/>
      <c r="S69" s="39" t="str">
        <f t="shared" si="3"/>
        <v/>
      </c>
      <c r="T69" s="39" t="str">
        <f t="shared" si="4"/>
        <v/>
      </c>
      <c r="U69" s="39" t="str">
        <f t="shared" si="5"/>
        <v/>
      </c>
      <c r="V69" s="40" t="str">
        <f>IF(M69="","",M69/(P69+G69+H69+I69+#REF!+#REF!+#REF!+#REF!+#REF!+#REF!+#REF!))</f>
        <v/>
      </c>
      <c r="W69" s="41" t="e">
        <f>IF(SUM(P69+G69+H69+I69+#REF!+#REF!+#REF!+#REF!+#REF!+#REF!+#REF!+J69+K69+L69+M69)=D69,"",FALSE)</f>
        <v>#REF!</v>
      </c>
      <c r="X69" s="42" t="e">
        <f>IF(OR(AND(C69="",D69&lt;&gt;""),AND(O69="",P69&lt;&gt;""),AND($G$8="",G69&lt;&gt;""),AND($H$8="",H69&lt;&gt;""),AND($I$8="",I69&lt;&gt;""),AND(#REF!="",#REF!&lt;&gt;""),AND(#REF!="",#REF!&lt;&gt;""),AND(#REF!="",#REF!&lt;&gt;""),AND(#REF!="",#REF!&lt;&gt;""),AND(#REF!="",#REF!&lt;&gt;""),AND(#REF!="",#REF!&lt;&gt;""),AND(#REF!="",#REF!&lt;&gt;""),AND($J$8="",J69&lt;&gt;""),AND($K$8="",K69&lt;&gt;""),AND($L$8="",L69&lt;&gt;""),AND($M$8="",M69&lt;&gt;"")),FALSE,"")</f>
        <v>#REF!</v>
      </c>
      <c r="Y69" s="42" t="e">
        <f>IF(AND(B69="",OR(C69&lt;&gt;"",D69&lt;&gt;"",E69&lt;&gt;"",F69&lt;&gt;"",N69&lt;&gt;"",O69&lt;&gt;"",P69&lt;&gt;"",G69&lt;&gt;"",H69&lt;&gt;"",I69&lt;&gt;"",#REF!&lt;&gt;"",#REF!&lt;&gt;"",#REF!&lt;&gt;"",#REF!&lt;&gt;"",#REF!&lt;&gt;"",#REF!&lt;&gt;"",#REF!&lt;&gt;"",J69&lt;&gt;"",K69&lt;&gt;"",L69&lt;&gt;"",M69&lt;&gt;"")),FALSE,"")</f>
        <v>#REF!</v>
      </c>
    </row>
    <row r="70" spans="2:25" ht="15.5" hidden="1" x14ac:dyDescent="0.35">
      <c r="B70" s="31"/>
      <c r="C70" s="50"/>
      <c r="D70" s="49"/>
      <c r="E70" s="34"/>
      <c r="F70" s="35"/>
      <c r="G70" s="43"/>
      <c r="H70" s="43"/>
      <c r="I70" s="36"/>
      <c r="J70" s="43"/>
      <c r="K70" s="43"/>
      <c r="L70" s="36"/>
      <c r="M70" s="43"/>
      <c r="N70" s="37"/>
      <c r="O70" s="44"/>
      <c r="P70" s="43"/>
      <c r="Q70" s="43"/>
      <c r="R70" s="22"/>
      <c r="S70" s="39" t="str">
        <f t="shared" si="3"/>
        <v/>
      </c>
      <c r="T70" s="39" t="str">
        <f t="shared" si="4"/>
        <v/>
      </c>
      <c r="U70" s="39" t="str">
        <f t="shared" si="5"/>
        <v/>
      </c>
      <c r="V70" s="40" t="str">
        <f>IF(M70="","",M70/(P70+G70+H70+I70+#REF!+#REF!+#REF!+#REF!+#REF!+#REF!+#REF!))</f>
        <v/>
      </c>
      <c r="W70" s="41" t="e">
        <f>IF(SUM(P70+G70+H70+I70+#REF!+#REF!+#REF!+#REF!+#REF!+#REF!+#REF!+J70+K70+L70+M70)=D70,"",FALSE)</f>
        <v>#REF!</v>
      </c>
      <c r="X70" s="42" t="e">
        <f>IF(OR(AND(C70="",D70&lt;&gt;""),AND(O70="",P70&lt;&gt;""),AND($G$8="",G70&lt;&gt;""),AND($H$8="",H70&lt;&gt;""),AND($I$8="",I70&lt;&gt;""),AND(#REF!="",#REF!&lt;&gt;""),AND(#REF!="",#REF!&lt;&gt;""),AND(#REF!="",#REF!&lt;&gt;""),AND(#REF!="",#REF!&lt;&gt;""),AND(#REF!="",#REF!&lt;&gt;""),AND(#REF!="",#REF!&lt;&gt;""),AND(#REF!="",#REF!&lt;&gt;""),AND($J$8="",J70&lt;&gt;""),AND($K$8="",K70&lt;&gt;""),AND($L$8="",L70&lt;&gt;""),AND($M$8="",M70&lt;&gt;"")),FALSE,"")</f>
        <v>#REF!</v>
      </c>
      <c r="Y70" s="42" t="e">
        <f>IF(AND(B70="",OR(C70&lt;&gt;"",D70&lt;&gt;"",E70&lt;&gt;"",F70&lt;&gt;"",N70&lt;&gt;"",O70&lt;&gt;"",P70&lt;&gt;"",G70&lt;&gt;"",H70&lt;&gt;"",I70&lt;&gt;"",#REF!&lt;&gt;"",#REF!&lt;&gt;"",#REF!&lt;&gt;"",#REF!&lt;&gt;"",#REF!&lt;&gt;"",#REF!&lt;&gt;"",#REF!&lt;&gt;"",J70&lt;&gt;"",K70&lt;&gt;"",L70&lt;&gt;"",M70&lt;&gt;"")),FALSE,"")</f>
        <v>#REF!</v>
      </c>
    </row>
    <row r="71" spans="2:25" ht="15.5" hidden="1" x14ac:dyDescent="0.35">
      <c r="B71" s="31"/>
      <c r="C71" s="50"/>
      <c r="D71" s="49"/>
      <c r="E71" s="34"/>
      <c r="F71" s="35"/>
      <c r="G71" s="43"/>
      <c r="H71" s="43"/>
      <c r="I71" s="36"/>
      <c r="J71" s="43"/>
      <c r="K71" s="43"/>
      <c r="L71" s="36"/>
      <c r="M71" s="43"/>
      <c r="N71" s="37"/>
      <c r="O71" s="44"/>
      <c r="P71" s="43"/>
      <c r="Q71" s="43"/>
      <c r="R71" s="22"/>
      <c r="S71" s="39" t="str">
        <f t="shared" si="3"/>
        <v/>
      </c>
      <c r="T71" s="39" t="str">
        <f t="shared" si="4"/>
        <v/>
      </c>
      <c r="U71" s="39" t="str">
        <f t="shared" si="5"/>
        <v/>
      </c>
      <c r="V71" s="40" t="str">
        <f>IF(M71="","",M71/(P71+G71+H71+I71+#REF!+#REF!+#REF!+#REF!+#REF!+#REF!+#REF!))</f>
        <v/>
      </c>
      <c r="W71" s="41" t="e">
        <f>IF(SUM(P71+G71+H71+I71+#REF!+#REF!+#REF!+#REF!+#REF!+#REF!+#REF!+J71+K71+L71+M71)=D71,"",FALSE)</f>
        <v>#REF!</v>
      </c>
      <c r="X71" s="42" t="e">
        <f>IF(OR(AND(C71="",D71&lt;&gt;""),AND(O71="",P71&lt;&gt;""),AND($G$8="",G71&lt;&gt;""),AND($H$8="",H71&lt;&gt;""),AND($I$8="",I71&lt;&gt;""),AND(#REF!="",#REF!&lt;&gt;""),AND(#REF!="",#REF!&lt;&gt;""),AND(#REF!="",#REF!&lt;&gt;""),AND(#REF!="",#REF!&lt;&gt;""),AND(#REF!="",#REF!&lt;&gt;""),AND(#REF!="",#REF!&lt;&gt;""),AND(#REF!="",#REF!&lt;&gt;""),AND($J$8="",J71&lt;&gt;""),AND($K$8="",K71&lt;&gt;""),AND($L$8="",L71&lt;&gt;""),AND($M$8="",M71&lt;&gt;"")),FALSE,"")</f>
        <v>#REF!</v>
      </c>
      <c r="Y71" s="42" t="e">
        <f>IF(AND(B71="",OR(C71&lt;&gt;"",D71&lt;&gt;"",E71&lt;&gt;"",F71&lt;&gt;"",N71&lt;&gt;"",O71&lt;&gt;"",P71&lt;&gt;"",G71&lt;&gt;"",H71&lt;&gt;"",I71&lt;&gt;"",#REF!&lt;&gt;"",#REF!&lt;&gt;"",#REF!&lt;&gt;"",#REF!&lt;&gt;"",#REF!&lt;&gt;"",#REF!&lt;&gt;"",#REF!&lt;&gt;"",J71&lt;&gt;"",K71&lt;&gt;"",L71&lt;&gt;"",M71&lt;&gt;"")),FALSE,"")</f>
        <v>#REF!</v>
      </c>
    </row>
    <row r="72" spans="2:25" ht="15.5" hidden="1" x14ac:dyDescent="0.35">
      <c r="B72" s="31"/>
      <c r="C72" s="50"/>
      <c r="D72" s="49"/>
      <c r="E72" s="34"/>
      <c r="F72" s="35"/>
      <c r="G72" s="43"/>
      <c r="H72" s="43"/>
      <c r="I72" s="36"/>
      <c r="J72" s="43"/>
      <c r="K72" s="43"/>
      <c r="L72" s="36"/>
      <c r="M72" s="43"/>
      <c r="N72" s="37"/>
      <c r="O72" s="44"/>
      <c r="P72" s="43"/>
      <c r="Q72" s="43"/>
      <c r="R72" s="22"/>
      <c r="S72" s="39" t="str">
        <f t="shared" si="3"/>
        <v/>
      </c>
      <c r="T72" s="39" t="str">
        <f t="shared" si="4"/>
        <v/>
      </c>
      <c r="U72" s="39" t="str">
        <f t="shared" si="5"/>
        <v/>
      </c>
      <c r="V72" s="40" t="str">
        <f>IF(M72="","",M72/(P72+G72+H72+I72+#REF!+#REF!+#REF!+#REF!+#REF!+#REF!+#REF!))</f>
        <v/>
      </c>
      <c r="W72" s="41" t="e">
        <f>IF(SUM(P72+G72+H72+I72+#REF!+#REF!+#REF!+#REF!+#REF!+#REF!+#REF!+J72+K72+L72+M72)=D72,"",FALSE)</f>
        <v>#REF!</v>
      </c>
      <c r="X72" s="42" t="e">
        <f>IF(OR(AND(C72="",D72&lt;&gt;""),AND(O72="",P72&lt;&gt;""),AND($G$8="",G72&lt;&gt;""),AND($H$8="",H72&lt;&gt;""),AND($I$8="",I72&lt;&gt;""),AND(#REF!="",#REF!&lt;&gt;""),AND(#REF!="",#REF!&lt;&gt;""),AND(#REF!="",#REF!&lt;&gt;""),AND(#REF!="",#REF!&lt;&gt;""),AND(#REF!="",#REF!&lt;&gt;""),AND(#REF!="",#REF!&lt;&gt;""),AND(#REF!="",#REF!&lt;&gt;""),AND($J$8="",J72&lt;&gt;""),AND($K$8="",K72&lt;&gt;""),AND($L$8="",L72&lt;&gt;""),AND($M$8="",M72&lt;&gt;"")),FALSE,"")</f>
        <v>#REF!</v>
      </c>
      <c r="Y72" s="42" t="e">
        <f>IF(AND(B72="",OR(C72&lt;&gt;"",D72&lt;&gt;"",E72&lt;&gt;"",F72&lt;&gt;"",N72&lt;&gt;"",O72&lt;&gt;"",P72&lt;&gt;"",G72&lt;&gt;"",H72&lt;&gt;"",I72&lt;&gt;"",#REF!&lt;&gt;"",#REF!&lt;&gt;"",#REF!&lt;&gt;"",#REF!&lt;&gt;"",#REF!&lt;&gt;"",#REF!&lt;&gt;"",#REF!&lt;&gt;"",J72&lt;&gt;"",K72&lt;&gt;"",L72&lt;&gt;"",M72&lt;&gt;"")),FALSE,"")</f>
        <v>#REF!</v>
      </c>
    </row>
    <row r="73" spans="2:25" ht="15.5" hidden="1" x14ac:dyDescent="0.35">
      <c r="B73" s="31"/>
      <c r="C73" s="50"/>
      <c r="D73" s="49"/>
      <c r="E73" s="34"/>
      <c r="F73" s="35"/>
      <c r="G73" s="43"/>
      <c r="H73" s="43"/>
      <c r="I73" s="36"/>
      <c r="J73" s="43"/>
      <c r="K73" s="43"/>
      <c r="L73" s="36"/>
      <c r="M73" s="43"/>
      <c r="N73" s="37"/>
      <c r="O73" s="44"/>
      <c r="P73" s="43"/>
      <c r="Q73" s="43"/>
      <c r="R73" s="22"/>
      <c r="S73" s="39" t="str">
        <f t="shared" si="3"/>
        <v/>
      </c>
      <c r="T73" s="39" t="str">
        <f t="shared" si="4"/>
        <v/>
      </c>
      <c r="U73" s="39" t="str">
        <f t="shared" si="5"/>
        <v/>
      </c>
      <c r="V73" s="40" t="str">
        <f>IF(M73="","",M73/(P73+G73+H73+I73+#REF!+#REF!+#REF!+#REF!+#REF!+#REF!+#REF!))</f>
        <v/>
      </c>
      <c r="W73" s="41" t="e">
        <f>IF(SUM(P73+G73+H73+I73+#REF!+#REF!+#REF!+#REF!+#REF!+#REF!+#REF!+J73+K73+L73+M73)=D73,"",FALSE)</f>
        <v>#REF!</v>
      </c>
      <c r="X73" s="42" t="e">
        <f>IF(OR(AND(C73="",D73&lt;&gt;""),AND(O73="",P73&lt;&gt;""),AND($G$8="",G73&lt;&gt;""),AND($H$8="",H73&lt;&gt;""),AND($I$8="",I73&lt;&gt;""),AND(#REF!="",#REF!&lt;&gt;""),AND(#REF!="",#REF!&lt;&gt;""),AND(#REF!="",#REF!&lt;&gt;""),AND(#REF!="",#REF!&lt;&gt;""),AND(#REF!="",#REF!&lt;&gt;""),AND(#REF!="",#REF!&lt;&gt;""),AND(#REF!="",#REF!&lt;&gt;""),AND($J$8="",J73&lt;&gt;""),AND($K$8="",K73&lt;&gt;""),AND($L$8="",L73&lt;&gt;""),AND($M$8="",M73&lt;&gt;"")),FALSE,"")</f>
        <v>#REF!</v>
      </c>
      <c r="Y73" s="42" t="e">
        <f>IF(AND(B73="",OR(C73&lt;&gt;"",D73&lt;&gt;"",E73&lt;&gt;"",F73&lt;&gt;"",N73&lt;&gt;"",O73&lt;&gt;"",P73&lt;&gt;"",G73&lt;&gt;"",H73&lt;&gt;"",I73&lt;&gt;"",#REF!&lt;&gt;"",#REF!&lt;&gt;"",#REF!&lt;&gt;"",#REF!&lt;&gt;"",#REF!&lt;&gt;"",#REF!&lt;&gt;"",#REF!&lt;&gt;"",J73&lt;&gt;"",K73&lt;&gt;"",L73&lt;&gt;"",M73&lt;&gt;"")),FALSE,"")</f>
        <v>#REF!</v>
      </c>
    </row>
    <row r="74" spans="2:25" ht="15.5" hidden="1" x14ac:dyDescent="0.35">
      <c r="B74" s="31"/>
      <c r="C74" s="50"/>
      <c r="D74" s="49"/>
      <c r="E74" s="34"/>
      <c r="F74" s="35"/>
      <c r="G74" s="43"/>
      <c r="H74" s="43"/>
      <c r="I74" s="36"/>
      <c r="J74" s="43"/>
      <c r="K74" s="43"/>
      <c r="L74" s="36"/>
      <c r="M74" s="43"/>
      <c r="N74" s="37"/>
      <c r="O74" s="44"/>
      <c r="P74" s="43"/>
      <c r="Q74" s="43"/>
      <c r="R74" s="22"/>
      <c r="S74" s="39" t="str">
        <f t="shared" si="3"/>
        <v/>
      </c>
      <c r="T74" s="39" t="str">
        <f t="shared" si="4"/>
        <v/>
      </c>
      <c r="U74" s="39" t="str">
        <f t="shared" si="5"/>
        <v/>
      </c>
      <c r="V74" s="40" t="str">
        <f>IF(M74="","",M74/(P74+G74+H74+I74+#REF!+#REF!+#REF!+#REF!+#REF!+#REF!+#REF!))</f>
        <v/>
      </c>
      <c r="W74" s="41" t="e">
        <f>IF(SUM(P74+G74+H74+I74+#REF!+#REF!+#REF!+#REF!+#REF!+#REF!+#REF!+J74+K74+L74+M74)=D74,"",FALSE)</f>
        <v>#REF!</v>
      </c>
      <c r="X74" s="42" t="e">
        <f>IF(OR(AND(C74="",D74&lt;&gt;""),AND(O74="",P74&lt;&gt;""),AND($G$8="",G74&lt;&gt;""),AND($H$8="",H74&lt;&gt;""),AND($I$8="",I74&lt;&gt;""),AND(#REF!="",#REF!&lt;&gt;""),AND(#REF!="",#REF!&lt;&gt;""),AND(#REF!="",#REF!&lt;&gt;""),AND(#REF!="",#REF!&lt;&gt;""),AND(#REF!="",#REF!&lt;&gt;""),AND(#REF!="",#REF!&lt;&gt;""),AND(#REF!="",#REF!&lt;&gt;""),AND($J$8="",J74&lt;&gt;""),AND($K$8="",K74&lt;&gt;""),AND($L$8="",L74&lt;&gt;""),AND($M$8="",M74&lt;&gt;"")),FALSE,"")</f>
        <v>#REF!</v>
      </c>
      <c r="Y74" s="42" t="e">
        <f>IF(AND(B74="",OR(C74&lt;&gt;"",D74&lt;&gt;"",E74&lt;&gt;"",F74&lt;&gt;"",N74&lt;&gt;"",O74&lt;&gt;"",P74&lt;&gt;"",G74&lt;&gt;"",H74&lt;&gt;"",I74&lt;&gt;"",#REF!&lt;&gt;"",#REF!&lt;&gt;"",#REF!&lt;&gt;"",#REF!&lt;&gt;"",#REF!&lt;&gt;"",#REF!&lt;&gt;"",#REF!&lt;&gt;"",J74&lt;&gt;"",K74&lt;&gt;"",L74&lt;&gt;"",M74&lt;&gt;"")),FALSE,"")</f>
        <v>#REF!</v>
      </c>
    </row>
    <row r="75" spans="2:25" ht="15.5" hidden="1" x14ac:dyDescent="0.35">
      <c r="B75" s="31"/>
      <c r="C75" s="50"/>
      <c r="D75" s="49"/>
      <c r="E75" s="34"/>
      <c r="F75" s="35"/>
      <c r="G75" s="43"/>
      <c r="H75" s="43"/>
      <c r="I75" s="36"/>
      <c r="J75" s="43"/>
      <c r="K75" s="43"/>
      <c r="L75" s="36"/>
      <c r="M75" s="43"/>
      <c r="N75" s="37"/>
      <c r="O75" s="44"/>
      <c r="P75" s="43"/>
      <c r="Q75" s="43"/>
      <c r="R75" s="22"/>
      <c r="S75" s="39" t="str">
        <f t="shared" ref="S75:S110" si="6">IF(J75="","",J75/SUM(G75:I75))</f>
        <v/>
      </c>
      <c r="T75" s="39" t="str">
        <f t="shared" ref="T75:T110" si="7">IF(K75="","",K75/SUM(G75:I75))</f>
        <v/>
      </c>
      <c r="U75" s="39" t="str">
        <f t="shared" ref="U75:U110" si="8">IF(L75="","",L75/SUM(G75:I75))</f>
        <v/>
      </c>
      <c r="V75" s="40" t="str">
        <f>IF(M75="","",M75/(P75+G75+H75+I75+#REF!+#REF!+#REF!+#REF!+#REF!+#REF!+#REF!))</f>
        <v/>
      </c>
      <c r="W75" s="41" t="e">
        <f>IF(SUM(P75+G75+H75+I75+#REF!+#REF!+#REF!+#REF!+#REF!+#REF!+#REF!+J75+K75+L75+M75)=D75,"",FALSE)</f>
        <v>#REF!</v>
      </c>
      <c r="X75" s="42" t="e">
        <f>IF(OR(AND(C75="",D75&lt;&gt;""),AND(O75="",P75&lt;&gt;""),AND($G$8="",G75&lt;&gt;""),AND($H$8="",H75&lt;&gt;""),AND($I$8="",I75&lt;&gt;""),AND(#REF!="",#REF!&lt;&gt;""),AND(#REF!="",#REF!&lt;&gt;""),AND(#REF!="",#REF!&lt;&gt;""),AND(#REF!="",#REF!&lt;&gt;""),AND(#REF!="",#REF!&lt;&gt;""),AND(#REF!="",#REF!&lt;&gt;""),AND(#REF!="",#REF!&lt;&gt;""),AND($J$8="",J75&lt;&gt;""),AND($K$8="",K75&lt;&gt;""),AND($L$8="",L75&lt;&gt;""),AND($M$8="",M75&lt;&gt;"")),FALSE,"")</f>
        <v>#REF!</v>
      </c>
      <c r="Y75" s="42" t="e">
        <f>IF(AND(B75="",OR(C75&lt;&gt;"",D75&lt;&gt;"",E75&lt;&gt;"",F75&lt;&gt;"",N75&lt;&gt;"",O75&lt;&gt;"",P75&lt;&gt;"",G75&lt;&gt;"",H75&lt;&gt;"",I75&lt;&gt;"",#REF!&lt;&gt;"",#REF!&lt;&gt;"",#REF!&lt;&gt;"",#REF!&lt;&gt;"",#REF!&lt;&gt;"",#REF!&lt;&gt;"",#REF!&lt;&gt;"",J75&lt;&gt;"",K75&lt;&gt;"",L75&lt;&gt;"",M75&lt;&gt;"")),FALSE,"")</f>
        <v>#REF!</v>
      </c>
    </row>
    <row r="76" spans="2:25" ht="15.5" hidden="1" x14ac:dyDescent="0.35">
      <c r="B76" s="31"/>
      <c r="C76" s="50"/>
      <c r="D76" s="49"/>
      <c r="E76" s="34"/>
      <c r="F76" s="35"/>
      <c r="G76" s="43"/>
      <c r="H76" s="43"/>
      <c r="I76" s="36"/>
      <c r="J76" s="43"/>
      <c r="K76" s="43"/>
      <c r="L76" s="36"/>
      <c r="M76" s="43"/>
      <c r="N76" s="37"/>
      <c r="O76" s="44"/>
      <c r="P76" s="43"/>
      <c r="Q76" s="43"/>
      <c r="R76" s="22"/>
      <c r="S76" s="39" t="str">
        <f t="shared" si="6"/>
        <v/>
      </c>
      <c r="T76" s="39" t="str">
        <f t="shared" si="7"/>
        <v/>
      </c>
      <c r="U76" s="39" t="str">
        <f t="shared" si="8"/>
        <v/>
      </c>
      <c r="V76" s="40" t="str">
        <f>IF(M76="","",M76/(P76+G76+H76+I76+#REF!+#REF!+#REF!+#REF!+#REF!+#REF!+#REF!))</f>
        <v/>
      </c>
      <c r="W76" s="41" t="e">
        <f>IF(SUM(P76+G76+H76+I76+#REF!+#REF!+#REF!+#REF!+#REF!+#REF!+#REF!+J76+K76+L76+M76)=D76,"",FALSE)</f>
        <v>#REF!</v>
      </c>
      <c r="X76" s="42" t="e">
        <f>IF(OR(AND(C76="",D76&lt;&gt;""),AND(O76="",P76&lt;&gt;""),AND($G$8="",G76&lt;&gt;""),AND($H$8="",H76&lt;&gt;""),AND($I$8="",I76&lt;&gt;""),AND(#REF!="",#REF!&lt;&gt;""),AND(#REF!="",#REF!&lt;&gt;""),AND(#REF!="",#REF!&lt;&gt;""),AND(#REF!="",#REF!&lt;&gt;""),AND(#REF!="",#REF!&lt;&gt;""),AND(#REF!="",#REF!&lt;&gt;""),AND(#REF!="",#REF!&lt;&gt;""),AND($J$8="",J76&lt;&gt;""),AND($K$8="",K76&lt;&gt;""),AND($L$8="",L76&lt;&gt;""),AND($M$8="",M76&lt;&gt;"")),FALSE,"")</f>
        <v>#REF!</v>
      </c>
      <c r="Y76" s="42" t="e">
        <f>IF(AND(B76="",OR(C76&lt;&gt;"",D76&lt;&gt;"",E76&lt;&gt;"",F76&lt;&gt;"",N76&lt;&gt;"",O76&lt;&gt;"",P76&lt;&gt;"",G76&lt;&gt;"",H76&lt;&gt;"",I76&lt;&gt;"",#REF!&lt;&gt;"",#REF!&lt;&gt;"",#REF!&lt;&gt;"",#REF!&lt;&gt;"",#REF!&lt;&gt;"",#REF!&lt;&gt;"",#REF!&lt;&gt;"",J76&lt;&gt;"",K76&lt;&gt;"",L76&lt;&gt;"",M76&lt;&gt;"")),FALSE,"")</f>
        <v>#REF!</v>
      </c>
    </row>
    <row r="77" spans="2:25" ht="15.5" hidden="1" x14ac:dyDescent="0.35">
      <c r="B77" s="31"/>
      <c r="C77" s="50"/>
      <c r="D77" s="49"/>
      <c r="E77" s="34"/>
      <c r="F77" s="35"/>
      <c r="G77" s="43"/>
      <c r="H77" s="43"/>
      <c r="I77" s="36"/>
      <c r="J77" s="43"/>
      <c r="K77" s="43"/>
      <c r="L77" s="36"/>
      <c r="M77" s="43"/>
      <c r="N77" s="37"/>
      <c r="O77" s="44"/>
      <c r="P77" s="43"/>
      <c r="Q77" s="43"/>
      <c r="R77" s="22"/>
      <c r="S77" s="39" t="str">
        <f t="shared" si="6"/>
        <v/>
      </c>
      <c r="T77" s="39" t="str">
        <f t="shared" si="7"/>
        <v/>
      </c>
      <c r="U77" s="39" t="str">
        <f t="shared" si="8"/>
        <v/>
      </c>
      <c r="V77" s="40" t="str">
        <f>IF(M77="","",M77/(P77+G77+H77+I77+#REF!+#REF!+#REF!+#REF!+#REF!+#REF!+#REF!))</f>
        <v/>
      </c>
      <c r="W77" s="41" t="e">
        <f>IF(SUM(P77+G77+H77+I77+#REF!+#REF!+#REF!+#REF!+#REF!+#REF!+#REF!+J77+K77+L77+M77)=D77,"",FALSE)</f>
        <v>#REF!</v>
      </c>
      <c r="X77" s="42" t="e">
        <f>IF(OR(AND(C77="",D77&lt;&gt;""),AND(O77="",P77&lt;&gt;""),AND($G$8="",G77&lt;&gt;""),AND($H$8="",H77&lt;&gt;""),AND($I$8="",I77&lt;&gt;""),AND(#REF!="",#REF!&lt;&gt;""),AND(#REF!="",#REF!&lt;&gt;""),AND(#REF!="",#REF!&lt;&gt;""),AND(#REF!="",#REF!&lt;&gt;""),AND(#REF!="",#REF!&lt;&gt;""),AND(#REF!="",#REF!&lt;&gt;""),AND(#REF!="",#REF!&lt;&gt;""),AND($J$8="",J77&lt;&gt;""),AND($K$8="",K77&lt;&gt;""),AND($L$8="",L77&lt;&gt;""),AND($M$8="",M77&lt;&gt;"")),FALSE,"")</f>
        <v>#REF!</v>
      </c>
      <c r="Y77" s="42" t="e">
        <f>IF(AND(B77="",OR(C77&lt;&gt;"",D77&lt;&gt;"",E77&lt;&gt;"",F77&lt;&gt;"",N77&lt;&gt;"",O77&lt;&gt;"",P77&lt;&gt;"",G77&lt;&gt;"",H77&lt;&gt;"",I77&lt;&gt;"",#REF!&lt;&gt;"",#REF!&lt;&gt;"",#REF!&lt;&gt;"",#REF!&lt;&gt;"",#REF!&lt;&gt;"",#REF!&lt;&gt;"",#REF!&lt;&gt;"",J77&lt;&gt;"",K77&lt;&gt;"",L77&lt;&gt;"",M77&lt;&gt;"")),FALSE,"")</f>
        <v>#REF!</v>
      </c>
    </row>
    <row r="78" spans="2:25" ht="15.5" hidden="1" x14ac:dyDescent="0.35">
      <c r="B78" s="31"/>
      <c r="C78" s="50"/>
      <c r="D78" s="49"/>
      <c r="E78" s="34"/>
      <c r="F78" s="35"/>
      <c r="G78" s="43"/>
      <c r="H78" s="43"/>
      <c r="I78" s="36"/>
      <c r="J78" s="43"/>
      <c r="K78" s="43"/>
      <c r="L78" s="36"/>
      <c r="M78" s="43"/>
      <c r="N78" s="37"/>
      <c r="O78" s="44"/>
      <c r="P78" s="43"/>
      <c r="Q78" s="43"/>
      <c r="R78" s="22"/>
      <c r="S78" s="39" t="str">
        <f t="shared" si="6"/>
        <v/>
      </c>
      <c r="T78" s="39" t="str">
        <f t="shared" si="7"/>
        <v/>
      </c>
      <c r="U78" s="39" t="str">
        <f t="shared" si="8"/>
        <v/>
      </c>
      <c r="V78" s="40" t="str">
        <f>IF(M78="","",M78/(P78+G78+H78+I78+#REF!+#REF!+#REF!+#REF!+#REF!+#REF!+#REF!))</f>
        <v/>
      </c>
      <c r="W78" s="41" t="e">
        <f>IF(SUM(P78+G78+H78+I78+#REF!+#REF!+#REF!+#REF!+#REF!+#REF!+#REF!+J78+K78+L78+M78)=D78,"",FALSE)</f>
        <v>#REF!</v>
      </c>
      <c r="X78" s="42" t="e">
        <f>IF(OR(AND(C78="",D78&lt;&gt;""),AND(O78="",P78&lt;&gt;""),AND($G$8="",G78&lt;&gt;""),AND($H$8="",H78&lt;&gt;""),AND($I$8="",I78&lt;&gt;""),AND(#REF!="",#REF!&lt;&gt;""),AND(#REF!="",#REF!&lt;&gt;""),AND(#REF!="",#REF!&lt;&gt;""),AND(#REF!="",#REF!&lt;&gt;""),AND(#REF!="",#REF!&lt;&gt;""),AND(#REF!="",#REF!&lt;&gt;""),AND(#REF!="",#REF!&lt;&gt;""),AND($J$8="",J78&lt;&gt;""),AND($K$8="",K78&lt;&gt;""),AND($L$8="",L78&lt;&gt;""),AND($M$8="",M78&lt;&gt;"")),FALSE,"")</f>
        <v>#REF!</v>
      </c>
      <c r="Y78" s="42" t="e">
        <f>IF(AND(B78="",OR(C78&lt;&gt;"",D78&lt;&gt;"",E78&lt;&gt;"",F78&lt;&gt;"",N78&lt;&gt;"",O78&lt;&gt;"",P78&lt;&gt;"",G78&lt;&gt;"",H78&lt;&gt;"",I78&lt;&gt;"",#REF!&lt;&gt;"",#REF!&lt;&gt;"",#REF!&lt;&gt;"",#REF!&lt;&gt;"",#REF!&lt;&gt;"",#REF!&lt;&gt;"",#REF!&lt;&gt;"",J78&lt;&gt;"",K78&lt;&gt;"",L78&lt;&gt;"",M78&lt;&gt;"")),FALSE,"")</f>
        <v>#REF!</v>
      </c>
    </row>
    <row r="79" spans="2:25" ht="15.5" hidden="1" x14ac:dyDescent="0.35">
      <c r="B79" s="31"/>
      <c r="C79" s="50"/>
      <c r="D79" s="49"/>
      <c r="E79" s="34"/>
      <c r="F79" s="35"/>
      <c r="G79" s="43"/>
      <c r="H79" s="43"/>
      <c r="I79" s="36"/>
      <c r="J79" s="43"/>
      <c r="K79" s="43"/>
      <c r="L79" s="36"/>
      <c r="M79" s="43"/>
      <c r="N79" s="37"/>
      <c r="O79" s="44"/>
      <c r="P79" s="43"/>
      <c r="Q79" s="43"/>
      <c r="R79" s="22"/>
      <c r="S79" s="39" t="str">
        <f t="shared" si="6"/>
        <v/>
      </c>
      <c r="T79" s="39" t="str">
        <f t="shared" si="7"/>
        <v/>
      </c>
      <c r="U79" s="39" t="str">
        <f t="shared" si="8"/>
        <v/>
      </c>
      <c r="V79" s="40" t="str">
        <f>IF(M79="","",M79/(P79+G79+H79+I79+#REF!+#REF!+#REF!+#REF!+#REF!+#REF!+#REF!))</f>
        <v/>
      </c>
      <c r="W79" s="41" t="e">
        <f>IF(SUM(P79+G79+H79+I79+#REF!+#REF!+#REF!+#REF!+#REF!+#REF!+#REF!+J79+K79+L79+M79)=D79,"",FALSE)</f>
        <v>#REF!</v>
      </c>
      <c r="X79" s="42" t="e">
        <f>IF(OR(AND(C79="",D79&lt;&gt;""),AND(O79="",P79&lt;&gt;""),AND($G$8="",G79&lt;&gt;""),AND($H$8="",H79&lt;&gt;""),AND($I$8="",I79&lt;&gt;""),AND(#REF!="",#REF!&lt;&gt;""),AND(#REF!="",#REF!&lt;&gt;""),AND(#REF!="",#REF!&lt;&gt;""),AND(#REF!="",#REF!&lt;&gt;""),AND(#REF!="",#REF!&lt;&gt;""),AND(#REF!="",#REF!&lt;&gt;""),AND(#REF!="",#REF!&lt;&gt;""),AND($J$8="",J79&lt;&gt;""),AND($K$8="",K79&lt;&gt;""),AND($L$8="",L79&lt;&gt;""),AND($M$8="",M79&lt;&gt;"")),FALSE,"")</f>
        <v>#REF!</v>
      </c>
      <c r="Y79" s="42" t="e">
        <f>IF(AND(B79="",OR(C79&lt;&gt;"",D79&lt;&gt;"",E79&lt;&gt;"",F79&lt;&gt;"",N79&lt;&gt;"",O79&lt;&gt;"",P79&lt;&gt;"",G79&lt;&gt;"",H79&lt;&gt;"",I79&lt;&gt;"",#REF!&lt;&gt;"",#REF!&lt;&gt;"",#REF!&lt;&gt;"",#REF!&lt;&gt;"",#REF!&lt;&gt;"",#REF!&lt;&gt;"",#REF!&lt;&gt;"",J79&lt;&gt;"",K79&lt;&gt;"",L79&lt;&gt;"",M79&lt;&gt;"")),FALSE,"")</f>
        <v>#REF!</v>
      </c>
    </row>
    <row r="80" spans="2:25" ht="15.5" hidden="1" x14ac:dyDescent="0.35">
      <c r="B80" s="31"/>
      <c r="C80" s="50"/>
      <c r="D80" s="49"/>
      <c r="E80" s="34"/>
      <c r="F80" s="35"/>
      <c r="G80" s="43"/>
      <c r="H80" s="43"/>
      <c r="I80" s="36"/>
      <c r="J80" s="43"/>
      <c r="K80" s="43"/>
      <c r="L80" s="36"/>
      <c r="M80" s="43"/>
      <c r="N80" s="37"/>
      <c r="O80" s="44"/>
      <c r="P80" s="43"/>
      <c r="Q80" s="43"/>
      <c r="R80" s="22"/>
      <c r="S80" s="39" t="str">
        <f t="shared" si="6"/>
        <v/>
      </c>
      <c r="T80" s="39" t="str">
        <f t="shared" si="7"/>
        <v/>
      </c>
      <c r="U80" s="39" t="str">
        <f t="shared" si="8"/>
        <v/>
      </c>
      <c r="V80" s="40" t="str">
        <f>IF(M80="","",M80/(P80+G80+H80+I80+#REF!+#REF!+#REF!+#REF!+#REF!+#REF!+#REF!))</f>
        <v/>
      </c>
      <c r="W80" s="41" t="e">
        <f>IF(SUM(P80+G80+H80+I80+#REF!+#REF!+#REF!+#REF!+#REF!+#REF!+#REF!+J80+K80+L80+M80)=D80,"",FALSE)</f>
        <v>#REF!</v>
      </c>
      <c r="X80" s="42" t="e">
        <f>IF(OR(AND(C80="",D80&lt;&gt;""),AND(O80="",P80&lt;&gt;""),AND($G$8="",G80&lt;&gt;""),AND($H$8="",H80&lt;&gt;""),AND($I$8="",I80&lt;&gt;""),AND(#REF!="",#REF!&lt;&gt;""),AND(#REF!="",#REF!&lt;&gt;""),AND(#REF!="",#REF!&lt;&gt;""),AND(#REF!="",#REF!&lt;&gt;""),AND(#REF!="",#REF!&lt;&gt;""),AND(#REF!="",#REF!&lt;&gt;""),AND(#REF!="",#REF!&lt;&gt;""),AND($J$8="",J80&lt;&gt;""),AND($K$8="",K80&lt;&gt;""),AND($L$8="",L80&lt;&gt;""),AND($M$8="",M80&lt;&gt;"")),FALSE,"")</f>
        <v>#REF!</v>
      </c>
      <c r="Y80" s="42" t="e">
        <f>IF(AND(B80="",OR(C80&lt;&gt;"",D80&lt;&gt;"",E80&lt;&gt;"",F80&lt;&gt;"",N80&lt;&gt;"",O80&lt;&gt;"",P80&lt;&gt;"",G80&lt;&gt;"",H80&lt;&gt;"",I80&lt;&gt;"",#REF!&lt;&gt;"",#REF!&lt;&gt;"",#REF!&lt;&gt;"",#REF!&lt;&gt;"",#REF!&lt;&gt;"",#REF!&lt;&gt;"",#REF!&lt;&gt;"",J80&lt;&gt;"",K80&lt;&gt;"",L80&lt;&gt;"",M80&lt;&gt;"")),FALSE,"")</f>
        <v>#REF!</v>
      </c>
    </row>
    <row r="81" spans="2:25" ht="15.5" hidden="1" x14ac:dyDescent="0.35">
      <c r="B81" s="31"/>
      <c r="C81" s="50"/>
      <c r="D81" s="49"/>
      <c r="E81" s="34"/>
      <c r="F81" s="35"/>
      <c r="G81" s="43"/>
      <c r="H81" s="43"/>
      <c r="I81" s="36"/>
      <c r="J81" s="43"/>
      <c r="K81" s="43"/>
      <c r="L81" s="36"/>
      <c r="M81" s="43"/>
      <c r="N81" s="37"/>
      <c r="O81" s="44"/>
      <c r="P81" s="43"/>
      <c r="Q81" s="43"/>
      <c r="R81" s="22"/>
      <c r="S81" s="39" t="str">
        <f t="shared" si="6"/>
        <v/>
      </c>
      <c r="T81" s="39" t="str">
        <f t="shared" si="7"/>
        <v/>
      </c>
      <c r="U81" s="39" t="str">
        <f t="shared" si="8"/>
        <v/>
      </c>
      <c r="V81" s="40" t="str">
        <f>IF(M81="","",M81/(P81+G81+H81+I81+#REF!+#REF!+#REF!+#REF!+#REF!+#REF!+#REF!))</f>
        <v/>
      </c>
      <c r="W81" s="41" t="e">
        <f>IF(SUM(P81+G81+H81+I81+#REF!+#REF!+#REF!+#REF!+#REF!+#REF!+#REF!+J81+K81+L81+M81)=D81,"",FALSE)</f>
        <v>#REF!</v>
      </c>
      <c r="X81" s="42" t="e">
        <f>IF(OR(AND(C81="",D81&lt;&gt;""),AND(O81="",P81&lt;&gt;""),AND($G$8="",G81&lt;&gt;""),AND($H$8="",H81&lt;&gt;""),AND($I$8="",I81&lt;&gt;""),AND(#REF!="",#REF!&lt;&gt;""),AND(#REF!="",#REF!&lt;&gt;""),AND(#REF!="",#REF!&lt;&gt;""),AND(#REF!="",#REF!&lt;&gt;""),AND(#REF!="",#REF!&lt;&gt;""),AND(#REF!="",#REF!&lt;&gt;""),AND(#REF!="",#REF!&lt;&gt;""),AND($J$8="",J81&lt;&gt;""),AND($K$8="",K81&lt;&gt;""),AND($L$8="",L81&lt;&gt;""),AND($M$8="",M81&lt;&gt;"")),FALSE,"")</f>
        <v>#REF!</v>
      </c>
      <c r="Y81" s="42" t="e">
        <f>IF(AND(B81="",OR(C81&lt;&gt;"",D81&lt;&gt;"",E81&lt;&gt;"",F81&lt;&gt;"",N81&lt;&gt;"",O81&lt;&gt;"",P81&lt;&gt;"",G81&lt;&gt;"",H81&lt;&gt;"",I81&lt;&gt;"",#REF!&lt;&gt;"",#REF!&lt;&gt;"",#REF!&lt;&gt;"",#REF!&lt;&gt;"",#REF!&lt;&gt;"",#REF!&lt;&gt;"",#REF!&lt;&gt;"",J81&lt;&gt;"",K81&lt;&gt;"",L81&lt;&gt;"",M81&lt;&gt;"")),FALSE,"")</f>
        <v>#REF!</v>
      </c>
    </row>
    <row r="82" spans="2:25" ht="15.5" hidden="1" x14ac:dyDescent="0.35">
      <c r="B82" s="31"/>
      <c r="C82" s="50"/>
      <c r="D82" s="49"/>
      <c r="E82" s="34"/>
      <c r="F82" s="35"/>
      <c r="G82" s="43"/>
      <c r="H82" s="43"/>
      <c r="I82" s="36"/>
      <c r="J82" s="43"/>
      <c r="K82" s="43"/>
      <c r="L82" s="36"/>
      <c r="M82" s="43"/>
      <c r="N82" s="37"/>
      <c r="O82" s="44"/>
      <c r="P82" s="43"/>
      <c r="Q82" s="43"/>
      <c r="R82" s="22"/>
      <c r="S82" s="39" t="str">
        <f t="shared" si="6"/>
        <v/>
      </c>
      <c r="T82" s="39" t="str">
        <f t="shared" si="7"/>
        <v/>
      </c>
      <c r="U82" s="39" t="str">
        <f t="shared" si="8"/>
        <v/>
      </c>
      <c r="V82" s="40" t="str">
        <f>IF(M82="","",M82/(P82+G82+H82+I82+#REF!+#REF!+#REF!+#REF!+#REF!+#REF!+#REF!))</f>
        <v/>
      </c>
      <c r="W82" s="41" t="e">
        <f>IF(SUM(P82+G82+H82+I82+#REF!+#REF!+#REF!+#REF!+#REF!+#REF!+#REF!+J82+K82+L82+M82)=D82,"",FALSE)</f>
        <v>#REF!</v>
      </c>
      <c r="X82" s="42" t="e">
        <f>IF(OR(AND(C82="",D82&lt;&gt;""),AND(O82="",P82&lt;&gt;""),AND($G$8="",G82&lt;&gt;""),AND($H$8="",H82&lt;&gt;""),AND($I$8="",I82&lt;&gt;""),AND(#REF!="",#REF!&lt;&gt;""),AND(#REF!="",#REF!&lt;&gt;""),AND(#REF!="",#REF!&lt;&gt;""),AND(#REF!="",#REF!&lt;&gt;""),AND(#REF!="",#REF!&lt;&gt;""),AND(#REF!="",#REF!&lt;&gt;""),AND(#REF!="",#REF!&lt;&gt;""),AND($J$8="",J82&lt;&gt;""),AND($K$8="",K82&lt;&gt;""),AND($L$8="",L82&lt;&gt;""),AND($M$8="",M82&lt;&gt;"")),FALSE,"")</f>
        <v>#REF!</v>
      </c>
      <c r="Y82" s="42" t="e">
        <f>IF(AND(B82="",OR(C82&lt;&gt;"",D82&lt;&gt;"",E82&lt;&gt;"",F82&lt;&gt;"",N82&lt;&gt;"",O82&lt;&gt;"",P82&lt;&gt;"",G82&lt;&gt;"",H82&lt;&gt;"",I82&lt;&gt;"",#REF!&lt;&gt;"",#REF!&lt;&gt;"",#REF!&lt;&gt;"",#REF!&lt;&gt;"",#REF!&lt;&gt;"",#REF!&lt;&gt;"",#REF!&lt;&gt;"",J82&lt;&gt;"",K82&lt;&gt;"",L82&lt;&gt;"",M82&lt;&gt;"")),FALSE,"")</f>
        <v>#REF!</v>
      </c>
    </row>
    <row r="83" spans="2:25" ht="15.5" hidden="1" x14ac:dyDescent="0.35">
      <c r="B83" s="31"/>
      <c r="C83" s="50"/>
      <c r="D83" s="49"/>
      <c r="E83" s="34"/>
      <c r="F83" s="35"/>
      <c r="G83" s="43"/>
      <c r="H83" s="43"/>
      <c r="I83" s="36"/>
      <c r="J83" s="43"/>
      <c r="K83" s="43"/>
      <c r="L83" s="36"/>
      <c r="M83" s="43"/>
      <c r="N83" s="37"/>
      <c r="O83" s="44"/>
      <c r="P83" s="43"/>
      <c r="Q83" s="43"/>
      <c r="R83" s="22"/>
      <c r="S83" s="39" t="str">
        <f t="shared" si="6"/>
        <v/>
      </c>
      <c r="T83" s="39" t="str">
        <f t="shared" si="7"/>
        <v/>
      </c>
      <c r="U83" s="39" t="str">
        <f t="shared" si="8"/>
        <v/>
      </c>
      <c r="V83" s="40" t="str">
        <f>IF(M83="","",M83/(P83+G83+H83+I83+#REF!+#REF!+#REF!+#REF!+#REF!+#REF!+#REF!))</f>
        <v/>
      </c>
      <c r="W83" s="41" t="e">
        <f>IF(SUM(P83+G83+H83+I83+#REF!+#REF!+#REF!+#REF!+#REF!+#REF!+#REF!+J83+K83+L83+M83)=D83,"",FALSE)</f>
        <v>#REF!</v>
      </c>
      <c r="X83" s="42" t="e">
        <f>IF(OR(AND(C83="",D83&lt;&gt;""),AND(O83="",P83&lt;&gt;""),AND($G$8="",G83&lt;&gt;""),AND($H$8="",H83&lt;&gt;""),AND($I$8="",I83&lt;&gt;""),AND(#REF!="",#REF!&lt;&gt;""),AND(#REF!="",#REF!&lt;&gt;""),AND(#REF!="",#REF!&lt;&gt;""),AND(#REF!="",#REF!&lt;&gt;""),AND(#REF!="",#REF!&lt;&gt;""),AND(#REF!="",#REF!&lt;&gt;""),AND(#REF!="",#REF!&lt;&gt;""),AND($J$8="",J83&lt;&gt;""),AND($K$8="",K83&lt;&gt;""),AND($L$8="",L83&lt;&gt;""),AND($M$8="",M83&lt;&gt;"")),FALSE,"")</f>
        <v>#REF!</v>
      </c>
      <c r="Y83" s="42" t="e">
        <f>IF(AND(B83="",OR(C83&lt;&gt;"",D83&lt;&gt;"",E83&lt;&gt;"",F83&lt;&gt;"",N83&lt;&gt;"",O83&lt;&gt;"",P83&lt;&gt;"",G83&lt;&gt;"",H83&lt;&gt;"",I83&lt;&gt;"",#REF!&lt;&gt;"",#REF!&lt;&gt;"",#REF!&lt;&gt;"",#REF!&lt;&gt;"",#REF!&lt;&gt;"",#REF!&lt;&gt;"",#REF!&lt;&gt;"",J83&lt;&gt;"",K83&lt;&gt;"",L83&lt;&gt;"",M83&lt;&gt;"")),FALSE,"")</f>
        <v>#REF!</v>
      </c>
    </row>
    <row r="84" spans="2:25" ht="15.5" hidden="1" x14ac:dyDescent="0.35">
      <c r="B84" s="31"/>
      <c r="C84" s="50"/>
      <c r="D84" s="49"/>
      <c r="E84" s="34"/>
      <c r="F84" s="35"/>
      <c r="G84" s="43"/>
      <c r="H84" s="43"/>
      <c r="I84" s="36"/>
      <c r="J84" s="43"/>
      <c r="K84" s="43"/>
      <c r="L84" s="36"/>
      <c r="M84" s="43"/>
      <c r="N84" s="37"/>
      <c r="O84" s="44"/>
      <c r="P84" s="43"/>
      <c r="Q84" s="43"/>
      <c r="R84" s="22"/>
      <c r="S84" s="39" t="str">
        <f t="shared" si="6"/>
        <v/>
      </c>
      <c r="T84" s="39" t="str">
        <f t="shared" si="7"/>
        <v/>
      </c>
      <c r="U84" s="39" t="str">
        <f t="shared" si="8"/>
        <v/>
      </c>
      <c r="V84" s="40" t="str">
        <f>IF(M84="","",M84/(P84+G84+H84+I84+#REF!+#REF!+#REF!+#REF!+#REF!+#REF!+#REF!))</f>
        <v/>
      </c>
      <c r="W84" s="41" t="e">
        <f>IF(SUM(P84+G84+H84+I84+#REF!+#REF!+#REF!+#REF!+#REF!+#REF!+#REF!+J84+K84+L84+M84)=D84,"",FALSE)</f>
        <v>#REF!</v>
      </c>
      <c r="X84" s="42" t="e">
        <f>IF(OR(AND(C84="",D84&lt;&gt;""),AND(O84="",P84&lt;&gt;""),AND($G$8="",G84&lt;&gt;""),AND($H$8="",H84&lt;&gt;""),AND($I$8="",I84&lt;&gt;""),AND(#REF!="",#REF!&lt;&gt;""),AND(#REF!="",#REF!&lt;&gt;""),AND(#REF!="",#REF!&lt;&gt;""),AND(#REF!="",#REF!&lt;&gt;""),AND(#REF!="",#REF!&lt;&gt;""),AND(#REF!="",#REF!&lt;&gt;""),AND(#REF!="",#REF!&lt;&gt;""),AND($J$8="",J84&lt;&gt;""),AND($K$8="",K84&lt;&gt;""),AND($L$8="",L84&lt;&gt;""),AND($M$8="",M84&lt;&gt;"")),FALSE,"")</f>
        <v>#REF!</v>
      </c>
      <c r="Y84" s="42" t="e">
        <f>IF(AND(B84="",OR(C84&lt;&gt;"",D84&lt;&gt;"",E84&lt;&gt;"",F84&lt;&gt;"",N84&lt;&gt;"",O84&lt;&gt;"",P84&lt;&gt;"",G84&lt;&gt;"",H84&lt;&gt;"",I84&lt;&gt;"",#REF!&lt;&gt;"",#REF!&lt;&gt;"",#REF!&lt;&gt;"",#REF!&lt;&gt;"",#REF!&lt;&gt;"",#REF!&lt;&gt;"",#REF!&lt;&gt;"",J84&lt;&gt;"",K84&lt;&gt;"",L84&lt;&gt;"",M84&lt;&gt;"")),FALSE,"")</f>
        <v>#REF!</v>
      </c>
    </row>
    <row r="85" spans="2:25" ht="15.5" hidden="1" x14ac:dyDescent="0.35">
      <c r="B85" s="31"/>
      <c r="C85" s="50"/>
      <c r="D85" s="49"/>
      <c r="E85" s="34"/>
      <c r="F85" s="35"/>
      <c r="G85" s="43"/>
      <c r="H85" s="43"/>
      <c r="I85" s="36"/>
      <c r="J85" s="43"/>
      <c r="K85" s="43"/>
      <c r="L85" s="36"/>
      <c r="M85" s="43"/>
      <c r="N85" s="37"/>
      <c r="O85" s="44"/>
      <c r="P85" s="43"/>
      <c r="Q85" s="43"/>
      <c r="R85" s="22"/>
      <c r="S85" s="39" t="str">
        <f t="shared" si="6"/>
        <v/>
      </c>
      <c r="T85" s="39" t="str">
        <f t="shared" si="7"/>
        <v/>
      </c>
      <c r="U85" s="39" t="str">
        <f t="shared" si="8"/>
        <v/>
      </c>
      <c r="V85" s="40" t="str">
        <f>IF(M85="","",M85/(P85+G85+H85+I85+#REF!+#REF!+#REF!+#REF!+#REF!+#REF!+#REF!))</f>
        <v/>
      </c>
      <c r="W85" s="41" t="e">
        <f>IF(SUM(P85+G85+H85+I85+#REF!+#REF!+#REF!+#REF!+#REF!+#REF!+#REF!+J85+K85+L85+M85)=D85,"",FALSE)</f>
        <v>#REF!</v>
      </c>
      <c r="X85" s="42" t="e">
        <f>IF(OR(AND(C85="",D85&lt;&gt;""),AND(O85="",P85&lt;&gt;""),AND($G$8="",G85&lt;&gt;""),AND($H$8="",H85&lt;&gt;""),AND($I$8="",I85&lt;&gt;""),AND(#REF!="",#REF!&lt;&gt;""),AND(#REF!="",#REF!&lt;&gt;""),AND(#REF!="",#REF!&lt;&gt;""),AND(#REF!="",#REF!&lt;&gt;""),AND(#REF!="",#REF!&lt;&gt;""),AND(#REF!="",#REF!&lt;&gt;""),AND(#REF!="",#REF!&lt;&gt;""),AND($J$8="",J85&lt;&gt;""),AND($K$8="",K85&lt;&gt;""),AND($L$8="",L85&lt;&gt;""),AND($M$8="",M85&lt;&gt;"")),FALSE,"")</f>
        <v>#REF!</v>
      </c>
      <c r="Y85" s="42" t="e">
        <f>IF(AND(B85="",OR(C85&lt;&gt;"",D85&lt;&gt;"",E85&lt;&gt;"",F85&lt;&gt;"",N85&lt;&gt;"",O85&lt;&gt;"",P85&lt;&gt;"",G85&lt;&gt;"",H85&lt;&gt;"",I85&lt;&gt;"",#REF!&lt;&gt;"",#REF!&lt;&gt;"",#REF!&lt;&gt;"",#REF!&lt;&gt;"",#REF!&lt;&gt;"",#REF!&lt;&gt;"",#REF!&lt;&gt;"",J85&lt;&gt;"",K85&lt;&gt;"",L85&lt;&gt;"",M85&lt;&gt;"")),FALSE,"")</f>
        <v>#REF!</v>
      </c>
    </row>
    <row r="86" spans="2:25" ht="15.5" hidden="1" x14ac:dyDescent="0.35">
      <c r="B86" s="31"/>
      <c r="C86" s="50"/>
      <c r="D86" s="49"/>
      <c r="E86" s="34"/>
      <c r="F86" s="35"/>
      <c r="G86" s="43"/>
      <c r="H86" s="43"/>
      <c r="I86" s="36"/>
      <c r="J86" s="43"/>
      <c r="K86" s="43"/>
      <c r="L86" s="36"/>
      <c r="M86" s="43"/>
      <c r="N86" s="37"/>
      <c r="O86" s="44"/>
      <c r="P86" s="43"/>
      <c r="Q86" s="43"/>
      <c r="R86" s="22"/>
      <c r="S86" s="39" t="str">
        <f t="shared" si="6"/>
        <v/>
      </c>
      <c r="T86" s="39" t="str">
        <f t="shared" si="7"/>
        <v/>
      </c>
      <c r="U86" s="39" t="str">
        <f t="shared" si="8"/>
        <v/>
      </c>
      <c r="V86" s="40" t="str">
        <f>IF(M86="","",M86/(P86+G86+H86+I86+#REF!+#REF!+#REF!+#REF!+#REF!+#REF!+#REF!))</f>
        <v/>
      </c>
      <c r="W86" s="41" t="e">
        <f>IF(SUM(P86+G86+H86+I86+#REF!+#REF!+#REF!+#REF!+#REF!+#REF!+#REF!+J86+K86+L86+M86)=D86,"",FALSE)</f>
        <v>#REF!</v>
      </c>
      <c r="X86" s="42" t="e">
        <f>IF(OR(AND(C86="",D86&lt;&gt;""),AND(O86="",P86&lt;&gt;""),AND($G$8="",G86&lt;&gt;""),AND($H$8="",H86&lt;&gt;""),AND($I$8="",I86&lt;&gt;""),AND(#REF!="",#REF!&lt;&gt;""),AND(#REF!="",#REF!&lt;&gt;""),AND(#REF!="",#REF!&lt;&gt;""),AND(#REF!="",#REF!&lt;&gt;""),AND(#REF!="",#REF!&lt;&gt;""),AND(#REF!="",#REF!&lt;&gt;""),AND(#REF!="",#REF!&lt;&gt;""),AND($J$8="",J86&lt;&gt;""),AND($K$8="",K86&lt;&gt;""),AND($L$8="",L86&lt;&gt;""),AND($M$8="",M86&lt;&gt;"")),FALSE,"")</f>
        <v>#REF!</v>
      </c>
      <c r="Y86" s="42" t="e">
        <f>IF(AND(B86="",OR(C86&lt;&gt;"",D86&lt;&gt;"",E86&lt;&gt;"",F86&lt;&gt;"",N86&lt;&gt;"",O86&lt;&gt;"",P86&lt;&gt;"",G86&lt;&gt;"",H86&lt;&gt;"",I86&lt;&gt;"",#REF!&lt;&gt;"",#REF!&lt;&gt;"",#REF!&lt;&gt;"",#REF!&lt;&gt;"",#REF!&lt;&gt;"",#REF!&lt;&gt;"",#REF!&lt;&gt;"",J86&lt;&gt;"",K86&lt;&gt;"",L86&lt;&gt;"",M86&lt;&gt;"")),FALSE,"")</f>
        <v>#REF!</v>
      </c>
    </row>
    <row r="87" spans="2:25" ht="15.5" hidden="1" x14ac:dyDescent="0.35">
      <c r="B87" s="31"/>
      <c r="C87" s="50"/>
      <c r="D87" s="49"/>
      <c r="E87" s="34"/>
      <c r="F87" s="35"/>
      <c r="G87" s="43"/>
      <c r="H87" s="43"/>
      <c r="I87" s="36"/>
      <c r="J87" s="43"/>
      <c r="K87" s="43"/>
      <c r="L87" s="36"/>
      <c r="M87" s="43"/>
      <c r="N87" s="37"/>
      <c r="O87" s="44"/>
      <c r="P87" s="43"/>
      <c r="Q87" s="43"/>
      <c r="R87" s="22"/>
      <c r="S87" s="39" t="str">
        <f t="shared" si="6"/>
        <v/>
      </c>
      <c r="T87" s="39" t="str">
        <f t="shared" si="7"/>
        <v/>
      </c>
      <c r="U87" s="39" t="str">
        <f t="shared" si="8"/>
        <v/>
      </c>
      <c r="V87" s="40" t="str">
        <f>IF(M87="","",M87/(P87+G87+H87+I87+#REF!+#REF!+#REF!+#REF!+#REF!+#REF!+#REF!))</f>
        <v/>
      </c>
      <c r="W87" s="41" t="e">
        <f>IF(SUM(P87+G87+H87+I87+#REF!+#REF!+#REF!+#REF!+#REF!+#REF!+#REF!+J87+K87+L87+M87)=D87,"",FALSE)</f>
        <v>#REF!</v>
      </c>
      <c r="X87" s="42" t="e">
        <f>IF(OR(AND(C87="",D87&lt;&gt;""),AND(O87="",P87&lt;&gt;""),AND($G$8="",G87&lt;&gt;""),AND($H$8="",H87&lt;&gt;""),AND($I$8="",I87&lt;&gt;""),AND(#REF!="",#REF!&lt;&gt;""),AND(#REF!="",#REF!&lt;&gt;""),AND(#REF!="",#REF!&lt;&gt;""),AND(#REF!="",#REF!&lt;&gt;""),AND(#REF!="",#REF!&lt;&gt;""),AND(#REF!="",#REF!&lt;&gt;""),AND(#REF!="",#REF!&lt;&gt;""),AND($J$8="",J87&lt;&gt;""),AND($K$8="",K87&lt;&gt;""),AND($L$8="",L87&lt;&gt;""),AND($M$8="",M87&lt;&gt;"")),FALSE,"")</f>
        <v>#REF!</v>
      </c>
      <c r="Y87" s="42" t="e">
        <f>IF(AND(B87="",OR(C87&lt;&gt;"",D87&lt;&gt;"",E87&lt;&gt;"",F87&lt;&gt;"",N87&lt;&gt;"",O87&lt;&gt;"",P87&lt;&gt;"",G87&lt;&gt;"",H87&lt;&gt;"",I87&lt;&gt;"",#REF!&lt;&gt;"",#REF!&lt;&gt;"",#REF!&lt;&gt;"",#REF!&lt;&gt;"",#REF!&lt;&gt;"",#REF!&lt;&gt;"",#REF!&lt;&gt;"",J87&lt;&gt;"",K87&lt;&gt;"",L87&lt;&gt;"",M87&lt;&gt;"")),FALSE,"")</f>
        <v>#REF!</v>
      </c>
    </row>
    <row r="88" spans="2:25" ht="15.5" hidden="1" x14ac:dyDescent="0.35">
      <c r="B88" s="31"/>
      <c r="C88" s="50"/>
      <c r="D88" s="49"/>
      <c r="E88" s="34"/>
      <c r="F88" s="35"/>
      <c r="G88" s="43"/>
      <c r="H88" s="43"/>
      <c r="I88" s="36"/>
      <c r="J88" s="43"/>
      <c r="K88" s="43"/>
      <c r="L88" s="36"/>
      <c r="M88" s="43"/>
      <c r="N88" s="37"/>
      <c r="O88" s="44"/>
      <c r="P88" s="43"/>
      <c r="Q88" s="43"/>
      <c r="R88" s="22"/>
      <c r="S88" s="39" t="str">
        <f t="shared" si="6"/>
        <v/>
      </c>
      <c r="T88" s="39" t="str">
        <f t="shared" si="7"/>
        <v/>
      </c>
      <c r="U88" s="39" t="str">
        <f t="shared" si="8"/>
        <v/>
      </c>
      <c r="V88" s="40" t="str">
        <f>IF(M88="","",M88/(P88+G88+H88+I88+#REF!+#REF!+#REF!+#REF!+#REF!+#REF!+#REF!))</f>
        <v/>
      </c>
      <c r="W88" s="41" t="e">
        <f>IF(SUM(P88+G88+H88+I88+#REF!+#REF!+#REF!+#REF!+#REF!+#REF!+#REF!+J88+K88+L88+M88)=D88,"",FALSE)</f>
        <v>#REF!</v>
      </c>
      <c r="X88" s="42" t="e">
        <f>IF(OR(AND(C88="",D88&lt;&gt;""),AND(O88="",P88&lt;&gt;""),AND($G$8="",G88&lt;&gt;""),AND($H$8="",H88&lt;&gt;""),AND($I$8="",I88&lt;&gt;""),AND(#REF!="",#REF!&lt;&gt;""),AND(#REF!="",#REF!&lt;&gt;""),AND(#REF!="",#REF!&lt;&gt;""),AND(#REF!="",#REF!&lt;&gt;""),AND(#REF!="",#REF!&lt;&gt;""),AND(#REF!="",#REF!&lt;&gt;""),AND(#REF!="",#REF!&lt;&gt;""),AND($J$8="",J88&lt;&gt;""),AND($K$8="",K88&lt;&gt;""),AND($L$8="",L88&lt;&gt;""),AND($M$8="",M88&lt;&gt;"")),FALSE,"")</f>
        <v>#REF!</v>
      </c>
      <c r="Y88" s="42" t="e">
        <f>IF(AND(B88="",OR(C88&lt;&gt;"",D88&lt;&gt;"",E88&lt;&gt;"",F88&lt;&gt;"",N88&lt;&gt;"",O88&lt;&gt;"",P88&lt;&gt;"",G88&lt;&gt;"",H88&lt;&gt;"",I88&lt;&gt;"",#REF!&lt;&gt;"",#REF!&lt;&gt;"",#REF!&lt;&gt;"",#REF!&lt;&gt;"",#REF!&lt;&gt;"",#REF!&lt;&gt;"",#REF!&lt;&gt;"",J88&lt;&gt;"",K88&lt;&gt;"",L88&lt;&gt;"",M88&lt;&gt;"")),FALSE,"")</f>
        <v>#REF!</v>
      </c>
    </row>
    <row r="89" spans="2:25" ht="15.5" hidden="1" x14ac:dyDescent="0.35">
      <c r="B89" s="31"/>
      <c r="C89" s="50"/>
      <c r="D89" s="49"/>
      <c r="E89" s="34"/>
      <c r="F89" s="35"/>
      <c r="G89" s="43"/>
      <c r="H89" s="43"/>
      <c r="I89" s="36"/>
      <c r="J89" s="43"/>
      <c r="K89" s="43"/>
      <c r="L89" s="36"/>
      <c r="M89" s="43"/>
      <c r="N89" s="37"/>
      <c r="O89" s="44"/>
      <c r="P89" s="43"/>
      <c r="Q89" s="43"/>
      <c r="R89" s="22"/>
      <c r="S89" s="39" t="str">
        <f t="shared" si="6"/>
        <v/>
      </c>
      <c r="T89" s="39" t="str">
        <f t="shared" si="7"/>
        <v/>
      </c>
      <c r="U89" s="39" t="str">
        <f t="shared" si="8"/>
        <v/>
      </c>
      <c r="V89" s="40" t="str">
        <f>IF(M89="","",M89/(P89+G89+H89+I89+#REF!+#REF!+#REF!+#REF!+#REF!+#REF!+#REF!))</f>
        <v/>
      </c>
      <c r="W89" s="41" t="e">
        <f>IF(SUM(P89+G89+H89+I89+#REF!+#REF!+#REF!+#REF!+#REF!+#REF!+#REF!+J89+K89+L89+M89)=D89,"",FALSE)</f>
        <v>#REF!</v>
      </c>
      <c r="X89" s="42" t="e">
        <f>IF(OR(AND(C89="",D89&lt;&gt;""),AND(O89="",P89&lt;&gt;""),AND($G$8="",G89&lt;&gt;""),AND($H$8="",H89&lt;&gt;""),AND($I$8="",I89&lt;&gt;""),AND(#REF!="",#REF!&lt;&gt;""),AND(#REF!="",#REF!&lt;&gt;""),AND(#REF!="",#REF!&lt;&gt;""),AND(#REF!="",#REF!&lt;&gt;""),AND(#REF!="",#REF!&lt;&gt;""),AND(#REF!="",#REF!&lt;&gt;""),AND(#REF!="",#REF!&lt;&gt;""),AND($J$8="",J89&lt;&gt;""),AND($K$8="",K89&lt;&gt;""),AND($L$8="",L89&lt;&gt;""),AND($M$8="",M89&lt;&gt;"")),FALSE,"")</f>
        <v>#REF!</v>
      </c>
      <c r="Y89" s="42" t="e">
        <f>IF(AND(B89="",OR(C89&lt;&gt;"",D89&lt;&gt;"",E89&lt;&gt;"",F89&lt;&gt;"",N89&lt;&gt;"",O89&lt;&gt;"",P89&lt;&gt;"",G89&lt;&gt;"",H89&lt;&gt;"",I89&lt;&gt;"",#REF!&lt;&gt;"",#REF!&lt;&gt;"",#REF!&lt;&gt;"",#REF!&lt;&gt;"",#REF!&lt;&gt;"",#REF!&lt;&gt;"",#REF!&lt;&gt;"",J89&lt;&gt;"",K89&lt;&gt;"",L89&lt;&gt;"",M89&lt;&gt;"")),FALSE,"")</f>
        <v>#REF!</v>
      </c>
    </row>
    <row r="90" spans="2:25" ht="15.5" hidden="1" x14ac:dyDescent="0.35">
      <c r="B90" s="31"/>
      <c r="C90" s="50"/>
      <c r="D90" s="49"/>
      <c r="E90" s="34"/>
      <c r="F90" s="35"/>
      <c r="G90" s="43"/>
      <c r="H90" s="43"/>
      <c r="I90" s="36"/>
      <c r="J90" s="43"/>
      <c r="K90" s="43"/>
      <c r="L90" s="36"/>
      <c r="M90" s="43"/>
      <c r="N90" s="37"/>
      <c r="O90" s="44"/>
      <c r="P90" s="43"/>
      <c r="Q90" s="43"/>
      <c r="R90" s="22"/>
      <c r="S90" s="39" t="str">
        <f t="shared" si="6"/>
        <v/>
      </c>
      <c r="T90" s="39" t="str">
        <f t="shared" si="7"/>
        <v/>
      </c>
      <c r="U90" s="39" t="str">
        <f t="shared" si="8"/>
        <v/>
      </c>
      <c r="V90" s="40" t="str">
        <f>IF(M90="","",M90/(P90+G90+H90+I90+#REF!+#REF!+#REF!+#REF!+#REF!+#REF!+#REF!))</f>
        <v/>
      </c>
      <c r="W90" s="41" t="e">
        <f>IF(SUM(P90+G90+H90+I90+#REF!+#REF!+#REF!+#REF!+#REF!+#REF!+#REF!+J90+K90+L90+M90)=D90,"",FALSE)</f>
        <v>#REF!</v>
      </c>
      <c r="X90" s="42" t="e">
        <f>IF(OR(AND(C90="",D90&lt;&gt;""),AND(O90="",P90&lt;&gt;""),AND($G$8="",G90&lt;&gt;""),AND($H$8="",H90&lt;&gt;""),AND($I$8="",I90&lt;&gt;""),AND(#REF!="",#REF!&lt;&gt;""),AND(#REF!="",#REF!&lt;&gt;""),AND(#REF!="",#REF!&lt;&gt;""),AND(#REF!="",#REF!&lt;&gt;""),AND(#REF!="",#REF!&lt;&gt;""),AND(#REF!="",#REF!&lt;&gt;""),AND(#REF!="",#REF!&lt;&gt;""),AND($J$8="",J90&lt;&gt;""),AND($K$8="",K90&lt;&gt;""),AND($L$8="",L90&lt;&gt;""),AND($M$8="",M90&lt;&gt;"")),FALSE,"")</f>
        <v>#REF!</v>
      </c>
      <c r="Y90" s="42" t="e">
        <f>IF(AND(B90="",OR(C90&lt;&gt;"",D90&lt;&gt;"",E90&lt;&gt;"",F90&lt;&gt;"",N90&lt;&gt;"",O90&lt;&gt;"",P90&lt;&gt;"",G90&lt;&gt;"",H90&lt;&gt;"",I90&lt;&gt;"",#REF!&lt;&gt;"",#REF!&lt;&gt;"",#REF!&lt;&gt;"",#REF!&lt;&gt;"",#REF!&lt;&gt;"",#REF!&lt;&gt;"",#REF!&lt;&gt;"",J90&lt;&gt;"",K90&lt;&gt;"",L90&lt;&gt;"",M90&lt;&gt;"")),FALSE,"")</f>
        <v>#REF!</v>
      </c>
    </row>
    <row r="91" spans="2:25" ht="15.5" hidden="1" x14ac:dyDescent="0.35">
      <c r="B91" s="31"/>
      <c r="C91" s="50"/>
      <c r="D91" s="49"/>
      <c r="E91" s="34"/>
      <c r="F91" s="35"/>
      <c r="G91" s="43"/>
      <c r="H91" s="43"/>
      <c r="I91" s="36"/>
      <c r="J91" s="43"/>
      <c r="K91" s="43"/>
      <c r="L91" s="36"/>
      <c r="M91" s="43"/>
      <c r="N91" s="37"/>
      <c r="O91" s="44"/>
      <c r="P91" s="43"/>
      <c r="Q91" s="43"/>
      <c r="R91" s="22"/>
      <c r="S91" s="39" t="str">
        <f t="shared" si="6"/>
        <v/>
      </c>
      <c r="T91" s="39" t="str">
        <f t="shared" si="7"/>
        <v/>
      </c>
      <c r="U91" s="39" t="str">
        <f t="shared" si="8"/>
        <v/>
      </c>
      <c r="V91" s="40" t="str">
        <f>IF(M91="","",M91/(P91+G91+H91+I91+#REF!+#REF!+#REF!+#REF!+#REF!+#REF!+#REF!))</f>
        <v/>
      </c>
      <c r="W91" s="41" t="e">
        <f>IF(SUM(P91+G91+H91+I91+#REF!+#REF!+#REF!+#REF!+#REF!+#REF!+#REF!+J91+K91+L91+M91)=D91,"",FALSE)</f>
        <v>#REF!</v>
      </c>
      <c r="X91" s="42" t="e">
        <f>IF(OR(AND(C91="",D91&lt;&gt;""),AND(O91="",P91&lt;&gt;""),AND($G$8="",G91&lt;&gt;""),AND($H$8="",H91&lt;&gt;""),AND($I$8="",I91&lt;&gt;""),AND(#REF!="",#REF!&lt;&gt;""),AND(#REF!="",#REF!&lt;&gt;""),AND(#REF!="",#REF!&lt;&gt;""),AND(#REF!="",#REF!&lt;&gt;""),AND(#REF!="",#REF!&lt;&gt;""),AND(#REF!="",#REF!&lt;&gt;""),AND(#REF!="",#REF!&lt;&gt;""),AND($J$8="",J91&lt;&gt;""),AND($K$8="",K91&lt;&gt;""),AND($L$8="",L91&lt;&gt;""),AND($M$8="",M91&lt;&gt;"")),FALSE,"")</f>
        <v>#REF!</v>
      </c>
      <c r="Y91" s="42" t="e">
        <f>IF(AND(B91="",OR(C91&lt;&gt;"",D91&lt;&gt;"",E91&lt;&gt;"",F91&lt;&gt;"",N91&lt;&gt;"",O91&lt;&gt;"",P91&lt;&gt;"",G91&lt;&gt;"",H91&lt;&gt;"",I91&lt;&gt;"",#REF!&lt;&gt;"",#REF!&lt;&gt;"",#REF!&lt;&gt;"",#REF!&lt;&gt;"",#REF!&lt;&gt;"",#REF!&lt;&gt;"",#REF!&lt;&gt;"",J91&lt;&gt;"",K91&lt;&gt;"",L91&lt;&gt;"",M91&lt;&gt;"")),FALSE,"")</f>
        <v>#REF!</v>
      </c>
    </row>
    <row r="92" spans="2:25" ht="15.5" hidden="1" x14ac:dyDescent="0.35">
      <c r="B92" s="31"/>
      <c r="C92" s="50"/>
      <c r="D92" s="49"/>
      <c r="E92" s="34"/>
      <c r="F92" s="35"/>
      <c r="G92" s="43"/>
      <c r="H92" s="43"/>
      <c r="I92" s="36"/>
      <c r="J92" s="43"/>
      <c r="K92" s="43"/>
      <c r="L92" s="36"/>
      <c r="M92" s="43"/>
      <c r="N92" s="37"/>
      <c r="O92" s="44"/>
      <c r="P92" s="43"/>
      <c r="Q92" s="43"/>
      <c r="R92" s="22"/>
      <c r="S92" s="39" t="str">
        <f t="shared" si="6"/>
        <v/>
      </c>
      <c r="T92" s="39" t="str">
        <f t="shared" si="7"/>
        <v/>
      </c>
      <c r="U92" s="39" t="str">
        <f t="shared" si="8"/>
        <v/>
      </c>
      <c r="V92" s="40" t="str">
        <f>IF(M92="","",M92/(P92+G92+H92+I92+#REF!+#REF!+#REF!+#REF!+#REF!+#REF!+#REF!))</f>
        <v/>
      </c>
      <c r="W92" s="41" t="e">
        <f>IF(SUM(P92+G92+H92+I92+#REF!+#REF!+#REF!+#REF!+#REF!+#REF!+#REF!+J92+K92+L92+M92)=D92,"",FALSE)</f>
        <v>#REF!</v>
      </c>
      <c r="X92" s="42" t="e">
        <f>IF(OR(AND(C92="",D92&lt;&gt;""),AND(O92="",P92&lt;&gt;""),AND($G$8="",G92&lt;&gt;""),AND($H$8="",H92&lt;&gt;""),AND($I$8="",I92&lt;&gt;""),AND(#REF!="",#REF!&lt;&gt;""),AND(#REF!="",#REF!&lt;&gt;""),AND(#REF!="",#REF!&lt;&gt;""),AND(#REF!="",#REF!&lt;&gt;""),AND(#REF!="",#REF!&lt;&gt;""),AND(#REF!="",#REF!&lt;&gt;""),AND(#REF!="",#REF!&lt;&gt;""),AND($J$8="",J92&lt;&gt;""),AND($K$8="",K92&lt;&gt;""),AND($L$8="",L92&lt;&gt;""),AND($M$8="",M92&lt;&gt;"")),FALSE,"")</f>
        <v>#REF!</v>
      </c>
      <c r="Y92" s="42" t="e">
        <f>IF(AND(B92="",OR(C92&lt;&gt;"",D92&lt;&gt;"",E92&lt;&gt;"",F92&lt;&gt;"",N92&lt;&gt;"",O92&lt;&gt;"",P92&lt;&gt;"",G92&lt;&gt;"",H92&lt;&gt;"",I92&lt;&gt;"",#REF!&lt;&gt;"",#REF!&lt;&gt;"",#REF!&lt;&gt;"",#REF!&lt;&gt;"",#REF!&lt;&gt;"",#REF!&lt;&gt;"",#REF!&lt;&gt;"",J92&lt;&gt;"",K92&lt;&gt;"",L92&lt;&gt;"",M92&lt;&gt;"")),FALSE,"")</f>
        <v>#REF!</v>
      </c>
    </row>
    <row r="93" spans="2:25" ht="15.5" hidden="1" x14ac:dyDescent="0.35">
      <c r="B93" s="31"/>
      <c r="C93" s="50"/>
      <c r="D93" s="49"/>
      <c r="E93" s="34"/>
      <c r="F93" s="35"/>
      <c r="G93" s="43"/>
      <c r="H93" s="43"/>
      <c r="I93" s="36"/>
      <c r="J93" s="43"/>
      <c r="K93" s="43"/>
      <c r="L93" s="36"/>
      <c r="M93" s="43"/>
      <c r="N93" s="37"/>
      <c r="O93" s="44"/>
      <c r="P93" s="43"/>
      <c r="Q93" s="43"/>
      <c r="R93" s="22"/>
      <c r="S93" s="39" t="str">
        <f t="shared" si="6"/>
        <v/>
      </c>
      <c r="T93" s="39" t="str">
        <f t="shared" si="7"/>
        <v/>
      </c>
      <c r="U93" s="39" t="str">
        <f t="shared" si="8"/>
        <v/>
      </c>
      <c r="V93" s="40" t="str">
        <f>IF(M93="","",M93/(P93+G93+H93+I93+#REF!+#REF!+#REF!+#REF!+#REF!+#REF!+#REF!))</f>
        <v/>
      </c>
      <c r="W93" s="41" t="e">
        <f>IF(SUM(P93+G93+H93+I93+#REF!+#REF!+#REF!+#REF!+#REF!+#REF!+#REF!+J93+K93+L93+M93)=D93,"",FALSE)</f>
        <v>#REF!</v>
      </c>
      <c r="X93" s="42" t="e">
        <f>IF(OR(AND(C93="",D93&lt;&gt;""),AND(O93="",P93&lt;&gt;""),AND($G$8="",G93&lt;&gt;""),AND($H$8="",H93&lt;&gt;""),AND($I$8="",I93&lt;&gt;""),AND(#REF!="",#REF!&lt;&gt;""),AND(#REF!="",#REF!&lt;&gt;""),AND(#REF!="",#REF!&lt;&gt;""),AND(#REF!="",#REF!&lt;&gt;""),AND(#REF!="",#REF!&lt;&gt;""),AND(#REF!="",#REF!&lt;&gt;""),AND(#REF!="",#REF!&lt;&gt;""),AND($J$8="",J93&lt;&gt;""),AND($K$8="",K93&lt;&gt;""),AND($L$8="",L93&lt;&gt;""),AND($M$8="",M93&lt;&gt;"")),FALSE,"")</f>
        <v>#REF!</v>
      </c>
      <c r="Y93" s="42" t="e">
        <f>IF(AND(B93="",OR(C93&lt;&gt;"",D93&lt;&gt;"",E93&lt;&gt;"",F93&lt;&gt;"",N93&lt;&gt;"",O93&lt;&gt;"",P93&lt;&gt;"",G93&lt;&gt;"",H93&lt;&gt;"",I93&lt;&gt;"",#REF!&lt;&gt;"",#REF!&lt;&gt;"",#REF!&lt;&gt;"",#REF!&lt;&gt;"",#REF!&lt;&gt;"",#REF!&lt;&gt;"",#REF!&lt;&gt;"",J93&lt;&gt;"",K93&lt;&gt;"",L93&lt;&gt;"",M93&lt;&gt;"")),FALSE,"")</f>
        <v>#REF!</v>
      </c>
    </row>
    <row r="94" spans="2:25" ht="15.5" hidden="1" x14ac:dyDescent="0.35">
      <c r="B94" s="31"/>
      <c r="C94" s="50"/>
      <c r="D94" s="49"/>
      <c r="E94" s="34"/>
      <c r="F94" s="35"/>
      <c r="G94" s="43"/>
      <c r="H94" s="43"/>
      <c r="I94" s="36"/>
      <c r="J94" s="43"/>
      <c r="K94" s="43"/>
      <c r="L94" s="36"/>
      <c r="M94" s="43"/>
      <c r="N94" s="37"/>
      <c r="O94" s="44"/>
      <c r="P94" s="43"/>
      <c r="Q94" s="43"/>
      <c r="R94" s="22"/>
      <c r="S94" s="39" t="str">
        <f t="shared" si="6"/>
        <v/>
      </c>
      <c r="T94" s="39" t="str">
        <f t="shared" si="7"/>
        <v/>
      </c>
      <c r="U94" s="39" t="str">
        <f t="shared" si="8"/>
        <v/>
      </c>
      <c r="V94" s="40" t="str">
        <f>IF(M94="","",M94/(P94+G94+H94+I94+#REF!+#REF!+#REF!+#REF!+#REF!+#REF!+#REF!))</f>
        <v/>
      </c>
      <c r="W94" s="41" t="e">
        <f>IF(SUM(P94+G94+H94+I94+#REF!+#REF!+#REF!+#REF!+#REF!+#REF!+#REF!+J94+K94+L94+M94)=D94,"",FALSE)</f>
        <v>#REF!</v>
      </c>
      <c r="X94" s="42" t="e">
        <f>IF(OR(AND(C94="",D94&lt;&gt;""),AND(O94="",P94&lt;&gt;""),AND($G$8="",G94&lt;&gt;""),AND($H$8="",H94&lt;&gt;""),AND($I$8="",I94&lt;&gt;""),AND(#REF!="",#REF!&lt;&gt;""),AND(#REF!="",#REF!&lt;&gt;""),AND(#REF!="",#REF!&lt;&gt;""),AND(#REF!="",#REF!&lt;&gt;""),AND(#REF!="",#REF!&lt;&gt;""),AND(#REF!="",#REF!&lt;&gt;""),AND(#REF!="",#REF!&lt;&gt;""),AND($J$8="",J94&lt;&gt;""),AND($K$8="",K94&lt;&gt;""),AND($L$8="",L94&lt;&gt;""),AND($M$8="",M94&lt;&gt;"")),FALSE,"")</f>
        <v>#REF!</v>
      </c>
      <c r="Y94" s="42" t="e">
        <f>IF(AND(B94="",OR(C94&lt;&gt;"",D94&lt;&gt;"",E94&lt;&gt;"",F94&lt;&gt;"",N94&lt;&gt;"",O94&lt;&gt;"",P94&lt;&gt;"",G94&lt;&gt;"",H94&lt;&gt;"",I94&lt;&gt;"",#REF!&lt;&gt;"",#REF!&lt;&gt;"",#REF!&lt;&gt;"",#REF!&lt;&gt;"",#REF!&lt;&gt;"",#REF!&lt;&gt;"",#REF!&lt;&gt;"",J94&lt;&gt;"",K94&lt;&gt;"",L94&lt;&gt;"",M94&lt;&gt;"")),FALSE,"")</f>
        <v>#REF!</v>
      </c>
    </row>
    <row r="95" spans="2:25" ht="15.5" hidden="1" x14ac:dyDescent="0.35">
      <c r="B95" s="31"/>
      <c r="C95" s="50"/>
      <c r="D95" s="49"/>
      <c r="E95" s="34"/>
      <c r="F95" s="35"/>
      <c r="G95" s="43"/>
      <c r="H95" s="43"/>
      <c r="I95" s="36"/>
      <c r="J95" s="43"/>
      <c r="K95" s="43"/>
      <c r="L95" s="36"/>
      <c r="M95" s="43"/>
      <c r="N95" s="37"/>
      <c r="O95" s="44"/>
      <c r="P95" s="43"/>
      <c r="Q95" s="43"/>
      <c r="R95" s="22"/>
      <c r="S95" s="39" t="str">
        <f t="shared" si="6"/>
        <v/>
      </c>
      <c r="T95" s="39" t="str">
        <f t="shared" si="7"/>
        <v/>
      </c>
      <c r="U95" s="39" t="str">
        <f t="shared" si="8"/>
        <v/>
      </c>
      <c r="V95" s="40" t="str">
        <f>IF(M95="","",M95/(P95+G95+H95+I95+#REF!+#REF!+#REF!+#REF!+#REF!+#REF!+#REF!))</f>
        <v/>
      </c>
      <c r="W95" s="41" t="e">
        <f>IF(SUM(P95+G95+H95+I95+#REF!+#REF!+#REF!+#REF!+#REF!+#REF!+#REF!+J95+K95+L95+M95)=D95,"",FALSE)</f>
        <v>#REF!</v>
      </c>
      <c r="X95" s="42" t="e">
        <f>IF(OR(AND(C95="",D95&lt;&gt;""),AND(O95="",P95&lt;&gt;""),AND($G$8="",G95&lt;&gt;""),AND($H$8="",H95&lt;&gt;""),AND($I$8="",I95&lt;&gt;""),AND(#REF!="",#REF!&lt;&gt;""),AND(#REF!="",#REF!&lt;&gt;""),AND(#REF!="",#REF!&lt;&gt;""),AND(#REF!="",#REF!&lt;&gt;""),AND(#REF!="",#REF!&lt;&gt;""),AND(#REF!="",#REF!&lt;&gt;""),AND(#REF!="",#REF!&lt;&gt;""),AND($J$8="",J95&lt;&gt;""),AND($K$8="",K95&lt;&gt;""),AND($L$8="",L95&lt;&gt;""),AND($M$8="",M95&lt;&gt;"")),FALSE,"")</f>
        <v>#REF!</v>
      </c>
      <c r="Y95" s="42" t="e">
        <f>IF(AND(B95="",OR(C95&lt;&gt;"",D95&lt;&gt;"",E95&lt;&gt;"",F95&lt;&gt;"",N95&lt;&gt;"",O95&lt;&gt;"",P95&lt;&gt;"",G95&lt;&gt;"",H95&lt;&gt;"",I95&lt;&gt;"",#REF!&lt;&gt;"",#REF!&lt;&gt;"",#REF!&lt;&gt;"",#REF!&lt;&gt;"",#REF!&lt;&gt;"",#REF!&lt;&gt;"",#REF!&lt;&gt;"",J95&lt;&gt;"",K95&lt;&gt;"",L95&lt;&gt;"",M95&lt;&gt;"")),FALSE,"")</f>
        <v>#REF!</v>
      </c>
    </row>
    <row r="96" spans="2:25" ht="15.5" hidden="1" x14ac:dyDescent="0.35">
      <c r="B96" s="31"/>
      <c r="C96" s="50"/>
      <c r="D96" s="49"/>
      <c r="E96" s="34"/>
      <c r="F96" s="35"/>
      <c r="G96" s="43"/>
      <c r="H96" s="43"/>
      <c r="I96" s="36"/>
      <c r="J96" s="43"/>
      <c r="K96" s="43"/>
      <c r="L96" s="36"/>
      <c r="M96" s="43"/>
      <c r="N96" s="37"/>
      <c r="O96" s="44"/>
      <c r="P96" s="43"/>
      <c r="Q96" s="43"/>
      <c r="R96" s="22"/>
      <c r="S96" s="39" t="str">
        <f t="shared" si="6"/>
        <v/>
      </c>
      <c r="T96" s="39" t="str">
        <f t="shared" si="7"/>
        <v/>
      </c>
      <c r="U96" s="39" t="str">
        <f t="shared" si="8"/>
        <v/>
      </c>
      <c r="V96" s="40" t="str">
        <f>IF(M96="","",M96/(P96+G96+H96+I96+#REF!+#REF!+#REF!+#REF!+#REF!+#REF!+#REF!))</f>
        <v/>
      </c>
      <c r="W96" s="41" t="e">
        <f>IF(SUM(P96+G96+H96+I96+#REF!+#REF!+#REF!+#REF!+#REF!+#REF!+#REF!+J96+K96+L96+M96)=D96,"",FALSE)</f>
        <v>#REF!</v>
      </c>
      <c r="X96" s="42" t="e">
        <f>IF(OR(AND(C96="",D96&lt;&gt;""),AND(O96="",P96&lt;&gt;""),AND($G$8="",G96&lt;&gt;""),AND($H$8="",H96&lt;&gt;""),AND($I$8="",I96&lt;&gt;""),AND(#REF!="",#REF!&lt;&gt;""),AND(#REF!="",#REF!&lt;&gt;""),AND(#REF!="",#REF!&lt;&gt;""),AND(#REF!="",#REF!&lt;&gt;""),AND(#REF!="",#REF!&lt;&gt;""),AND(#REF!="",#REF!&lt;&gt;""),AND(#REF!="",#REF!&lt;&gt;""),AND($J$8="",J96&lt;&gt;""),AND($K$8="",K96&lt;&gt;""),AND($L$8="",L96&lt;&gt;""),AND($M$8="",M96&lt;&gt;"")),FALSE,"")</f>
        <v>#REF!</v>
      </c>
      <c r="Y96" s="42" t="e">
        <f>IF(AND(B96="",OR(C96&lt;&gt;"",D96&lt;&gt;"",E96&lt;&gt;"",F96&lt;&gt;"",N96&lt;&gt;"",O96&lt;&gt;"",P96&lt;&gt;"",G96&lt;&gt;"",H96&lt;&gt;"",I96&lt;&gt;"",#REF!&lt;&gt;"",#REF!&lt;&gt;"",#REF!&lt;&gt;"",#REF!&lt;&gt;"",#REF!&lt;&gt;"",#REF!&lt;&gt;"",#REF!&lt;&gt;"",J96&lt;&gt;"",K96&lt;&gt;"",L96&lt;&gt;"",M96&lt;&gt;"")),FALSE,"")</f>
        <v>#REF!</v>
      </c>
    </row>
    <row r="97" spans="2:25" ht="15.5" hidden="1" x14ac:dyDescent="0.35">
      <c r="B97" s="31"/>
      <c r="C97" s="50"/>
      <c r="D97" s="49"/>
      <c r="E97" s="34"/>
      <c r="F97" s="35"/>
      <c r="G97" s="43"/>
      <c r="H97" s="43"/>
      <c r="I97" s="36"/>
      <c r="J97" s="43"/>
      <c r="K97" s="43"/>
      <c r="L97" s="36"/>
      <c r="M97" s="43"/>
      <c r="N97" s="37"/>
      <c r="O97" s="44"/>
      <c r="P97" s="43"/>
      <c r="Q97" s="43"/>
      <c r="R97" s="22"/>
      <c r="S97" s="39" t="str">
        <f t="shared" si="6"/>
        <v/>
      </c>
      <c r="T97" s="39" t="str">
        <f t="shared" si="7"/>
        <v/>
      </c>
      <c r="U97" s="39" t="str">
        <f t="shared" si="8"/>
        <v/>
      </c>
      <c r="V97" s="40" t="str">
        <f>IF(M97="","",M97/(P97+G97+H97+I97+#REF!+#REF!+#REF!+#REF!+#REF!+#REF!+#REF!))</f>
        <v/>
      </c>
      <c r="W97" s="41" t="e">
        <f>IF(SUM(P97+G97+H97+I97+#REF!+#REF!+#REF!+#REF!+#REF!+#REF!+#REF!+J97+K97+L97+M97)=D97,"",FALSE)</f>
        <v>#REF!</v>
      </c>
      <c r="X97" s="42" t="e">
        <f>IF(OR(AND(C97="",D97&lt;&gt;""),AND(O97="",P97&lt;&gt;""),AND($G$8="",G97&lt;&gt;""),AND($H$8="",H97&lt;&gt;""),AND($I$8="",I97&lt;&gt;""),AND(#REF!="",#REF!&lt;&gt;""),AND(#REF!="",#REF!&lt;&gt;""),AND(#REF!="",#REF!&lt;&gt;""),AND(#REF!="",#REF!&lt;&gt;""),AND(#REF!="",#REF!&lt;&gt;""),AND(#REF!="",#REF!&lt;&gt;""),AND(#REF!="",#REF!&lt;&gt;""),AND($J$8="",J97&lt;&gt;""),AND($K$8="",K97&lt;&gt;""),AND($L$8="",L97&lt;&gt;""),AND($M$8="",M97&lt;&gt;"")),FALSE,"")</f>
        <v>#REF!</v>
      </c>
      <c r="Y97" s="42" t="e">
        <f>IF(AND(B97="",OR(C97&lt;&gt;"",D97&lt;&gt;"",E97&lt;&gt;"",F97&lt;&gt;"",N97&lt;&gt;"",O97&lt;&gt;"",P97&lt;&gt;"",G97&lt;&gt;"",H97&lt;&gt;"",I97&lt;&gt;"",#REF!&lt;&gt;"",#REF!&lt;&gt;"",#REF!&lt;&gt;"",#REF!&lt;&gt;"",#REF!&lt;&gt;"",#REF!&lt;&gt;"",#REF!&lt;&gt;"",J97&lt;&gt;"",K97&lt;&gt;"",L97&lt;&gt;"",M97&lt;&gt;"")),FALSE,"")</f>
        <v>#REF!</v>
      </c>
    </row>
    <row r="98" spans="2:25" ht="15.5" hidden="1" x14ac:dyDescent="0.35">
      <c r="B98" s="31"/>
      <c r="C98" s="50"/>
      <c r="D98" s="49"/>
      <c r="E98" s="34"/>
      <c r="F98" s="35"/>
      <c r="G98" s="43"/>
      <c r="H98" s="43"/>
      <c r="I98" s="36"/>
      <c r="J98" s="43"/>
      <c r="K98" s="43"/>
      <c r="L98" s="36"/>
      <c r="M98" s="43"/>
      <c r="N98" s="37"/>
      <c r="O98" s="44"/>
      <c r="P98" s="43"/>
      <c r="Q98" s="43"/>
      <c r="R98" s="22"/>
      <c r="S98" s="39" t="str">
        <f t="shared" si="6"/>
        <v/>
      </c>
      <c r="T98" s="39" t="str">
        <f t="shared" si="7"/>
        <v/>
      </c>
      <c r="U98" s="39" t="str">
        <f t="shared" si="8"/>
        <v/>
      </c>
      <c r="V98" s="40" t="str">
        <f>IF(M98="","",M98/(P98+G98+H98+I98+#REF!+#REF!+#REF!+#REF!+#REF!+#REF!+#REF!))</f>
        <v/>
      </c>
      <c r="W98" s="41" t="e">
        <f>IF(SUM(P98+G98+H98+I98+#REF!+#REF!+#REF!+#REF!+#REF!+#REF!+#REF!+J98+K98+L98+M98)=D98,"",FALSE)</f>
        <v>#REF!</v>
      </c>
      <c r="X98" s="42" t="e">
        <f>IF(OR(AND(C98="",D98&lt;&gt;""),AND(O98="",P98&lt;&gt;""),AND($G$8="",G98&lt;&gt;""),AND($H$8="",H98&lt;&gt;""),AND($I$8="",I98&lt;&gt;""),AND(#REF!="",#REF!&lt;&gt;""),AND(#REF!="",#REF!&lt;&gt;""),AND(#REF!="",#REF!&lt;&gt;""),AND(#REF!="",#REF!&lt;&gt;""),AND(#REF!="",#REF!&lt;&gt;""),AND(#REF!="",#REF!&lt;&gt;""),AND(#REF!="",#REF!&lt;&gt;""),AND($J$8="",J98&lt;&gt;""),AND($K$8="",K98&lt;&gt;""),AND($L$8="",L98&lt;&gt;""),AND($M$8="",M98&lt;&gt;"")),FALSE,"")</f>
        <v>#REF!</v>
      </c>
      <c r="Y98" s="42" t="e">
        <f>IF(AND(B98="",OR(C98&lt;&gt;"",D98&lt;&gt;"",E98&lt;&gt;"",F98&lt;&gt;"",N98&lt;&gt;"",O98&lt;&gt;"",P98&lt;&gt;"",G98&lt;&gt;"",H98&lt;&gt;"",I98&lt;&gt;"",#REF!&lt;&gt;"",#REF!&lt;&gt;"",#REF!&lt;&gt;"",#REF!&lt;&gt;"",#REF!&lt;&gt;"",#REF!&lt;&gt;"",#REF!&lt;&gt;"",J98&lt;&gt;"",K98&lt;&gt;"",L98&lt;&gt;"",M98&lt;&gt;"")),FALSE,"")</f>
        <v>#REF!</v>
      </c>
    </row>
    <row r="99" spans="2:25" ht="15.5" hidden="1" x14ac:dyDescent="0.35">
      <c r="B99" s="31"/>
      <c r="C99" s="50"/>
      <c r="D99" s="49"/>
      <c r="E99" s="34"/>
      <c r="F99" s="35"/>
      <c r="G99" s="43"/>
      <c r="H99" s="43"/>
      <c r="I99" s="36"/>
      <c r="J99" s="43"/>
      <c r="K99" s="43"/>
      <c r="L99" s="36"/>
      <c r="M99" s="43"/>
      <c r="N99" s="37"/>
      <c r="O99" s="44"/>
      <c r="P99" s="43"/>
      <c r="Q99" s="43"/>
      <c r="R99" s="22"/>
      <c r="S99" s="39" t="str">
        <f t="shared" si="6"/>
        <v/>
      </c>
      <c r="T99" s="39" t="str">
        <f t="shared" si="7"/>
        <v/>
      </c>
      <c r="U99" s="39" t="str">
        <f t="shared" si="8"/>
        <v/>
      </c>
      <c r="V99" s="40" t="str">
        <f>IF(M99="","",M99/(P99+G99+H99+I99+#REF!+#REF!+#REF!+#REF!+#REF!+#REF!+#REF!))</f>
        <v/>
      </c>
      <c r="W99" s="41" t="e">
        <f>IF(SUM(P99+G99+H99+I99+#REF!+#REF!+#REF!+#REF!+#REF!+#REF!+#REF!+J99+K99+L99+M99)=D99,"",FALSE)</f>
        <v>#REF!</v>
      </c>
      <c r="X99" s="42" t="e">
        <f>IF(OR(AND(C99="",D99&lt;&gt;""),AND(O99="",P99&lt;&gt;""),AND($G$8="",G99&lt;&gt;""),AND($H$8="",H99&lt;&gt;""),AND($I$8="",I99&lt;&gt;""),AND(#REF!="",#REF!&lt;&gt;""),AND(#REF!="",#REF!&lt;&gt;""),AND(#REF!="",#REF!&lt;&gt;""),AND(#REF!="",#REF!&lt;&gt;""),AND(#REF!="",#REF!&lt;&gt;""),AND(#REF!="",#REF!&lt;&gt;""),AND(#REF!="",#REF!&lt;&gt;""),AND($J$8="",J99&lt;&gt;""),AND($K$8="",K99&lt;&gt;""),AND($L$8="",L99&lt;&gt;""),AND($M$8="",M99&lt;&gt;"")),FALSE,"")</f>
        <v>#REF!</v>
      </c>
      <c r="Y99" s="42" t="e">
        <f>IF(AND(B99="",OR(C99&lt;&gt;"",D99&lt;&gt;"",E99&lt;&gt;"",F99&lt;&gt;"",N99&lt;&gt;"",O99&lt;&gt;"",P99&lt;&gt;"",G99&lt;&gt;"",H99&lt;&gt;"",I99&lt;&gt;"",#REF!&lt;&gt;"",#REF!&lt;&gt;"",#REF!&lt;&gt;"",#REF!&lt;&gt;"",#REF!&lt;&gt;"",#REF!&lt;&gt;"",#REF!&lt;&gt;"",J99&lt;&gt;"",K99&lt;&gt;"",L99&lt;&gt;"",M99&lt;&gt;"")),FALSE,"")</f>
        <v>#REF!</v>
      </c>
    </row>
    <row r="100" spans="2:25" ht="15.5" hidden="1" x14ac:dyDescent="0.35">
      <c r="B100" s="31"/>
      <c r="C100" s="50"/>
      <c r="D100" s="49"/>
      <c r="E100" s="34"/>
      <c r="F100" s="35"/>
      <c r="G100" s="43"/>
      <c r="H100" s="43"/>
      <c r="I100" s="36"/>
      <c r="J100" s="43"/>
      <c r="K100" s="43"/>
      <c r="L100" s="36"/>
      <c r="M100" s="43"/>
      <c r="N100" s="37"/>
      <c r="O100" s="44"/>
      <c r="P100" s="43"/>
      <c r="Q100" s="43"/>
      <c r="R100" s="22"/>
      <c r="S100" s="39" t="str">
        <f t="shared" si="6"/>
        <v/>
      </c>
      <c r="T100" s="39" t="str">
        <f t="shared" si="7"/>
        <v/>
      </c>
      <c r="U100" s="39" t="str">
        <f t="shared" si="8"/>
        <v/>
      </c>
      <c r="V100" s="40" t="str">
        <f>IF(M100="","",M100/(P100+G100+H100+I100+#REF!+#REF!+#REF!+#REF!+#REF!+#REF!+#REF!))</f>
        <v/>
      </c>
      <c r="W100" s="41" t="e">
        <f>IF(SUM(P100+G100+H100+I100+#REF!+#REF!+#REF!+#REF!+#REF!+#REF!+#REF!+J100+K100+L100+M100)=D100,"",FALSE)</f>
        <v>#REF!</v>
      </c>
      <c r="X100" s="42" t="e">
        <f>IF(OR(AND(C100="",D100&lt;&gt;""),AND(O100="",P100&lt;&gt;""),AND($G$8="",G100&lt;&gt;""),AND($H$8="",H100&lt;&gt;""),AND($I$8="",I100&lt;&gt;""),AND(#REF!="",#REF!&lt;&gt;""),AND(#REF!="",#REF!&lt;&gt;""),AND(#REF!="",#REF!&lt;&gt;""),AND(#REF!="",#REF!&lt;&gt;""),AND(#REF!="",#REF!&lt;&gt;""),AND(#REF!="",#REF!&lt;&gt;""),AND(#REF!="",#REF!&lt;&gt;""),AND($J$8="",J100&lt;&gt;""),AND($K$8="",K100&lt;&gt;""),AND($L$8="",L100&lt;&gt;""),AND($M$8="",M100&lt;&gt;"")),FALSE,"")</f>
        <v>#REF!</v>
      </c>
      <c r="Y100" s="42" t="e">
        <f>IF(AND(B100="",OR(C100&lt;&gt;"",D100&lt;&gt;"",E100&lt;&gt;"",F100&lt;&gt;"",N100&lt;&gt;"",O100&lt;&gt;"",P100&lt;&gt;"",G100&lt;&gt;"",H100&lt;&gt;"",I100&lt;&gt;"",#REF!&lt;&gt;"",#REF!&lt;&gt;"",#REF!&lt;&gt;"",#REF!&lt;&gt;"",#REF!&lt;&gt;"",#REF!&lt;&gt;"",#REF!&lt;&gt;"",J100&lt;&gt;"",K100&lt;&gt;"",L100&lt;&gt;"",M100&lt;&gt;"")),FALSE,"")</f>
        <v>#REF!</v>
      </c>
    </row>
    <row r="101" spans="2:25" hidden="1" x14ac:dyDescent="0.35">
      <c r="B101" s="52"/>
      <c r="C101" s="50"/>
      <c r="D101" s="43"/>
      <c r="E101" s="53"/>
      <c r="F101" s="53"/>
      <c r="G101" s="43"/>
      <c r="H101" s="43"/>
      <c r="I101" s="36"/>
      <c r="J101" s="43"/>
      <c r="K101" s="43"/>
      <c r="L101" s="43"/>
      <c r="M101" s="43"/>
      <c r="N101" s="53"/>
      <c r="O101" s="44"/>
      <c r="P101" s="43"/>
      <c r="Q101" s="43"/>
      <c r="R101" s="22"/>
      <c r="S101" s="39" t="str">
        <f t="shared" si="6"/>
        <v/>
      </c>
      <c r="T101" s="39" t="str">
        <f t="shared" si="7"/>
        <v/>
      </c>
      <c r="U101" s="39" t="str">
        <f t="shared" si="8"/>
        <v/>
      </c>
      <c r="V101" s="40" t="str">
        <f>IF(M101="","",M101/(P101+G101+H101+I101+#REF!+#REF!+#REF!+#REF!+#REF!+#REF!+#REF!))</f>
        <v/>
      </c>
      <c r="W101" s="41" t="e">
        <f>IF(SUM(P101+G101+H101+I101+#REF!+#REF!+#REF!+#REF!+#REF!+#REF!+#REF!+J101+K101+L101+M101)=D101,"",FALSE)</f>
        <v>#REF!</v>
      </c>
      <c r="X101" s="42" t="e">
        <f>IF(OR(AND(C101="",D101&lt;&gt;""),AND(O101="",P101&lt;&gt;""),AND($G$8="",G101&lt;&gt;""),AND($H$8="",H101&lt;&gt;""),AND($I$8="",I101&lt;&gt;""),AND(#REF!="",#REF!&lt;&gt;""),AND(#REF!="",#REF!&lt;&gt;""),AND(#REF!="",#REF!&lt;&gt;""),AND(#REF!="",#REF!&lt;&gt;""),AND(#REF!="",#REF!&lt;&gt;""),AND(#REF!="",#REF!&lt;&gt;""),AND(#REF!="",#REF!&lt;&gt;""),AND($J$8="",J101&lt;&gt;""),AND($K$8="",K101&lt;&gt;""),AND($L$8="",L101&lt;&gt;""),AND($M$8="",M101&lt;&gt;"")),FALSE,"")</f>
        <v>#REF!</v>
      </c>
      <c r="Y101" s="42" t="e">
        <f>IF(AND(B101="",OR(C101&lt;&gt;"",D101&lt;&gt;"",E101&lt;&gt;"",F101&lt;&gt;"",N101&lt;&gt;"",O101&lt;&gt;"",P101&lt;&gt;"",G101&lt;&gt;"",H101&lt;&gt;"",I101&lt;&gt;"",#REF!&lt;&gt;"",#REF!&lt;&gt;"",#REF!&lt;&gt;"",#REF!&lt;&gt;"",#REF!&lt;&gt;"",#REF!&lt;&gt;"",#REF!&lt;&gt;"",J101&lt;&gt;"",K101&lt;&gt;"",L101&lt;&gt;"",M101&lt;&gt;"")),FALSE,"")</f>
        <v>#REF!</v>
      </c>
    </row>
    <row r="102" spans="2:25" hidden="1" x14ac:dyDescent="0.35">
      <c r="B102" s="52"/>
      <c r="C102" s="50"/>
      <c r="D102" s="43"/>
      <c r="E102" s="53"/>
      <c r="F102" s="53"/>
      <c r="G102" s="43"/>
      <c r="H102" s="43"/>
      <c r="I102" s="43"/>
      <c r="J102" s="43"/>
      <c r="K102" s="43"/>
      <c r="L102" s="43"/>
      <c r="M102" s="43"/>
      <c r="N102" s="53"/>
      <c r="O102" s="44"/>
      <c r="P102" s="43"/>
      <c r="Q102" s="43"/>
      <c r="R102" s="22"/>
      <c r="S102" s="39" t="str">
        <f t="shared" si="6"/>
        <v/>
      </c>
      <c r="T102" s="39" t="str">
        <f t="shared" si="7"/>
        <v/>
      </c>
      <c r="U102" s="39" t="str">
        <f t="shared" si="8"/>
        <v/>
      </c>
      <c r="V102" s="40" t="str">
        <f>IF(M102="","",M102/(P102+G102+H102+I102+#REF!+#REF!+#REF!+#REF!+#REF!+#REF!+#REF!))</f>
        <v/>
      </c>
      <c r="W102" s="41" t="e">
        <f>IF(SUM(P102+G102+H102+I102+#REF!+#REF!+#REF!+#REF!+#REF!+#REF!+#REF!+J102+K102+L102+M102)=D102,"",FALSE)</f>
        <v>#REF!</v>
      </c>
      <c r="X102" s="42" t="e">
        <f>IF(OR(AND(C102="",D102&lt;&gt;""),AND(O102="",P102&lt;&gt;""),AND($G$8="",G102&lt;&gt;""),AND($H$8="",H102&lt;&gt;""),AND($I$8="",I102&lt;&gt;""),AND(#REF!="",#REF!&lt;&gt;""),AND(#REF!="",#REF!&lt;&gt;""),AND(#REF!="",#REF!&lt;&gt;""),AND(#REF!="",#REF!&lt;&gt;""),AND(#REF!="",#REF!&lt;&gt;""),AND(#REF!="",#REF!&lt;&gt;""),AND(#REF!="",#REF!&lt;&gt;""),AND($J$8="",J102&lt;&gt;""),AND($K$8="",K102&lt;&gt;""),AND($L$8="",L102&lt;&gt;""),AND($M$8="",M102&lt;&gt;"")),FALSE,"")</f>
        <v>#REF!</v>
      </c>
      <c r="Y102" s="42" t="e">
        <f>IF(AND(B102="",OR(C102&lt;&gt;"",D102&lt;&gt;"",E102&lt;&gt;"",F102&lt;&gt;"",N102&lt;&gt;"",O102&lt;&gt;"",P102&lt;&gt;"",G102&lt;&gt;"",H102&lt;&gt;"",I102&lt;&gt;"",#REF!&lt;&gt;"",#REF!&lt;&gt;"",#REF!&lt;&gt;"",#REF!&lt;&gt;"",#REF!&lt;&gt;"",#REF!&lt;&gt;"",#REF!&lt;&gt;"",J102&lt;&gt;"",K102&lt;&gt;"",L102&lt;&gt;"",M102&lt;&gt;"")),FALSE,"")</f>
        <v>#REF!</v>
      </c>
    </row>
    <row r="103" spans="2:25" hidden="1" x14ac:dyDescent="0.35">
      <c r="B103" s="52"/>
      <c r="C103" s="50"/>
      <c r="D103" s="43"/>
      <c r="E103" s="53"/>
      <c r="F103" s="53"/>
      <c r="G103" s="43"/>
      <c r="H103" s="43"/>
      <c r="I103" s="43"/>
      <c r="J103" s="43"/>
      <c r="K103" s="43"/>
      <c r="L103" s="43"/>
      <c r="M103" s="43"/>
      <c r="N103" s="53"/>
      <c r="O103" s="44"/>
      <c r="P103" s="43"/>
      <c r="Q103" s="43"/>
      <c r="R103" s="22"/>
      <c r="S103" s="39" t="str">
        <f t="shared" si="6"/>
        <v/>
      </c>
      <c r="T103" s="39" t="str">
        <f t="shared" si="7"/>
        <v/>
      </c>
      <c r="U103" s="39" t="str">
        <f t="shared" si="8"/>
        <v/>
      </c>
      <c r="V103" s="40" t="str">
        <f>IF(M103="","",M103/(P103+G103+H103+I103+#REF!+#REF!+#REF!+#REF!+#REF!+#REF!+#REF!))</f>
        <v/>
      </c>
      <c r="W103" s="41" t="e">
        <f>IF(SUM(P103+G103+H103+I103+#REF!+#REF!+#REF!+#REF!+#REF!+#REF!+#REF!+J103+K103+L103+M103)=D103,"",FALSE)</f>
        <v>#REF!</v>
      </c>
      <c r="X103" s="42" t="e">
        <f>IF(OR(AND(C103="",D103&lt;&gt;""),AND(O103="",P103&lt;&gt;""),AND($G$8="",G103&lt;&gt;""),AND($H$8="",H103&lt;&gt;""),AND($I$8="",I103&lt;&gt;""),AND(#REF!="",#REF!&lt;&gt;""),AND(#REF!="",#REF!&lt;&gt;""),AND(#REF!="",#REF!&lt;&gt;""),AND(#REF!="",#REF!&lt;&gt;""),AND(#REF!="",#REF!&lt;&gt;""),AND(#REF!="",#REF!&lt;&gt;""),AND(#REF!="",#REF!&lt;&gt;""),AND($J$8="",J103&lt;&gt;""),AND($K$8="",K103&lt;&gt;""),AND($L$8="",L103&lt;&gt;""),AND($M$8="",M103&lt;&gt;"")),FALSE,"")</f>
        <v>#REF!</v>
      </c>
      <c r="Y103" s="42" t="e">
        <f>IF(AND(B103="",OR(C103&lt;&gt;"",D103&lt;&gt;"",E103&lt;&gt;"",F103&lt;&gt;"",N103&lt;&gt;"",O103&lt;&gt;"",P103&lt;&gt;"",G103&lt;&gt;"",H103&lt;&gt;"",I103&lt;&gt;"",#REF!&lt;&gt;"",#REF!&lt;&gt;"",#REF!&lt;&gt;"",#REF!&lt;&gt;"",#REF!&lt;&gt;"",#REF!&lt;&gt;"",#REF!&lt;&gt;"",J103&lt;&gt;"",K103&lt;&gt;"",L103&lt;&gt;"",M103&lt;&gt;"")),FALSE,"")</f>
        <v>#REF!</v>
      </c>
    </row>
    <row r="104" spans="2:25" hidden="1" x14ac:dyDescent="0.35">
      <c r="B104" s="52"/>
      <c r="C104" s="50"/>
      <c r="D104" s="43"/>
      <c r="E104" s="53"/>
      <c r="F104" s="53"/>
      <c r="G104" s="43"/>
      <c r="H104" s="43"/>
      <c r="I104" s="43"/>
      <c r="J104" s="43"/>
      <c r="K104" s="43"/>
      <c r="L104" s="43"/>
      <c r="M104" s="43"/>
      <c r="N104" s="53"/>
      <c r="O104" s="44"/>
      <c r="P104" s="43"/>
      <c r="Q104" s="43"/>
      <c r="R104" s="22"/>
      <c r="S104" s="39" t="str">
        <f t="shared" si="6"/>
        <v/>
      </c>
      <c r="T104" s="39" t="str">
        <f t="shared" si="7"/>
        <v/>
      </c>
      <c r="U104" s="39" t="str">
        <f t="shared" si="8"/>
        <v/>
      </c>
      <c r="V104" s="40" t="str">
        <f>IF(M104="","",M104/(P104+G104+H104+I104+#REF!+#REF!+#REF!+#REF!+#REF!+#REF!+#REF!))</f>
        <v/>
      </c>
      <c r="W104" s="41" t="e">
        <f>IF(SUM(P104+G104+H104+I104+#REF!+#REF!+#REF!+#REF!+#REF!+#REF!+#REF!+J104+K104+L104+M104)=D104,"",FALSE)</f>
        <v>#REF!</v>
      </c>
      <c r="X104" s="42" t="e">
        <f>IF(OR(AND(C104="",D104&lt;&gt;""),AND(O104="",P104&lt;&gt;""),AND($G$8="",G104&lt;&gt;""),AND($H$8="",H104&lt;&gt;""),AND($I$8="",I104&lt;&gt;""),AND(#REF!="",#REF!&lt;&gt;""),AND(#REF!="",#REF!&lt;&gt;""),AND(#REF!="",#REF!&lt;&gt;""),AND(#REF!="",#REF!&lt;&gt;""),AND(#REF!="",#REF!&lt;&gt;""),AND(#REF!="",#REF!&lt;&gt;""),AND(#REF!="",#REF!&lt;&gt;""),AND($J$8="",J104&lt;&gt;""),AND($K$8="",K104&lt;&gt;""),AND($L$8="",L104&lt;&gt;""),AND($M$8="",M104&lt;&gt;"")),FALSE,"")</f>
        <v>#REF!</v>
      </c>
      <c r="Y104" s="42" t="e">
        <f>IF(AND(B104="",OR(C104&lt;&gt;"",D104&lt;&gt;"",E104&lt;&gt;"",F104&lt;&gt;"",N104&lt;&gt;"",O104&lt;&gt;"",P104&lt;&gt;"",G104&lt;&gt;"",H104&lt;&gt;"",I104&lt;&gt;"",#REF!&lt;&gt;"",#REF!&lt;&gt;"",#REF!&lt;&gt;"",#REF!&lt;&gt;"",#REF!&lt;&gt;"",#REF!&lt;&gt;"",#REF!&lt;&gt;"",J104&lt;&gt;"",K104&lt;&gt;"",L104&lt;&gt;"",M104&lt;&gt;"")),FALSE,"")</f>
        <v>#REF!</v>
      </c>
    </row>
    <row r="105" spans="2:25" hidden="1" x14ac:dyDescent="0.35">
      <c r="B105" s="52"/>
      <c r="C105" s="50"/>
      <c r="D105" s="43"/>
      <c r="E105" s="53"/>
      <c r="F105" s="53"/>
      <c r="G105" s="43"/>
      <c r="H105" s="43"/>
      <c r="I105" s="43"/>
      <c r="J105" s="43"/>
      <c r="K105" s="43"/>
      <c r="L105" s="43"/>
      <c r="M105" s="43"/>
      <c r="N105" s="53"/>
      <c r="O105" s="44"/>
      <c r="P105" s="43"/>
      <c r="Q105" s="43"/>
      <c r="R105" s="22"/>
      <c r="S105" s="39" t="str">
        <f t="shared" si="6"/>
        <v/>
      </c>
      <c r="T105" s="39" t="str">
        <f t="shared" si="7"/>
        <v/>
      </c>
      <c r="U105" s="39" t="str">
        <f t="shared" si="8"/>
        <v/>
      </c>
      <c r="V105" s="40" t="str">
        <f>IF(M105="","",M105/(P105+G105+H105+I105+#REF!+#REF!+#REF!+#REF!+#REF!+#REF!+#REF!))</f>
        <v/>
      </c>
      <c r="W105" s="41" t="e">
        <f>IF(SUM(P105+G105+H105+I105+#REF!+#REF!+#REF!+#REF!+#REF!+#REF!+#REF!+J105+K105+L105+M105)=D105,"",FALSE)</f>
        <v>#REF!</v>
      </c>
      <c r="X105" s="42" t="e">
        <f>IF(OR(AND(C105="",D105&lt;&gt;""),AND(O105="",P105&lt;&gt;""),AND($G$8="",G105&lt;&gt;""),AND($H$8="",H105&lt;&gt;""),AND($I$8="",I105&lt;&gt;""),AND(#REF!="",#REF!&lt;&gt;""),AND(#REF!="",#REF!&lt;&gt;""),AND(#REF!="",#REF!&lt;&gt;""),AND(#REF!="",#REF!&lt;&gt;""),AND(#REF!="",#REF!&lt;&gt;""),AND(#REF!="",#REF!&lt;&gt;""),AND(#REF!="",#REF!&lt;&gt;""),AND($J$8="",J105&lt;&gt;""),AND($K$8="",K105&lt;&gt;""),AND($L$8="",L105&lt;&gt;""),AND($M$8="",M105&lt;&gt;"")),FALSE,"")</f>
        <v>#REF!</v>
      </c>
      <c r="Y105" s="42" t="e">
        <f>IF(AND(B105="",OR(C105&lt;&gt;"",D105&lt;&gt;"",E105&lt;&gt;"",F105&lt;&gt;"",N105&lt;&gt;"",O105&lt;&gt;"",P105&lt;&gt;"",G105&lt;&gt;"",H105&lt;&gt;"",I105&lt;&gt;"",#REF!&lt;&gt;"",#REF!&lt;&gt;"",#REF!&lt;&gt;"",#REF!&lt;&gt;"",#REF!&lt;&gt;"",#REF!&lt;&gt;"",#REF!&lt;&gt;"",J105&lt;&gt;"",K105&lt;&gt;"",L105&lt;&gt;"",M105&lt;&gt;"")),FALSE,"")</f>
        <v>#REF!</v>
      </c>
    </row>
    <row r="106" spans="2:25" hidden="1" x14ac:dyDescent="0.35">
      <c r="B106" s="52"/>
      <c r="C106" s="50"/>
      <c r="D106" s="43"/>
      <c r="E106" s="53"/>
      <c r="F106" s="53"/>
      <c r="G106" s="43"/>
      <c r="H106" s="43"/>
      <c r="I106" s="43"/>
      <c r="J106" s="43"/>
      <c r="K106" s="43"/>
      <c r="L106" s="43"/>
      <c r="M106" s="43"/>
      <c r="N106" s="53"/>
      <c r="O106" s="44"/>
      <c r="P106" s="43"/>
      <c r="Q106" s="43"/>
      <c r="R106" s="22"/>
      <c r="S106" s="39" t="str">
        <f t="shared" si="6"/>
        <v/>
      </c>
      <c r="T106" s="39" t="str">
        <f t="shared" si="7"/>
        <v/>
      </c>
      <c r="U106" s="39" t="str">
        <f t="shared" si="8"/>
        <v/>
      </c>
      <c r="V106" s="40" t="str">
        <f>IF(M106="","",M106/(P106+G106+H106+I106+#REF!+#REF!+#REF!+#REF!+#REF!+#REF!+#REF!))</f>
        <v/>
      </c>
      <c r="W106" s="41" t="e">
        <f>IF(SUM(P106+G106+H106+I106+#REF!+#REF!+#REF!+#REF!+#REF!+#REF!+#REF!+J106+K106+L106+M106)=D106,"",FALSE)</f>
        <v>#REF!</v>
      </c>
      <c r="X106" s="42" t="e">
        <f>IF(OR(AND(C106="",D106&lt;&gt;""),AND(O106="",P106&lt;&gt;""),AND($G$8="",G106&lt;&gt;""),AND($H$8="",H106&lt;&gt;""),AND($I$8="",I106&lt;&gt;""),AND(#REF!="",#REF!&lt;&gt;""),AND(#REF!="",#REF!&lt;&gt;""),AND(#REF!="",#REF!&lt;&gt;""),AND(#REF!="",#REF!&lt;&gt;""),AND(#REF!="",#REF!&lt;&gt;""),AND(#REF!="",#REF!&lt;&gt;""),AND(#REF!="",#REF!&lt;&gt;""),AND($J$8="",J106&lt;&gt;""),AND($K$8="",K106&lt;&gt;""),AND($L$8="",L106&lt;&gt;""),AND($M$8="",M106&lt;&gt;"")),FALSE,"")</f>
        <v>#REF!</v>
      </c>
      <c r="Y106" s="42" t="e">
        <f>IF(AND(B106="",OR(C106&lt;&gt;"",D106&lt;&gt;"",E106&lt;&gt;"",F106&lt;&gt;"",N106&lt;&gt;"",O106&lt;&gt;"",P106&lt;&gt;"",G106&lt;&gt;"",H106&lt;&gt;"",I106&lt;&gt;"",#REF!&lt;&gt;"",#REF!&lt;&gt;"",#REF!&lt;&gt;"",#REF!&lt;&gt;"",#REF!&lt;&gt;"",#REF!&lt;&gt;"",#REF!&lt;&gt;"",J106&lt;&gt;"",K106&lt;&gt;"",L106&lt;&gt;"",M106&lt;&gt;"")),FALSE,"")</f>
        <v>#REF!</v>
      </c>
    </row>
    <row r="107" spans="2:25" hidden="1" x14ac:dyDescent="0.35">
      <c r="B107" s="52"/>
      <c r="C107" s="50"/>
      <c r="D107" s="43"/>
      <c r="E107" s="53"/>
      <c r="F107" s="53"/>
      <c r="G107" s="43"/>
      <c r="H107" s="43"/>
      <c r="I107" s="43"/>
      <c r="J107" s="43"/>
      <c r="K107" s="43"/>
      <c r="L107" s="43"/>
      <c r="M107" s="43"/>
      <c r="N107" s="53"/>
      <c r="O107" s="44"/>
      <c r="P107" s="43"/>
      <c r="Q107" s="43"/>
      <c r="R107" s="22"/>
      <c r="S107" s="39" t="str">
        <f t="shared" si="6"/>
        <v/>
      </c>
      <c r="T107" s="39" t="str">
        <f t="shared" si="7"/>
        <v/>
      </c>
      <c r="U107" s="39" t="str">
        <f t="shared" si="8"/>
        <v/>
      </c>
      <c r="V107" s="40" t="str">
        <f>IF(M107="","",M107/(P107+G107+H107+I107+#REF!+#REF!+#REF!+#REF!+#REF!+#REF!+#REF!))</f>
        <v/>
      </c>
      <c r="W107" s="41" t="e">
        <f>IF(SUM(P107+G107+H107+I107+#REF!+#REF!+#REF!+#REF!+#REF!+#REF!+#REF!+J107+K107+L107+M107)=D107,"",FALSE)</f>
        <v>#REF!</v>
      </c>
      <c r="X107" s="42" t="e">
        <f>IF(OR(AND(C107="",D107&lt;&gt;""),AND(O107="",P107&lt;&gt;""),AND($G$8="",G107&lt;&gt;""),AND($H$8="",H107&lt;&gt;""),AND($I$8="",I107&lt;&gt;""),AND(#REF!="",#REF!&lt;&gt;""),AND(#REF!="",#REF!&lt;&gt;""),AND(#REF!="",#REF!&lt;&gt;""),AND(#REF!="",#REF!&lt;&gt;""),AND(#REF!="",#REF!&lt;&gt;""),AND(#REF!="",#REF!&lt;&gt;""),AND(#REF!="",#REF!&lt;&gt;""),AND($J$8="",J107&lt;&gt;""),AND($K$8="",K107&lt;&gt;""),AND($L$8="",L107&lt;&gt;""),AND($M$8="",M107&lt;&gt;"")),FALSE,"")</f>
        <v>#REF!</v>
      </c>
      <c r="Y107" s="42" t="e">
        <f>IF(AND(B107="",OR(C107&lt;&gt;"",D107&lt;&gt;"",E107&lt;&gt;"",F107&lt;&gt;"",N107&lt;&gt;"",O107&lt;&gt;"",P107&lt;&gt;"",G107&lt;&gt;"",H107&lt;&gt;"",I107&lt;&gt;"",#REF!&lt;&gt;"",#REF!&lt;&gt;"",#REF!&lt;&gt;"",#REF!&lt;&gt;"",#REF!&lt;&gt;"",#REF!&lt;&gt;"",#REF!&lt;&gt;"",J107&lt;&gt;"",K107&lt;&gt;"",L107&lt;&gt;"",M107&lt;&gt;"")),FALSE,"")</f>
        <v>#REF!</v>
      </c>
    </row>
    <row r="108" spans="2:25" hidden="1" x14ac:dyDescent="0.35">
      <c r="B108" s="52"/>
      <c r="C108" s="50"/>
      <c r="D108" s="43"/>
      <c r="E108" s="53"/>
      <c r="F108" s="53"/>
      <c r="G108" s="43"/>
      <c r="H108" s="43"/>
      <c r="I108" s="43"/>
      <c r="J108" s="43"/>
      <c r="K108" s="43"/>
      <c r="L108" s="43"/>
      <c r="M108" s="43"/>
      <c r="N108" s="53"/>
      <c r="O108" s="44"/>
      <c r="P108" s="43"/>
      <c r="Q108" s="43"/>
      <c r="R108" s="22"/>
      <c r="S108" s="39" t="str">
        <f t="shared" si="6"/>
        <v/>
      </c>
      <c r="T108" s="39" t="str">
        <f t="shared" si="7"/>
        <v/>
      </c>
      <c r="U108" s="39" t="str">
        <f t="shared" si="8"/>
        <v/>
      </c>
      <c r="V108" s="40" t="str">
        <f>IF(M108="","",M108/(P108+G108+H108+I108+#REF!+#REF!+#REF!+#REF!+#REF!+#REF!+#REF!))</f>
        <v/>
      </c>
      <c r="W108" s="41" t="e">
        <f>IF(SUM(P108+G108+H108+I108+#REF!+#REF!+#REF!+#REF!+#REF!+#REF!+#REF!+J108+K108+L108+M108)=D108,"",FALSE)</f>
        <v>#REF!</v>
      </c>
      <c r="X108" s="42" t="e">
        <f>IF(OR(AND(C108="",D108&lt;&gt;""),AND(O108="",P108&lt;&gt;""),AND($G$8="",G108&lt;&gt;""),AND($H$8="",H108&lt;&gt;""),AND($I$8="",I108&lt;&gt;""),AND(#REF!="",#REF!&lt;&gt;""),AND(#REF!="",#REF!&lt;&gt;""),AND(#REF!="",#REF!&lt;&gt;""),AND(#REF!="",#REF!&lt;&gt;""),AND(#REF!="",#REF!&lt;&gt;""),AND(#REF!="",#REF!&lt;&gt;""),AND(#REF!="",#REF!&lt;&gt;""),AND($J$8="",J108&lt;&gt;""),AND($K$8="",K108&lt;&gt;""),AND($L$8="",L108&lt;&gt;""),AND($M$8="",M108&lt;&gt;"")),FALSE,"")</f>
        <v>#REF!</v>
      </c>
      <c r="Y108" s="42" t="e">
        <f>IF(AND(B108="",OR(C108&lt;&gt;"",D108&lt;&gt;"",E108&lt;&gt;"",F108&lt;&gt;"",N108&lt;&gt;"",O108&lt;&gt;"",P108&lt;&gt;"",G108&lt;&gt;"",H108&lt;&gt;"",I108&lt;&gt;"",#REF!&lt;&gt;"",#REF!&lt;&gt;"",#REF!&lt;&gt;"",#REF!&lt;&gt;"",#REF!&lt;&gt;"",#REF!&lt;&gt;"",#REF!&lt;&gt;"",J108&lt;&gt;"",K108&lt;&gt;"",L108&lt;&gt;"",M108&lt;&gt;"")),FALSE,"")</f>
        <v>#REF!</v>
      </c>
    </row>
    <row r="109" spans="2:25" hidden="1" x14ac:dyDescent="0.35">
      <c r="B109" s="52"/>
      <c r="C109" s="50"/>
      <c r="D109" s="43"/>
      <c r="E109" s="53"/>
      <c r="F109" s="53"/>
      <c r="G109" s="43"/>
      <c r="H109" s="43"/>
      <c r="I109" s="43"/>
      <c r="J109" s="43"/>
      <c r="K109" s="43"/>
      <c r="L109" s="43"/>
      <c r="M109" s="43"/>
      <c r="N109" s="53"/>
      <c r="O109" s="44"/>
      <c r="P109" s="43"/>
      <c r="Q109" s="43"/>
      <c r="R109" s="22"/>
      <c r="S109" s="39" t="str">
        <f t="shared" si="6"/>
        <v/>
      </c>
      <c r="T109" s="39" t="str">
        <f t="shared" si="7"/>
        <v/>
      </c>
      <c r="U109" s="39" t="str">
        <f t="shared" si="8"/>
        <v/>
      </c>
      <c r="V109" s="40" t="str">
        <f>IF(M109="","",M109/(P109+G109+H109+I109+#REF!+#REF!+#REF!+#REF!+#REF!+#REF!+#REF!))</f>
        <v/>
      </c>
      <c r="W109" s="41" t="e">
        <f>IF(SUM(P109+G109+H109+I109+#REF!+#REF!+#REF!+#REF!+#REF!+#REF!+#REF!+J109+K109+L109+M109)=D109,"",FALSE)</f>
        <v>#REF!</v>
      </c>
      <c r="X109" s="42" t="e">
        <f>IF(OR(AND(C109="",D109&lt;&gt;""),AND(O109="",P109&lt;&gt;""),AND($G$8="",G109&lt;&gt;""),AND($H$8="",H109&lt;&gt;""),AND($I$8="",I109&lt;&gt;""),AND(#REF!="",#REF!&lt;&gt;""),AND(#REF!="",#REF!&lt;&gt;""),AND(#REF!="",#REF!&lt;&gt;""),AND(#REF!="",#REF!&lt;&gt;""),AND(#REF!="",#REF!&lt;&gt;""),AND(#REF!="",#REF!&lt;&gt;""),AND(#REF!="",#REF!&lt;&gt;""),AND($J$8="",J109&lt;&gt;""),AND($K$8="",K109&lt;&gt;""),AND($L$8="",L109&lt;&gt;""),AND($M$8="",M109&lt;&gt;"")),FALSE,"")</f>
        <v>#REF!</v>
      </c>
      <c r="Y109" s="42" t="e">
        <f>IF(AND(B109="",OR(C109&lt;&gt;"",D109&lt;&gt;"",E109&lt;&gt;"",F109&lt;&gt;"",N109&lt;&gt;"",O109&lt;&gt;"",P109&lt;&gt;"",G109&lt;&gt;"",H109&lt;&gt;"",I109&lt;&gt;"",#REF!&lt;&gt;"",#REF!&lt;&gt;"",#REF!&lt;&gt;"",#REF!&lt;&gt;"",#REF!&lt;&gt;"",#REF!&lt;&gt;"",#REF!&lt;&gt;"",J109&lt;&gt;"",K109&lt;&gt;"",L109&lt;&gt;"",M109&lt;&gt;"")),FALSE,"")</f>
        <v>#REF!</v>
      </c>
    </row>
    <row r="110" spans="2:25" x14ac:dyDescent="0.35">
      <c r="B110" s="52"/>
      <c r="C110" s="50"/>
      <c r="D110" s="43"/>
      <c r="E110" s="53"/>
      <c r="F110" s="53"/>
      <c r="G110" s="43"/>
      <c r="H110" s="43"/>
      <c r="I110" s="43"/>
      <c r="J110" s="43"/>
      <c r="K110" s="43"/>
      <c r="L110" s="43"/>
      <c r="M110" s="43"/>
      <c r="N110" s="53"/>
      <c r="O110" s="44"/>
      <c r="P110" s="43"/>
      <c r="Q110" s="43"/>
      <c r="R110" s="22"/>
      <c r="S110" s="39" t="str">
        <f t="shared" si="6"/>
        <v/>
      </c>
      <c r="T110" s="39" t="str">
        <f t="shared" si="7"/>
        <v/>
      </c>
      <c r="U110" s="39" t="str">
        <f t="shared" si="8"/>
        <v/>
      </c>
      <c r="V110" s="40" t="str">
        <f>IF(M110="","",M110/(P110+G110+H110+I110+#REF!+#REF!+#REF!+#REF!+#REF!+#REF!+#REF!))</f>
        <v/>
      </c>
      <c r="W110" s="41" t="e">
        <f>IF(SUM(P110+G110+H110+I110+#REF!+#REF!+#REF!+#REF!+#REF!+#REF!+#REF!+J110+K110+L110+M110)=D110,"",FALSE)</f>
        <v>#REF!</v>
      </c>
      <c r="X110" s="42" t="e">
        <f>IF(OR(AND(C110="",D110&lt;&gt;""),AND(O110="",P110&lt;&gt;""),AND($G$8="",G110&lt;&gt;""),AND($H$8="",H110&lt;&gt;""),AND($I$8="",I110&lt;&gt;""),AND(#REF!="",#REF!&lt;&gt;""),AND(#REF!="",#REF!&lt;&gt;""),AND(#REF!="",#REF!&lt;&gt;""),AND(#REF!="",#REF!&lt;&gt;""),AND(#REF!="",#REF!&lt;&gt;""),AND(#REF!="",#REF!&lt;&gt;""),AND(#REF!="",#REF!&lt;&gt;""),AND($J$8="",J110&lt;&gt;""),AND($K$8="",K110&lt;&gt;""),AND($L$8="",L110&lt;&gt;""),AND($M$8="",M110&lt;&gt;"")),FALSE,"")</f>
        <v>#REF!</v>
      </c>
      <c r="Y110" s="42" t="e">
        <f>IF(AND(B110="",OR(C110&lt;&gt;"",D110&lt;&gt;"",E110&lt;&gt;"",F110&lt;&gt;"",N110&lt;&gt;"",O110&lt;&gt;"",P110&lt;&gt;"",G110&lt;&gt;"",H110&lt;&gt;"",I110&lt;&gt;"",#REF!&lt;&gt;"",#REF!&lt;&gt;"",#REF!&lt;&gt;"",#REF!&lt;&gt;"",#REF!&lt;&gt;"",#REF!&lt;&gt;"",#REF!&lt;&gt;"",J110&lt;&gt;"",K110&lt;&gt;"",L110&lt;&gt;"",M110&lt;&gt;"")),FALSE,"")</f>
        <v>#REF!</v>
      </c>
    </row>
    <row r="111" spans="2:25" x14ac:dyDescent="0.35">
      <c r="C111" s="54" t="s">
        <v>37</v>
      </c>
      <c r="D111" s="55">
        <f>SUM(D10:D110)</f>
        <v>10278</v>
      </c>
      <c r="G111" s="55">
        <f t="shared" ref="G111:M111" si="9">IF(SUM(G10:G110)=0,"",SUM(G10:G110))</f>
        <v>8565</v>
      </c>
      <c r="H111" s="55" t="str">
        <f t="shared" si="9"/>
        <v/>
      </c>
      <c r="I111" s="55" t="str">
        <f t="shared" si="9"/>
        <v/>
      </c>
      <c r="J111" s="55">
        <f t="shared" si="9"/>
        <v>1713</v>
      </c>
      <c r="K111" s="55" t="str">
        <f t="shared" si="9"/>
        <v/>
      </c>
      <c r="L111" s="55" t="str">
        <f t="shared" si="9"/>
        <v/>
      </c>
      <c r="M111" s="55" t="str">
        <f t="shared" si="9"/>
        <v/>
      </c>
      <c r="P111" s="55" t="str">
        <f>IF(SUM(P10:P110)=0,"",SUM(P10:P110))</f>
        <v/>
      </c>
      <c r="Q111" s="56"/>
      <c r="V111" s="57" t="s">
        <v>38</v>
      </c>
      <c r="W111" s="58">
        <f>SUM(G111:M111)-D111</f>
        <v>0</v>
      </c>
    </row>
  </sheetData>
  <sheetProtection selectLockedCells="1" selectUnlockedCells="1"/>
  <mergeCells count="12">
    <mergeCell ref="N8:N9"/>
    <mergeCell ref="O8:O9"/>
    <mergeCell ref="P8:P9"/>
    <mergeCell ref="Q8:Q9"/>
    <mergeCell ref="S8:Y8"/>
    <mergeCell ref="B2:E2"/>
    <mergeCell ref="J5:M5"/>
    <mergeCell ref="B8:B9"/>
    <mergeCell ref="C8:C9"/>
    <mergeCell ref="D8:D9"/>
    <mergeCell ref="E8:E9"/>
    <mergeCell ref="F8:F9"/>
  </mergeCells>
  <conditionalFormatting sqref="B10:Q110">
    <cfRule type="expression" dxfId="0" priority="1" stopIfTrue="1">
      <formula>(ODD(ROW())=ROW())</formula>
    </cfRule>
  </conditionalFormatting>
  <dataValidations count="8">
    <dataValidation type="textLength" operator="lessThanOrEqual" allowBlank="1" showErrorMessage="1" errorTitle="Saisie du compte" error="Le compte ne doit pas dépasser 8 caractères" sqref="O10:O110" xr:uid="{C3767053-EDF6-4736-9F99-FC45CCB01ED3}">
      <formula1>10</formula1>
      <formula2>0</formula2>
    </dataValidation>
    <dataValidation type="textLength" operator="lessThanOrEqual" allowBlank="1" showErrorMessage="1" errorTitle="Saisie du compte" error="Le compte ne doit pas dépsser 8 caractères" sqref="R8" xr:uid="{4014368E-EDCF-45E7-9B68-217F05906B44}">
      <formula1>8</formula1>
      <formula2>0</formula2>
    </dataValidation>
    <dataValidation type="textLength" operator="lessThanOrEqual" allowBlank="1" showErrorMessage="1" errorTitle="Saisie du compte" error="Le compte ne doit pas dépsser 8 caractères" sqref="G8:M8" xr:uid="{2EC6BF0D-2B8F-47E6-B372-8148A4D3E953}">
      <formula1>10</formula1>
      <formula2>0</formula2>
    </dataValidation>
    <dataValidation type="textLength" allowBlank="1" showErrorMessage="1" errorTitle="CODE JOURNAL" error="Le code doit contenir 2 caractères (ex: AC)" sqref="B3" xr:uid="{643D7EAC-D6D9-47DA-8364-A6794954611E}">
      <formula1>2</formula1>
      <formula2>2</formula2>
    </dataValidation>
    <dataValidation type="list" allowBlank="1" showErrorMessage="1" errorTitle="Mois du Bordereau" error="Saisir un chiffre dans la liste" sqref="B4" xr:uid="{20208C3B-03F7-45B5-B099-0E2C0C3FA42F}">
      <formula1>"01,02,03,04,05,06,07,08,09,10,11,12"</formula1>
      <formula2>0</formula2>
    </dataValidation>
    <dataValidation type="textLength" allowBlank="1" showErrorMessage="1" errorTitle="Saisi de l'année" error="Saisir les 4 chiffres de l'année (ex :2011)" sqref="B5 B7" xr:uid="{E9C561CD-96D6-4521-A50F-A075695519FB}">
      <formula1>4</formula1>
      <formula2>4</formula2>
    </dataValidation>
    <dataValidation type="textLength" operator="lessThanOrEqual" allowBlank="1" showErrorMessage="1" errorTitle="Saisie du compte" error="Le compte ne doit pas dépasser 7 caractères" sqref="C10:C110" xr:uid="{AC29A156-6AB5-4BCB-B431-ED6737FA9F8F}">
      <formula1>7</formula1>
      <formula2>0</formula2>
    </dataValidation>
    <dataValidation type="textLength" operator="lessThanOrEqual" allowBlank="1" showErrorMessage="1" errorTitle="Saisie du N° de pièce" error="Limité à 8 caractères" sqref="E10:E110" xr:uid="{00A79E1B-2B70-4CF5-BC00-C4915254CBA3}">
      <formula1>8</formula1>
      <formula2>0</formula2>
    </dataValidation>
  </dataValidation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AA0A-9520-48A6-9E1C-10D5614DDFB4}">
  <sheetPr codeName="Feuil2"/>
  <dimension ref="A1:O1617"/>
  <sheetViews>
    <sheetView showGridLines="0" zoomScale="85" zoomScaleNormal="85" workbookViewId="0">
      <selection activeCell="N15" sqref="N15"/>
    </sheetView>
  </sheetViews>
  <sheetFormatPr baseColWidth="10" defaultColWidth="11.453125" defaultRowHeight="12.5" x14ac:dyDescent="0.25"/>
  <cols>
    <col min="1" max="4" width="11.453125" style="59"/>
    <col min="5" max="5" width="20.1796875" style="59" customWidth="1"/>
    <col min="6" max="6" width="20.1796875" style="60" customWidth="1"/>
    <col min="7" max="10" width="11.7265625" style="59" customWidth="1"/>
    <col min="11" max="11" width="8.453125" style="59" customWidth="1"/>
    <col min="12" max="12" width="3.453125" style="59" customWidth="1"/>
    <col min="13" max="13" width="11.453125" style="59"/>
    <col min="14" max="14" width="5.81640625" style="59" customWidth="1"/>
    <col min="15" max="15" width="0" style="59" hidden="1" customWidth="1"/>
    <col min="16" max="16" width="5.81640625" style="59" customWidth="1"/>
    <col min="17" max="16384" width="11.453125" style="59"/>
  </cols>
  <sheetData>
    <row r="1" spans="1:15" ht="13" x14ac:dyDescent="0.3">
      <c r="A1" s="61" t="s">
        <v>39</v>
      </c>
      <c r="B1" s="61" t="s">
        <v>40</v>
      </c>
      <c r="C1" s="61" t="s">
        <v>41</v>
      </c>
      <c r="D1" s="61" t="s">
        <v>42</v>
      </c>
      <c r="E1" s="61" t="s">
        <v>43</v>
      </c>
      <c r="F1" s="61" t="s">
        <v>44</v>
      </c>
      <c r="G1" s="61" t="s">
        <v>45</v>
      </c>
      <c r="H1" s="61" t="s">
        <v>46</v>
      </c>
      <c r="I1" s="61" t="s">
        <v>47</v>
      </c>
      <c r="J1" s="61" t="s">
        <v>48</v>
      </c>
      <c r="M1" s="62" t="s">
        <v>49</v>
      </c>
    </row>
    <row r="2" spans="1:15" x14ac:dyDescent="0.25">
      <c r="A2" s="63">
        <f>IF(AND(G2="",H2=""),"SUPPR",SAISIE!$B$3)</f>
        <v>0</v>
      </c>
      <c r="B2" s="64" t="str">
        <f>IF(SAISIE!B10="","",IF(LEN(SAISIE!B10)=1,CONCATENATE("0",SAISIE!B10,"/",SAISIE!$B$4,"/",SAISIE!$B$5),CONCATENATE(SAISIE!B10,"/",SAISIE!$B$4,"/",SAISIE!$B$5)))</f>
        <v>26/08/2024/09/2024</v>
      </c>
      <c r="C2" s="64" t="str">
        <f>IF(SAISIE!B10="","",CONCATENATE($M$2,SAISIE!C10))</f>
        <v>0</v>
      </c>
      <c r="D2" s="64">
        <f>IF(SAISIE!B10="","",SAISIE!E10)</f>
        <v>0</v>
      </c>
      <c r="E2" s="64" t="str">
        <f>IF(SAISIE!B10="","",SAISIE!F10)</f>
        <v>GADERO : Loyer de septembre facture n° 09-24 réglé le 27/09/2024 par virement</v>
      </c>
      <c r="F2" s="65" t="str">
        <f>IF(A2="SUPPR","",IF(SAISIE!N10="","",SAISIE!N10))</f>
        <v/>
      </c>
      <c r="G2" s="64"/>
      <c r="H2" s="64">
        <f>IF(SAISIE!B10="","",SAISIE!D10)</f>
        <v>10278</v>
      </c>
      <c r="I2" s="66"/>
      <c r="J2" s="67" t="str">
        <f>IF(AZ10="","","")</f>
        <v/>
      </c>
      <c r="M2" s="68">
        <f>SAISIE!E6</f>
        <v>0</v>
      </c>
      <c r="O2" s="69">
        <v>10</v>
      </c>
    </row>
    <row r="3" spans="1:15" x14ac:dyDescent="0.25">
      <c r="A3" s="63" t="str">
        <f>IF(AND(G3="",H3=""),"SUPPR",SAISIE!$B$3)</f>
        <v>SUPPR</v>
      </c>
      <c r="B3" s="63" t="str">
        <f>IF(SAISIE!P10="","",IF(LEN(SAISIE!B10)=1,CONCATENATE("0",SAISIE!B10,"/",SAISIE!$B$4,"/",SAISIE!$B$5),CONCATENATE(SAISIE!B10,"/",SAISIE!$B$4,"/",SAISIE!$B$5)))</f>
        <v/>
      </c>
      <c r="C3" s="63" t="str">
        <f>IF(SAISIE!P10="","",SAISIE!O10)</f>
        <v/>
      </c>
      <c r="D3" s="63" t="str">
        <f>IF(SAISIE!P10="","",SAISIE!E10)</f>
        <v/>
      </c>
      <c r="E3" s="63" t="str">
        <f>IF(SAISIE!P10="","",SAISIE!F10)</f>
        <v/>
      </c>
      <c r="F3" s="70" t="str">
        <f>IF(SAISIE!$P10="","",IF(SAISIE!$N10="","",SAISIE!$N10))</f>
        <v/>
      </c>
      <c r="G3" s="63" t="str">
        <f>IF(SAISIE!P10="","",SAISIE!P10)</f>
        <v/>
      </c>
      <c r="H3" s="63"/>
      <c r="I3" s="63" t="str">
        <f>IF(SAISIE!$P10="","",SAISIE!$Q10)</f>
        <v/>
      </c>
      <c r="J3" s="71" t="str">
        <f>IF(COUNTBLANK(SAISIE!$J$6:$M$6)=4,"",IF(SAISIE!P10="","",IF(SAISIE!J10&gt;0,SAISIE!$J$6,IF(SAISIE!K10&gt;0,SAISIE!$K$6,IF(SAISIE!L10&gt;0,SAISIE!$L$6,IF(SAISIE!M10&gt;0,SAISIE!$M$6,""))))))</f>
        <v/>
      </c>
      <c r="O3" s="59" t="s">
        <v>50</v>
      </c>
    </row>
    <row r="4" spans="1:15" x14ac:dyDescent="0.25">
      <c r="A4" s="63">
        <f>IF(AND(G4="",H4=""),"SUPPR",SAISIE!$B$3)</f>
        <v>0</v>
      </c>
      <c r="B4" s="63" t="str">
        <f>IF(SAISIE!G10="","",IF(LEN(SAISIE!B10)=1,CONCATENATE("0",SAISIE!B10,"/",SAISIE!$B$4,"/",SAISIE!$B$5),CONCATENATE(SAISIE!B10,"/",SAISIE!$B$4,"/",SAISIE!$B$5)))</f>
        <v>26/08/2024/09/2024</v>
      </c>
      <c r="C4" s="63">
        <f>IF(SAISIE!G10="","",SAISIE!$G$8)</f>
        <v>0</v>
      </c>
      <c r="D4" s="63">
        <f>IF(SAISIE!G10="","",SAISIE!E10)</f>
        <v>0</v>
      </c>
      <c r="E4" s="63" t="str">
        <f>IF(SAISIE!G10="","",SAISIE!F10)</f>
        <v>GADERO : Loyer de septembre facture n° 09-24 réglé le 27/09/2024 par virement</v>
      </c>
      <c r="F4" s="70" t="str">
        <f>IF(SAISIE!$G10="","",IF(SAISIE!$N10="","",SAISIE!$N10))</f>
        <v/>
      </c>
      <c r="G4" s="63">
        <f>IF(SAISIE!G10="","",SAISIE!G10)</f>
        <v>8565</v>
      </c>
      <c r="H4" s="63"/>
      <c r="I4" s="63">
        <f>IF(SAISIE!$G10="","",SAISIE!$Q10)</f>
        <v>0</v>
      </c>
      <c r="J4" s="71" t="str">
        <f>IF(COUNTBLANK(SAISIE!$J$6:$M$6)=4,"",IF(SAISIE!G10="","",IF(SAISIE!J10&gt;0,SAISIE!$J$6,IF(SAISIE!K10&gt;0,SAISIE!$K$6,IF(SAISIE!L10&gt;0,SAISIE!$L$6,IF(SAISIE!M10&gt;0,SAISIE!$M$6,""))))))</f>
        <v/>
      </c>
      <c r="O4" s="59" t="s">
        <v>51</v>
      </c>
    </row>
    <row r="5" spans="1:15" x14ac:dyDescent="0.25">
      <c r="A5" s="63" t="str">
        <f>IF(AND(G5="",H5=""),"SUPPR",SAISIE!$B$3)</f>
        <v>SUPPR</v>
      </c>
      <c r="B5" s="63" t="str">
        <f>IF(SAISIE!H10="","",IF(LEN(SAISIE!B10)=1,CONCATENATE("0",SAISIE!B10,"/",SAISIE!$B$4,"/",SAISIE!$B$5),CONCATENATE(SAISIE!B10,"/",SAISIE!$B$4,"/",SAISIE!$B$5)))</f>
        <v/>
      </c>
      <c r="C5" s="63" t="str">
        <f>IF(SAISIE!H10="","",SAISIE!$H$8)</f>
        <v/>
      </c>
      <c r="D5" s="63" t="str">
        <f>IF(SAISIE!H10="","",SAISIE!E10)</f>
        <v/>
      </c>
      <c r="E5" s="63" t="str">
        <f>IF(SAISIE!H10="","",SAISIE!F10)</f>
        <v/>
      </c>
      <c r="F5" s="70" t="str">
        <f>IF(SAISIE!$H10="","",IF(SAISIE!$N10="","",SAISIE!$N10))</f>
        <v/>
      </c>
      <c r="G5" s="63" t="str">
        <f>IF(SAISIE!H10="","",SAISIE!H10)</f>
        <v/>
      </c>
      <c r="H5" s="63"/>
      <c r="I5" s="63" t="str">
        <f>IF(SAISIE!$H10="","",SAISIE!$Q10)</f>
        <v/>
      </c>
      <c r="J5" s="71" t="str">
        <f>IF(COUNTBLANK(SAISIE!$J$6:$M$6)=4,"",IF(SAISIE!H10="","",IF(SAISIE!J10&gt;0,SAISIE!$J$6,IF(SAISIE!K10&gt;0,SAISIE!$K$6,IF(SAISIE!L10&gt;0,SAISIE!$L$6,IF(SAISIE!M10&gt;0,SAISIE!$M$6,""))))))</f>
        <v/>
      </c>
      <c r="O5" s="59" t="s">
        <v>52</v>
      </c>
    </row>
    <row r="6" spans="1:15" x14ac:dyDescent="0.25">
      <c r="A6" s="63" t="str">
        <f>IF(AND(G6="",H6=""),"SUPPR",SAISIE!$B$3)</f>
        <v>SUPPR</v>
      </c>
      <c r="B6" s="63" t="str">
        <f>IF(SAISIE!I10="","",IF(LEN(SAISIE!B10)=1,CONCATENATE("0",SAISIE!B10,"/",SAISIE!$B$4,"/",SAISIE!$B$5),CONCATENATE(SAISIE!B10,"/",SAISIE!$B$4,"/",SAISIE!$B$5)))</f>
        <v/>
      </c>
      <c r="C6" s="63" t="str">
        <f>IF(SAISIE!I10="","",SAISIE!$I$8)</f>
        <v/>
      </c>
      <c r="D6" s="63" t="str">
        <f>IF(SAISIE!I10="","",SAISIE!E10)</f>
        <v/>
      </c>
      <c r="E6" s="63" t="str">
        <f>IF(SAISIE!I10="","",SAISIE!F10)</f>
        <v/>
      </c>
      <c r="F6" s="70" t="str">
        <f>IF(SAISIE!$I10="","",IF(SAISIE!$N10="","",SAISIE!$N10))</f>
        <v/>
      </c>
      <c r="G6" s="63" t="str">
        <f>IF(SAISIE!I10="","",SAISIE!I10)</f>
        <v/>
      </c>
      <c r="H6" s="63"/>
      <c r="I6" s="63" t="str">
        <f>IF(SAISIE!$I10="","",SAISIE!$Q10)</f>
        <v/>
      </c>
      <c r="J6" s="71" t="str">
        <f>IF(COUNTBLANK(SAISIE!$J$6:$M$6)=4,"",IF(SAISIE!I10="","",IF(SAISIE!J10&gt;0,SAISIE!$J$6,IF(SAISIE!K10&gt;0,SAISIE!$K$6,IF(SAISIE!L10&gt;0,SAISIE!$L$6,IF(SAISIE!M10&gt;0,SAISIE!$M$6,""))))))</f>
        <v/>
      </c>
      <c r="O6" s="59" t="s">
        <v>53</v>
      </c>
    </row>
    <row r="7" spans="1:15" x14ac:dyDescent="0.25">
      <c r="A7" s="63" t="e">
        <f>IF(AND(G7="",H7=""),"SUPPR",SAISIE!$B$3)</f>
        <v>#REF!</v>
      </c>
      <c r="B7" s="63" t="e">
        <f>IF(SAISIE!#REF!="","",IF(LEN(SAISIE!B10)=1,CONCATENATE("0",SAISIE!B10,"/",SAISIE!$B$4,"/",SAISIE!$B$5),CONCATENATE(SAISIE!B10,"/",SAISIE!$B$4,"/",SAISIE!$B$5)))</f>
        <v>#REF!</v>
      </c>
      <c r="C7" s="63" t="e">
        <f>IF(SAISIE!#REF!="","",SAISIE!#REF!)</f>
        <v>#REF!</v>
      </c>
      <c r="D7" s="63" t="e">
        <f>IF(SAISIE!#REF!="","",SAISIE!E10)</f>
        <v>#REF!</v>
      </c>
      <c r="E7" s="63" t="e">
        <f>IF(SAISIE!#REF!="","",SAISIE!F10)</f>
        <v>#REF!</v>
      </c>
      <c r="F7" s="70" t="e">
        <f>IF(SAISIE!#REF!="","",IF(SAISIE!$N10="","",SAISIE!$N10))</f>
        <v>#REF!</v>
      </c>
      <c r="G7" s="63" t="e">
        <f>IF(SAISIE!#REF!="","",SAISIE!#REF!)</f>
        <v>#REF!</v>
      </c>
      <c r="H7" s="63"/>
      <c r="I7" s="63" t="e">
        <f>IF(SAISIE!#REF!="","",SAISIE!$Q10)</f>
        <v>#REF!</v>
      </c>
      <c r="J7" s="71" t="str">
        <f>IF(COUNTBLANK(SAISIE!$J$6:$M$6)=4,"",IF(SAISIE!#REF!="","",IF(SAISIE!J10&gt;0,SAISIE!$J$6,IF(SAISIE!K10&gt;0,SAISIE!$K$6,IF(SAISIE!L10&gt;0,SAISIE!$L$6,IF(SAISIE!M10&gt;0,SAISIE!$M$6,""))))))</f>
        <v/>
      </c>
      <c r="O7" s="59" t="s">
        <v>54</v>
      </c>
    </row>
    <row r="8" spans="1:15" x14ac:dyDescent="0.25">
      <c r="A8" s="63" t="e">
        <f>IF(AND(G8="",H8=""),"SUPPR",SAISIE!$B$3)</f>
        <v>#REF!</v>
      </c>
      <c r="B8" s="63" t="e">
        <f>IF(SAISIE!#REF!="","",IF(LEN(SAISIE!B10)=1,CONCATENATE("0",SAISIE!B10,"/",SAISIE!$B$4,"/",SAISIE!$B$5),CONCATENATE(SAISIE!B10,"/",SAISIE!$B$4,"/",SAISIE!$B$5)))</f>
        <v>#REF!</v>
      </c>
      <c r="C8" s="63" t="e">
        <f>IF(SAISIE!#REF!="","",SAISIE!#REF!)</f>
        <v>#REF!</v>
      </c>
      <c r="D8" s="63" t="e">
        <f>IF(SAISIE!#REF!="","",SAISIE!E10)</f>
        <v>#REF!</v>
      </c>
      <c r="E8" s="63" t="e">
        <f>IF(SAISIE!#REF!="","",SAISIE!F10)</f>
        <v>#REF!</v>
      </c>
      <c r="F8" s="70" t="e">
        <f>IF(SAISIE!#REF!="","",IF(SAISIE!$N10="","",SAISIE!$N10))</f>
        <v>#REF!</v>
      </c>
      <c r="G8" s="63" t="e">
        <f>IF(SAISIE!#REF!="","",SAISIE!#REF!)</f>
        <v>#REF!</v>
      </c>
      <c r="H8" s="63"/>
      <c r="I8" s="63" t="e">
        <f>IF(SAISIE!#REF!="","",SAISIE!$Q10)</f>
        <v>#REF!</v>
      </c>
      <c r="J8" s="71" t="str">
        <f>IF(COUNTBLANK(SAISIE!$J$6:$M$6)=4,"",IF(SAISIE!#REF!="","",IF(SAISIE!J10&gt;0,SAISIE!$J$6,IF(SAISIE!K10&gt;0,SAISIE!$K$6,IF(SAISIE!L10&gt;0,SAISIE!$L$6,IF(SAISIE!M10&gt;0,SAISIE!$M$6,""))))))</f>
        <v/>
      </c>
      <c r="O8" s="59" t="s">
        <v>55</v>
      </c>
    </row>
    <row r="9" spans="1:15" x14ac:dyDescent="0.25">
      <c r="A9" s="63" t="e">
        <f>IF(AND(G9="",H9=""),"SUPPR",SAISIE!$B$3)</f>
        <v>#REF!</v>
      </c>
      <c r="B9" s="63" t="e">
        <f>IF(SAISIE!#REF!="","",IF(LEN(SAISIE!B10)=1,CONCATENATE("0",SAISIE!B10,"/",SAISIE!$B$4,"/",SAISIE!$B$5),CONCATENATE(SAISIE!B10,"/",SAISIE!$B$4,"/",SAISIE!$B$5)))</f>
        <v>#REF!</v>
      </c>
      <c r="C9" s="63" t="e">
        <f>IF(SAISIE!#REF!="","",SAISIE!#REF!)</f>
        <v>#REF!</v>
      </c>
      <c r="D9" s="63" t="e">
        <f>IF(SAISIE!#REF!="","",SAISIE!E10)</f>
        <v>#REF!</v>
      </c>
      <c r="E9" s="63" t="e">
        <f>IF(SAISIE!#REF!="","",SAISIE!F10)</f>
        <v>#REF!</v>
      </c>
      <c r="F9" s="70" t="e">
        <f>IF(SAISIE!#REF!="","",IF(SAISIE!$N10="","",SAISIE!$N10))</f>
        <v>#REF!</v>
      </c>
      <c r="G9" s="63" t="e">
        <f>IF(SAISIE!#REF!="","",SAISIE!#REF!)</f>
        <v>#REF!</v>
      </c>
      <c r="H9" s="63"/>
      <c r="I9" s="63" t="e">
        <f>IF(SAISIE!#REF!="","",SAISIE!$Q10)</f>
        <v>#REF!</v>
      </c>
      <c r="J9" s="71" t="str">
        <f>IF(COUNTBLANK(SAISIE!$J$6:$M$6)=4,"",IF(SAISIE!#REF!="","",IF(SAISIE!J10&gt;0,SAISIE!$J$6,IF(SAISIE!K10&gt;0,SAISIE!$K$6,IF(SAISIE!L10&gt;0,SAISIE!$L$6,IF(SAISIE!M10&gt;0,SAISIE!$M$6,""))))))</f>
        <v/>
      </c>
      <c r="O9" s="59" t="s">
        <v>56</v>
      </c>
    </row>
    <row r="10" spans="1:15" x14ac:dyDescent="0.25">
      <c r="A10" s="63" t="e">
        <f>IF(AND(G10="",H10=""),"SUPPR",SAISIE!$B$3)</f>
        <v>#REF!</v>
      </c>
      <c r="B10" s="63" t="e">
        <f>IF(SAISIE!#REF!="","",IF(LEN(SAISIE!B10)=1,CONCATENATE("0",SAISIE!B10,"/",SAISIE!$B$4,"/",SAISIE!$B$5),CONCATENATE(SAISIE!B10,"/",SAISIE!$B$4,"/",SAISIE!$B$5)))</f>
        <v>#REF!</v>
      </c>
      <c r="C10" s="63" t="e">
        <f>IF(SAISIE!#REF!="","",SAISIE!#REF!)</f>
        <v>#REF!</v>
      </c>
      <c r="D10" s="63" t="e">
        <f>IF(SAISIE!#REF!="","",SAISIE!E10)</f>
        <v>#REF!</v>
      </c>
      <c r="E10" s="63" t="e">
        <f>IF(SAISIE!#REF!="","",SAISIE!F10)</f>
        <v>#REF!</v>
      </c>
      <c r="F10" s="70" t="e">
        <f>IF(SAISIE!#REF!="","",IF(SAISIE!$N10="","",SAISIE!$N10))</f>
        <v>#REF!</v>
      </c>
      <c r="G10" s="63" t="e">
        <f>IF(SAISIE!#REF!="","",SAISIE!#REF!)</f>
        <v>#REF!</v>
      </c>
      <c r="H10" s="63"/>
      <c r="I10" s="63" t="e">
        <f>IF(SAISIE!#REF!="","",SAISIE!$Q10)</f>
        <v>#REF!</v>
      </c>
      <c r="J10" s="71" t="str">
        <f>IF(COUNTBLANK(SAISIE!$J$6:$M$6)=4,"",IF(SAISIE!#REF!="","",IF(SAISIE!J10&gt;0,SAISIE!$J$6,IF(SAISIE!K10&gt;0,SAISIE!$K$6,IF(SAISIE!L10&gt;0,SAISIE!$L$6,IF(SAISIE!M10&gt;0,SAISIE!$M$6,""))))))</f>
        <v/>
      </c>
      <c r="O10" s="59" t="s">
        <v>57</v>
      </c>
    </row>
    <row r="11" spans="1:15" x14ac:dyDescent="0.25">
      <c r="A11" s="63" t="e">
        <f>IF(AND(G11="",H11=""),"SUPPR",SAISIE!$B$3)</f>
        <v>#REF!</v>
      </c>
      <c r="B11" s="63" t="e">
        <f>IF(SAISIE!#REF!="","",IF(LEN(SAISIE!B10)=1,CONCATENATE("0",SAISIE!B10,"/",SAISIE!$B$4,"/",SAISIE!$B$5),CONCATENATE(SAISIE!B10,"/",SAISIE!$B$4,"/",SAISIE!$B$5)))</f>
        <v>#REF!</v>
      </c>
      <c r="C11" s="63" t="e">
        <f>IF(SAISIE!#REF!="","",SAISIE!#REF!)</f>
        <v>#REF!</v>
      </c>
      <c r="D11" s="63" t="e">
        <f>IF(SAISIE!#REF!="","",SAISIE!E10)</f>
        <v>#REF!</v>
      </c>
      <c r="E11" s="63" t="e">
        <f>IF(SAISIE!#REF!="","",SAISIE!F10)</f>
        <v>#REF!</v>
      </c>
      <c r="F11" s="70" t="e">
        <f>IF(SAISIE!#REF!="","",IF(SAISIE!$N10="","",SAISIE!$N10))</f>
        <v>#REF!</v>
      </c>
      <c r="G11" s="63" t="e">
        <f>IF(SAISIE!#REF!="","",SAISIE!#REF!)</f>
        <v>#REF!</v>
      </c>
      <c r="H11" s="63"/>
      <c r="I11" s="63" t="e">
        <f>IF(SAISIE!#REF!="","",SAISIE!$Q10)</f>
        <v>#REF!</v>
      </c>
      <c r="J11" s="71" t="str">
        <f>IF(COUNTBLANK(SAISIE!$J$6:$M$6)=4,"",IF(SAISIE!#REF!="","",IF(SAISIE!J10&gt;0,SAISIE!$J$6,IF(SAISIE!K10&gt;0,SAISIE!$K$6,IF(SAISIE!L10&gt;0,SAISIE!$L$6,IF(SAISIE!M10&gt;0,SAISIE!$M$6,""))))))</f>
        <v/>
      </c>
      <c r="O11" s="59" t="s">
        <v>58</v>
      </c>
    </row>
    <row r="12" spans="1:15" x14ac:dyDescent="0.25">
      <c r="A12" s="63" t="e">
        <f>IF(AND(G12="",H12=""),"SUPPR",SAISIE!$B$3)</f>
        <v>#REF!</v>
      </c>
      <c r="B12" s="63" t="e">
        <f>IF(SAISIE!#REF!="","",IF(LEN(SAISIE!B10)=1,CONCATENATE("0",SAISIE!B10,"/",SAISIE!$B$4,"/",SAISIE!$B$5),CONCATENATE(SAISIE!B10,"/",SAISIE!$B$4,"/",SAISIE!$B$5)))</f>
        <v>#REF!</v>
      </c>
      <c r="C12" s="63" t="e">
        <f>IF(SAISIE!#REF!="","",SAISIE!#REF!)</f>
        <v>#REF!</v>
      </c>
      <c r="D12" s="63" t="e">
        <f>IF(SAISIE!#REF!="","",SAISIE!E10)</f>
        <v>#REF!</v>
      </c>
      <c r="E12" s="63" t="e">
        <f>IF(SAISIE!#REF!="","",SAISIE!F10)</f>
        <v>#REF!</v>
      </c>
      <c r="F12" s="70" t="e">
        <f>IF(SAISIE!#REF!="","",IF(SAISIE!$N10="","",SAISIE!$N10))</f>
        <v>#REF!</v>
      </c>
      <c r="G12" s="63" t="e">
        <f>IF(SAISIE!#REF!="","",SAISIE!#REF!)</f>
        <v>#REF!</v>
      </c>
      <c r="H12" s="63"/>
      <c r="I12" s="63" t="e">
        <f>IF(SAISIE!#REF!="","",SAISIE!$Q10)</f>
        <v>#REF!</v>
      </c>
      <c r="J12" s="71" t="str">
        <f>IF(COUNTBLANK(SAISIE!$J$6:$M$6)=4,"",IF(SAISIE!#REF!="","",IF(SAISIE!J10&gt;0,SAISIE!$J$6,IF(SAISIE!K10&gt;0,SAISIE!$K$6,IF(SAISIE!L10&gt;0,SAISIE!$L$6,IF(SAISIE!M10&gt;0,SAISIE!$M$6,""))))))</f>
        <v/>
      </c>
      <c r="O12" s="59" t="s">
        <v>59</v>
      </c>
    </row>
    <row r="13" spans="1:15" x14ac:dyDescent="0.25">
      <c r="A13" s="63" t="e">
        <f>IF(AND(G13="",H13=""),"SUPPR",SAISIE!$B$3)</f>
        <v>#REF!</v>
      </c>
      <c r="B13" s="63" t="e">
        <f>IF(SAISIE!#REF!="","",IF(LEN(SAISIE!B10)=1,CONCATENATE("0",SAISIE!B10,"/",SAISIE!$B$4,"/",SAISIE!$B$5),CONCATENATE(SAISIE!B10,"/",SAISIE!$B$4,"/",SAISIE!$B$5)))</f>
        <v>#REF!</v>
      </c>
      <c r="C13" s="63" t="e">
        <f>IF(SAISIE!#REF!="","",SAISIE!#REF!)</f>
        <v>#REF!</v>
      </c>
      <c r="D13" s="63" t="e">
        <f>IF(SAISIE!#REF!="","",SAISIE!E10)</f>
        <v>#REF!</v>
      </c>
      <c r="E13" s="63" t="e">
        <f>IF(SAISIE!#REF!="","",SAISIE!F10)</f>
        <v>#REF!</v>
      </c>
      <c r="F13" s="70" t="e">
        <f>IF(SAISIE!#REF!="","",IF(SAISIE!$N10="","",SAISIE!$N10))</f>
        <v>#REF!</v>
      </c>
      <c r="G13" s="63" t="e">
        <f>IF(SAISIE!#REF!="","",SAISIE!#REF!)</f>
        <v>#REF!</v>
      </c>
      <c r="H13" s="63"/>
      <c r="I13" s="63" t="e">
        <f>IF(SAISIE!#REF!="","",SAISIE!$Q10)</f>
        <v>#REF!</v>
      </c>
      <c r="J13" s="71" t="str">
        <f>IF(COUNTBLANK(SAISIE!$J$6:$M$6)=4,"",IF(SAISIE!#REF!="","",IF(SAISIE!J10&gt;0,SAISIE!$J$6,IF(SAISIE!K10&gt;0,SAISIE!$K$6,IF(SAISIE!L10&gt;0,SAISIE!$L$6,IF(SAISIE!M10&gt;0,SAISIE!$M$6,""))))))</f>
        <v/>
      </c>
      <c r="O13" s="59" t="s">
        <v>60</v>
      </c>
    </row>
    <row r="14" spans="1:15" x14ac:dyDescent="0.25">
      <c r="A14" s="63">
        <f>IF(AND(G14="",H14=""),"SUPPR",SAISIE!$B$3)</f>
        <v>0</v>
      </c>
      <c r="B14" s="63" t="str">
        <f>IF(SAISIE!J10="","",IF(LEN(SAISIE!B10)=1,CONCATENATE("0",SAISIE!B10,"/",SAISIE!$B$4,"/",SAISIE!$B$5),CONCATENATE(SAISIE!B10,"/",SAISIE!$B$4,"/",SAISIE!$B$5)))</f>
        <v>26/08/2024/09/2024</v>
      </c>
      <c r="C14" s="63">
        <f>IF(SAISIE!J10="","",SAISIE!$J$8)</f>
        <v>0</v>
      </c>
      <c r="D14" s="63">
        <f>IF(SAISIE!J10="","",SAISIE!E10)</f>
        <v>0</v>
      </c>
      <c r="E14" s="63" t="str">
        <f>IF(SAISIE!J10="","",SAISIE!F10)</f>
        <v>GADERO : Loyer de septembre facture n° 09-24 réglé le 27/09/2024 par virement</v>
      </c>
      <c r="F14" s="70" t="str">
        <f>IF(SAISIE!$J10="","",IF(SAISIE!$N10="","",SAISIE!$N10))</f>
        <v/>
      </c>
      <c r="G14" s="63">
        <f>IF(SAISIE!J10="","",SAISIE!J10)</f>
        <v>1713</v>
      </c>
      <c r="H14" s="63"/>
      <c r="I14" s="72"/>
      <c r="J14" s="71"/>
      <c r="O14" s="73"/>
    </row>
    <row r="15" spans="1:15" x14ac:dyDescent="0.25">
      <c r="A15" s="63" t="str">
        <f>IF(AND(G15="",H15=""),"SUPPR",SAISIE!$B$3)</f>
        <v>SUPPR</v>
      </c>
      <c r="B15" s="63" t="str">
        <f>IF(SAISIE!K10="","",IF(LEN(SAISIE!B10)=1,CONCATENATE("0",SAISIE!B10,"/",SAISIE!$B$4,"/",SAISIE!$B$5),CONCATENATE(SAISIE!B10,"/",SAISIE!$B$4,"/",SAISIE!$B$5)))</f>
        <v/>
      </c>
      <c r="C15" s="63" t="str">
        <f>IF(SAISIE!K10="","",SAISIE!$K$8)</f>
        <v/>
      </c>
      <c r="D15" s="63" t="str">
        <f>IF(SAISIE!K10="","",SAISIE!E10)</f>
        <v/>
      </c>
      <c r="E15" s="63" t="str">
        <f>IF(SAISIE!K10="","",SAISIE!F10)</f>
        <v/>
      </c>
      <c r="F15" s="70" t="str">
        <f>IF(SAISIE!$K10="","",IF(SAISIE!$N10="","",SAISIE!$N10))</f>
        <v/>
      </c>
      <c r="G15" s="63" t="str">
        <f>IF(SAISIE!K10="","",SAISIE!K10)</f>
        <v/>
      </c>
      <c r="H15" s="63"/>
      <c r="I15" s="72"/>
      <c r="J15" s="71"/>
    </row>
    <row r="16" spans="1:15" x14ac:dyDescent="0.25">
      <c r="A16" s="63" t="str">
        <f>IF(AND(G16="",H16=""),"SUPPR",SAISIE!$B$3)</f>
        <v>SUPPR</v>
      </c>
      <c r="B16" s="63" t="str">
        <f>IF(SAISIE!L10="","",IF(LEN(SAISIE!B10)=1,CONCATENATE("0",SAISIE!B10,"/",SAISIE!$B$4,"/",SAISIE!$B$5),CONCATENATE(SAISIE!B10,"/",SAISIE!$B$4,"/",SAISIE!$B$5)))</f>
        <v/>
      </c>
      <c r="C16" s="63" t="str">
        <f>IF(SAISIE!L10="","",SAISIE!$L$8)</f>
        <v/>
      </c>
      <c r="D16" s="63" t="str">
        <f>IF(SAISIE!L10="","",SAISIE!E10)</f>
        <v/>
      </c>
      <c r="E16" s="63" t="str">
        <f>IF(SAISIE!L10="","",SAISIE!F10)</f>
        <v/>
      </c>
      <c r="F16" s="70" t="str">
        <f>IF(SAISIE!$L10="","",IF(SAISIE!$N10="","",SAISIE!$N10))</f>
        <v/>
      </c>
      <c r="G16" s="63" t="str">
        <f>IF(SAISIE!L10="","",SAISIE!L10)</f>
        <v/>
      </c>
      <c r="H16" s="63"/>
      <c r="I16" s="72"/>
      <c r="J16" s="71"/>
    </row>
    <row r="17" spans="1:15" x14ac:dyDescent="0.25">
      <c r="A17" s="63" t="str">
        <f>IF(AND(G17="",H17=""),"SUPPR",SAISIE!$B$3)</f>
        <v>SUPPR</v>
      </c>
      <c r="B17" s="63" t="str">
        <f>IF(SAISIE!M10="","",IF(LEN(SAISIE!B10)=1,CONCATENATE("0",SAISIE!B10,"/",SAISIE!$B$4,"/",SAISIE!$B$5),CONCATENATE(SAISIE!B10,"/",SAISIE!$B$4,"/",SAISIE!$B$5)))</f>
        <v/>
      </c>
      <c r="C17" s="74" t="str">
        <f>IF(SAISIE!M10="","",SAISIE!$M$8)</f>
        <v/>
      </c>
      <c r="D17" s="74" t="str">
        <f>IF(SAISIE!M10="","",SAISIE!E10)</f>
        <v/>
      </c>
      <c r="E17" s="74" t="str">
        <f>IF(SAISIE!M10="","",SAISIE!F10)</f>
        <v/>
      </c>
      <c r="F17" s="75" t="str">
        <f>IF(SAISIE!$M10="","",IF(SAISIE!$N10="","",SAISIE!$N10))</f>
        <v/>
      </c>
      <c r="G17" s="74" t="str">
        <f>IF(SAISIE!M10="","",SAISIE!M10)</f>
        <v/>
      </c>
      <c r="H17" s="76"/>
      <c r="I17" s="77"/>
      <c r="J17" s="78"/>
    </row>
    <row r="18" spans="1:15" x14ac:dyDescent="0.25">
      <c r="A18" s="63" t="str">
        <f>IF(AND(G18="",H18=""),"SUPPR",SAISIE!$B$3)</f>
        <v>SUPPR</v>
      </c>
      <c r="B18" s="64" t="str">
        <f>IF(SAISIE!B11="","",IF(LEN(SAISIE!B11)=1,CONCATENATE("0",SAISIE!B11,"/",SAISIE!$B$4,"/",SAISIE!$B$5),CONCATENATE(SAISIE!B11,"/",SAISIE!$B$4,"/",SAISIE!$B$5)))</f>
        <v/>
      </c>
      <c r="C18" s="64" t="str">
        <f>IF(SAISIE!B11="","",CONCATENATE($M$2,SAISIE!C11))</f>
        <v/>
      </c>
      <c r="D18" s="64" t="str">
        <f>IF(SAISIE!B11="","",SAISIE!E11)</f>
        <v/>
      </c>
      <c r="E18" s="64" t="str">
        <f>IF(SAISIE!B11="","",SAISIE!F11)</f>
        <v/>
      </c>
      <c r="F18" s="65" t="str">
        <f>IF(A18="SUPPR","",IF(SAISIE!N11="","",SAISIE!N11))</f>
        <v/>
      </c>
      <c r="G18" s="64"/>
      <c r="H18" s="64" t="str">
        <f>IF(SAISIE!B11="","",SAISIE!D11)</f>
        <v/>
      </c>
      <c r="I18" s="66"/>
      <c r="J18" s="67" t="str">
        <f>IF(AZ11="","","")</f>
        <v/>
      </c>
      <c r="O18" s="69">
        <f>O2+1</f>
        <v>11</v>
      </c>
    </row>
    <row r="19" spans="1:15" x14ac:dyDescent="0.25">
      <c r="A19" s="63" t="str">
        <f>IF(AND(G19="",H19=""),"SUPPR",SAISIE!$B$3)</f>
        <v>SUPPR</v>
      </c>
      <c r="B19" s="63" t="str">
        <f>IF(SAISIE!P11="","",IF(LEN(SAISIE!B11)=1,CONCATENATE("0",SAISIE!B11,"/",SAISIE!$B$4,"/",SAISIE!$B$5),CONCATENATE(SAISIE!B11,"/",SAISIE!$B$4,"/",SAISIE!$B$5)))</f>
        <v/>
      </c>
      <c r="C19" s="63" t="str">
        <f>IF(SAISIE!P11="","",SAISIE!O11)</f>
        <v/>
      </c>
      <c r="D19" s="63" t="str">
        <f>IF(SAISIE!P11="","",SAISIE!E11)</f>
        <v/>
      </c>
      <c r="E19" s="63" t="str">
        <f>IF(SAISIE!P11="","",SAISIE!F11)</f>
        <v/>
      </c>
      <c r="F19" s="70" t="str">
        <f>IF(SAISIE!$P11="","",IF(SAISIE!$N11="","",SAISIE!$N11))</f>
        <v/>
      </c>
      <c r="G19" s="63" t="str">
        <f>IF(SAISIE!P11="","",SAISIE!P11)</f>
        <v/>
      </c>
      <c r="H19" s="63"/>
      <c r="I19" s="63" t="str">
        <f>IF(SAISIE!$P11="","",SAISIE!$Q11)</f>
        <v/>
      </c>
      <c r="J19" s="71" t="str">
        <f>IF(COUNTBLANK(SAISIE!$J$6:$M$6)=4,"",IF(SAISIE!P11="","",IF(SAISIE!J11&gt;0,SAISIE!$J$6,IF(SAISIE!K11&gt;0,SAISIE!$K$6,IF(SAISIE!L11&gt;0,SAISIE!$L$6,IF(SAISIE!M11&gt;0,SAISIE!$M$6,""))))))</f>
        <v/>
      </c>
      <c r="O19" s="59" t="s">
        <v>50</v>
      </c>
    </row>
    <row r="20" spans="1:15" x14ac:dyDescent="0.25">
      <c r="A20" s="63" t="str">
        <f>IF(AND(G20="",H20=""),"SUPPR",SAISIE!$B$3)</f>
        <v>SUPPR</v>
      </c>
      <c r="B20" s="63" t="str">
        <f>IF(SAISIE!G11="","",IF(LEN(SAISIE!B11)=1,CONCATENATE("0",SAISIE!B11,"/",SAISIE!$B$4,"/",SAISIE!$B$5),CONCATENATE(SAISIE!B11,"/",SAISIE!$B$4,"/",SAISIE!$B$5)))</f>
        <v/>
      </c>
      <c r="C20" s="63" t="str">
        <f>IF(SAISIE!G11="","",SAISIE!$G$8)</f>
        <v/>
      </c>
      <c r="D20" s="63" t="str">
        <f>IF(SAISIE!G11="","",SAISIE!E11)</f>
        <v/>
      </c>
      <c r="E20" s="63" t="str">
        <f>IF(SAISIE!G11="","",SAISIE!F11)</f>
        <v/>
      </c>
      <c r="F20" s="70" t="str">
        <f>IF(SAISIE!$G11="","",IF(SAISIE!$N11="","",SAISIE!$N11))</f>
        <v/>
      </c>
      <c r="G20" s="63" t="str">
        <f>IF(SAISIE!G11="","",SAISIE!G11)</f>
        <v/>
      </c>
      <c r="H20" s="63"/>
      <c r="I20" s="63" t="str">
        <f>IF(SAISIE!$G11="","",SAISIE!$Q11)</f>
        <v/>
      </c>
      <c r="J20" s="71" t="str">
        <f>IF(COUNTBLANK(SAISIE!$J$6:$M$6)=4,"",IF(SAISIE!G11="","",IF(SAISIE!J11&gt;0,SAISIE!$J$6,IF(SAISIE!K11&gt;0,SAISIE!$K$6,IF(SAISIE!L11&gt;0,SAISIE!$L$6,IF(SAISIE!M11&gt;0,SAISIE!$M$6,""))))))</f>
        <v/>
      </c>
      <c r="O20" s="59" t="s">
        <v>51</v>
      </c>
    </row>
    <row r="21" spans="1:15" x14ac:dyDescent="0.25">
      <c r="A21" s="63" t="str">
        <f>IF(AND(G21="",H21=""),"SUPPR",SAISIE!$B$3)</f>
        <v>SUPPR</v>
      </c>
      <c r="B21" s="63" t="str">
        <f>IF(SAISIE!H11="","",IF(LEN(SAISIE!B11)=1,CONCATENATE("0",SAISIE!B11,"/",SAISIE!$B$4,"/",SAISIE!$B$5),CONCATENATE(SAISIE!B11,"/",SAISIE!$B$4,"/",SAISIE!$B$5)))</f>
        <v/>
      </c>
      <c r="C21" s="63" t="str">
        <f>IF(SAISIE!H11="","",SAISIE!$H$8)</f>
        <v/>
      </c>
      <c r="D21" s="63" t="str">
        <f>IF(SAISIE!H11="","",SAISIE!E11)</f>
        <v/>
      </c>
      <c r="E21" s="63" t="str">
        <f>IF(SAISIE!H11="","",SAISIE!F11)</f>
        <v/>
      </c>
      <c r="F21" s="70" t="str">
        <f>IF(SAISIE!$H11="","",IF(SAISIE!$N11="","",SAISIE!$N11))</f>
        <v/>
      </c>
      <c r="G21" s="63" t="str">
        <f>IF(SAISIE!H11="","",SAISIE!H11)</f>
        <v/>
      </c>
      <c r="H21" s="63"/>
      <c r="I21" s="63" t="str">
        <f>IF(SAISIE!$H11="","",SAISIE!$Q11)</f>
        <v/>
      </c>
      <c r="J21" s="71" t="str">
        <f>IF(COUNTBLANK(SAISIE!$J$6:$M$6)=4,"",IF(SAISIE!H11="","",IF(SAISIE!J11&gt;0,SAISIE!$J$6,IF(SAISIE!K11&gt;0,SAISIE!$K$6,IF(SAISIE!L11&gt;0,SAISIE!$L$6,IF(SAISIE!M11&gt;0,SAISIE!$M$6,""))))))</f>
        <v/>
      </c>
      <c r="O21" s="59" t="s">
        <v>52</v>
      </c>
    </row>
    <row r="22" spans="1:15" x14ac:dyDescent="0.25">
      <c r="A22" s="63" t="str">
        <f>IF(AND(G22="",H22=""),"SUPPR",SAISIE!$B$3)</f>
        <v>SUPPR</v>
      </c>
      <c r="B22" s="63" t="str">
        <f>IF(SAISIE!I11="","",IF(LEN(SAISIE!B11)=1,CONCATENATE("0",SAISIE!B11,"/",SAISIE!$B$4,"/",SAISIE!$B$5),CONCATENATE(SAISIE!B11,"/",SAISIE!$B$4,"/",SAISIE!$B$5)))</f>
        <v/>
      </c>
      <c r="C22" s="63" t="str">
        <f>IF(SAISIE!I11="","",SAISIE!$I$8)</f>
        <v/>
      </c>
      <c r="D22" s="63" t="str">
        <f>IF(SAISIE!I11="","",SAISIE!E11)</f>
        <v/>
      </c>
      <c r="E22" s="63" t="str">
        <f>IF(SAISIE!I11="","",SAISIE!F11)</f>
        <v/>
      </c>
      <c r="F22" s="70" t="str">
        <f>IF(SAISIE!$I11="","",IF(SAISIE!$N11="","",SAISIE!$N11))</f>
        <v/>
      </c>
      <c r="G22" s="63" t="str">
        <f>IF(SAISIE!I11="","",SAISIE!I11)</f>
        <v/>
      </c>
      <c r="H22" s="63"/>
      <c r="I22" s="63" t="str">
        <f>IF(SAISIE!$I11="","",SAISIE!$Q11)</f>
        <v/>
      </c>
      <c r="J22" s="71" t="str">
        <f>IF(COUNTBLANK(SAISIE!$J$6:$M$6)=4,"",IF(SAISIE!I11="","",IF(SAISIE!J11&gt;0,SAISIE!$J$6,IF(SAISIE!K11&gt;0,SAISIE!$K$6,IF(SAISIE!L11&gt;0,SAISIE!$L$6,IF(SAISIE!M11&gt;0,SAISIE!$M$6,""))))))</f>
        <v/>
      </c>
      <c r="O22" s="59" t="s">
        <v>53</v>
      </c>
    </row>
    <row r="23" spans="1:15" x14ac:dyDescent="0.25">
      <c r="A23" s="63" t="e">
        <f>IF(AND(G23="",H23=""),"SUPPR",SAISIE!$B$3)</f>
        <v>#REF!</v>
      </c>
      <c r="B23" s="63" t="e">
        <f>IF(SAISIE!#REF!="","",IF(LEN(SAISIE!B11)=1,CONCATENATE("0",SAISIE!B11,"/",SAISIE!$B$4,"/",SAISIE!$B$5),CONCATENATE(SAISIE!B11,"/",SAISIE!$B$4,"/",SAISIE!$B$5)))</f>
        <v>#REF!</v>
      </c>
      <c r="C23" s="63" t="e">
        <f>IF(SAISIE!#REF!="","",SAISIE!#REF!)</f>
        <v>#REF!</v>
      </c>
      <c r="D23" s="63" t="e">
        <f>IF(SAISIE!#REF!="","",SAISIE!E11)</f>
        <v>#REF!</v>
      </c>
      <c r="E23" s="63" t="e">
        <f>IF(SAISIE!#REF!="","",SAISIE!F11)</f>
        <v>#REF!</v>
      </c>
      <c r="F23" s="70" t="e">
        <f>IF(SAISIE!#REF!="","",IF(SAISIE!$N11="","",SAISIE!$N11))</f>
        <v>#REF!</v>
      </c>
      <c r="G23" s="63" t="e">
        <f>IF(SAISIE!#REF!="","",SAISIE!#REF!)</f>
        <v>#REF!</v>
      </c>
      <c r="H23" s="63"/>
      <c r="I23" s="63" t="e">
        <f>IF(SAISIE!#REF!="","",SAISIE!$Q11)</f>
        <v>#REF!</v>
      </c>
      <c r="J23" s="71" t="str">
        <f>IF(COUNTBLANK(SAISIE!$J$6:$M$6)=4,"",IF(SAISIE!#REF!="","",IF(SAISIE!J11&gt;0,SAISIE!$J$6,IF(SAISIE!K11&gt;0,SAISIE!$K$6,IF(SAISIE!L11&gt;0,SAISIE!$L$6,IF(SAISIE!M11&gt;0,SAISIE!$M$6,""))))))</f>
        <v/>
      </c>
      <c r="O23" s="59" t="s">
        <v>54</v>
      </c>
    </row>
    <row r="24" spans="1:15" x14ac:dyDescent="0.25">
      <c r="A24" s="63" t="e">
        <f>IF(AND(G24="",H24=""),"SUPPR",SAISIE!$B$3)</f>
        <v>#REF!</v>
      </c>
      <c r="B24" s="63" t="e">
        <f>IF(SAISIE!#REF!="","",IF(LEN(SAISIE!B11)=1,CONCATENATE("0",SAISIE!B11,"/",SAISIE!$B$4,"/",SAISIE!$B$5),CONCATENATE(SAISIE!B11,"/",SAISIE!$B$4,"/",SAISIE!$B$5)))</f>
        <v>#REF!</v>
      </c>
      <c r="C24" s="63" t="e">
        <f>IF(SAISIE!#REF!="","",SAISIE!#REF!)</f>
        <v>#REF!</v>
      </c>
      <c r="D24" s="63" t="e">
        <f>IF(SAISIE!#REF!="","",SAISIE!E11)</f>
        <v>#REF!</v>
      </c>
      <c r="E24" s="63" t="e">
        <f>IF(SAISIE!#REF!="","",SAISIE!F11)</f>
        <v>#REF!</v>
      </c>
      <c r="F24" s="70" t="e">
        <f>IF(SAISIE!#REF!="","",IF(SAISIE!$N11="","",SAISIE!$N11))</f>
        <v>#REF!</v>
      </c>
      <c r="G24" s="63" t="e">
        <f>IF(SAISIE!#REF!="","",SAISIE!#REF!)</f>
        <v>#REF!</v>
      </c>
      <c r="H24" s="63"/>
      <c r="I24" s="63" t="e">
        <f>IF(SAISIE!#REF!="","",SAISIE!$Q11)</f>
        <v>#REF!</v>
      </c>
      <c r="J24" s="71" t="str">
        <f>IF(COUNTBLANK(SAISIE!$J$6:$M$6)=4,"",IF(SAISIE!#REF!="","",IF(SAISIE!J11&gt;0,SAISIE!$J$6,IF(SAISIE!K11&gt;0,SAISIE!$K$6,IF(SAISIE!L11&gt;0,SAISIE!$L$6,IF(SAISIE!M11&gt;0,SAISIE!$M$6,""))))))</f>
        <v/>
      </c>
      <c r="O24" s="59" t="s">
        <v>55</v>
      </c>
    </row>
    <row r="25" spans="1:15" x14ac:dyDescent="0.25">
      <c r="A25" s="63" t="e">
        <f>IF(AND(G25="",H25=""),"SUPPR",SAISIE!$B$3)</f>
        <v>#REF!</v>
      </c>
      <c r="B25" s="63" t="e">
        <f>IF(SAISIE!#REF!="","",IF(LEN(SAISIE!B11)=1,CONCATENATE("0",SAISIE!B11,"/",SAISIE!$B$4,"/",SAISIE!$B$5),CONCATENATE(SAISIE!B11,"/",SAISIE!$B$4,"/",SAISIE!$B$5)))</f>
        <v>#REF!</v>
      </c>
      <c r="C25" s="63" t="e">
        <f>IF(SAISIE!#REF!="","",SAISIE!#REF!)</f>
        <v>#REF!</v>
      </c>
      <c r="D25" s="63" t="e">
        <f>IF(SAISIE!#REF!="","",SAISIE!E11)</f>
        <v>#REF!</v>
      </c>
      <c r="E25" s="63" t="e">
        <f>IF(SAISIE!#REF!="","",SAISIE!F11)</f>
        <v>#REF!</v>
      </c>
      <c r="F25" s="70" t="e">
        <f>IF(SAISIE!#REF!="","",IF(SAISIE!$N11="","",SAISIE!$N11))</f>
        <v>#REF!</v>
      </c>
      <c r="G25" s="63" t="e">
        <f>IF(SAISIE!#REF!="","",SAISIE!#REF!)</f>
        <v>#REF!</v>
      </c>
      <c r="H25" s="63"/>
      <c r="I25" s="63" t="e">
        <f>IF(SAISIE!#REF!="","",SAISIE!$Q11)</f>
        <v>#REF!</v>
      </c>
      <c r="J25" s="71" t="str">
        <f>IF(COUNTBLANK(SAISIE!$J$6:$M$6)=4,"",IF(SAISIE!#REF!="","",IF(SAISIE!J11&gt;0,SAISIE!$J$6,IF(SAISIE!K11&gt;0,SAISIE!$K$6,IF(SAISIE!L11&gt;0,SAISIE!$L$6,IF(SAISIE!M11&gt;0,SAISIE!$M$6,""))))))</f>
        <v/>
      </c>
      <c r="O25" s="59" t="s">
        <v>56</v>
      </c>
    </row>
    <row r="26" spans="1:15" x14ac:dyDescent="0.25">
      <c r="A26" s="63" t="e">
        <f>IF(AND(G26="",H26=""),"SUPPR",SAISIE!$B$3)</f>
        <v>#REF!</v>
      </c>
      <c r="B26" s="63" t="e">
        <f>IF(SAISIE!#REF!="","",IF(LEN(SAISIE!B11)=1,CONCATENATE("0",SAISIE!B11,"/",SAISIE!$B$4,"/",SAISIE!$B$5),CONCATENATE(SAISIE!B11,"/",SAISIE!$B$4,"/",SAISIE!$B$5)))</f>
        <v>#REF!</v>
      </c>
      <c r="C26" s="63" t="e">
        <f>IF(SAISIE!#REF!="","",SAISIE!#REF!)</f>
        <v>#REF!</v>
      </c>
      <c r="D26" s="63" t="e">
        <f>IF(SAISIE!#REF!="","",SAISIE!E11)</f>
        <v>#REF!</v>
      </c>
      <c r="E26" s="63" t="e">
        <f>IF(SAISIE!#REF!="","",SAISIE!F11)</f>
        <v>#REF!</v>
      </c>
      <c r="F26" s="70" t="e">
        <f>IF(SAISIE!#REF!="","",IF(SAISIE!$N11="","",SAISIE!$N11))</f>
        <v>#REF!</v>
      </c>
      <c r="G26" s="63" t="e">
        <f>IF(SAISIE!#REF!="","",SAISIE!#REF!)</f>
        <v>#REF!</v>
      </c>
      <c r="H26" s="63"/>
      <c r="I26" s="63" t="e">
        <f>IF(SAISIE!#REF!="","",SAISIE!$Q11)</f>
        <v>#REF!</v>
      </c>
      <c r="J26" s="71" t="str">
        <f>IF(COUNTBLANK(SAISIE!$J$6:$M$6)=4,"",IF(SAISIE!#REF!="","",IF(SAISIE!J11&gt;0,SAISIE!$J$6,IF(SAISIE!K11&gt;0,SAISIE!$K$6,IF(SAISIE!L11&gt;0,SAISIE!$L$6,IF(SAISIE!M11&gt;0,SAISIE!$M$6,""))))))</f>
        <v/>
      </c>
      <c r="O26" s="59" t="s">
        <v>57</v>
      </c>
    </row>
    <row r="27" spans="1:15" x14ac:dyDescent="0.25">
      <c r="A27" s="63" t="e">
        <f>IF(AND(G27="",H27=""),"SUPPR",SAISIE!$B$3)</f>
        <v>#REF!</v>
      </c>
      <c r="B27" s="63" t="e">
        <f>IF(SAISIE!#REF!="","",IF(LEN(SAISIE!B11)=1,CONCATENATE("0",SAISIE!B11,"/",SAISIE!$B$4,"/",SAISIE!$B$5),CONCATENATE(SAISIE!B11,"/",SAISIE!$B$4,"/",SAISIE!$B$5)))</f>
        <v>#REF!</v>
      </c>
      <c r="C27" s="63" t="e">
        <f>IF(SAISIE!#REF!="","",SAISIE!#REF!)</f>
        <v>#REF!</v>
      </c>
      <c r="D27" s="63" t="e">
        <f>IF(SAISIE!#REF!="","",SAISIE!E11)</f>
        <v>#REF!</v>
      </c>
      <c r="E27" s="63" t="e">
        <f>IF(SAISIE!#REF!="","",SAISIE!F11)</f>
        <v>#REF!</v>
      </c>
      <c r="F27" s="70" t="e">
        <f>IF(SAISIE!#REF!="","",IF(SAISIE!$N11="","",SAISIE!$N11))</f>
        <v>#REF!</v>
      </c>
      <c r="G27" s="63" t="e">
        <f>IF(SAISIE!#REF!="","",SAISIE!#REF!)</f>
        <v>#REF!</v>
      </c>
      <c r="H27" s="63"/>
      <c r="I27" s="63" t="e">
        <f>IF(SAISIE!#REF!="","",SAISIE!$Q11)</f>
        <v>#REF!</v>
      </c>
      <c r="J27" s="71" t="str">
        <f>IF(COUNTBLANK(SAISIE!$J$6:$M$6)=4,"",IF(SAISIE!#REF!="","",IF(SAISIE!J11&gt;0,SAISIE!$J$6,IF(SAISIE!K11&gt;0,SAISIE!$K$6,IF(SAISIE!L11&gt;0,SAISIE!$L$6,IF(SAISIE!M11&gt;0,SAISIE!$M$6,""))))))</f>
        <v/>
      </c>
      <c r="O27" s="59" t="s">
        <v>58</v>
      </c>
    </row>
    <row r="28" spans="1:15" x14ac:dyDescent="0.25">
      <c r="A28" s="63" t="e">
        <f>IF(AND(G28="",H28=""),"SUPPR",SAISIE!$B$3)</f>
        <v>#REF!</v>
      </c>
      <c r="B28" s="63" t="e">
        <f>IF(SAISIE!#REF!="","",IF(LEN(SAISIE!B11)=1,CONCATENATE("0",SAISIE!B11,"/",SAISIE!$B$4,"/",SAISIE!$B$5),CONCATENATE(SAISIE!B11,"/",SAISIE!$B$4,"/",SAISIE!$B$5)))</f>
        <v>#REF!</v>
      </c>
      <c r="C28" s="63" t="e">
        <f>IF(SAISIE!#REF!="","",SAISIE!#REF!)</f>
        <v>#REF!</v>
      </c>
      <c r="D28" s="63" t="e">
        <f>IF(SAISIE!#REF!="","",SAISIE!E11)</f>
        <v>#REF!</v>
      </c>
      <c r="E28" s="63" t="e">
        <f>IF(SAISIE!#REF!="","",SAISIE!F11)</f>
        <v>#REF!</v>
      </c>
      <c r="F28" s="70" t="e">
        <f>IF(SAISIE!#REF!="","",IF(SAISIE!$N11="","",SAISIE!$N11))</f>
        <v>#REF!</v>
      </c>
      <c r="G28" s="63" t="e">
        <f>IF(SAISIE!#REF!="","",SAISIE!#REF!)</f>
        <v>#REF!</v>
      </c>
      <c r="H28" s="63"/>
      <c r="I28" s="63" t="e">
        <f>IF(SAISIE!#REF!="","",SAISIE!$Q11)</f>
        <v>#REF!</v>
      </c>
      <c r="J28" s="71" t="str">
        <f>IF(COUNTBLANK(SAISIE!$J$6:$M$6)=4,"",IF(SAISIE!#REF!="","",IF(SAISIE!J11&gt;0,SAISIE!$J$6,IF(SAISIE!K11&gt;0,SAISIE!$K$6,IF(SAISIE!L11&gt;0,SAISIE!$L$6,IF(SAISIE!M11&gt;0,SAISIE!$M$6,""))))))</f>
        <v/>
      </c>
      <c r="O28" s="59" t="s">
        <v>59</v>
      </c>
    </row>
    <row r="29" spans="1:15" x14ac:dyDescent="0.25">
      <c r="A29" s="63" t="e">
        <f>IF(AND(G29="",H29=""),"SUPPR",SAISIE!$B$3)</f>
        <v>#REF!</v>
      </c>
      <c r="B29" s="63" t="e">
        <f>IF(SAISIE!#REF!="","",IF(LEN(SAISIE!B11)=1,CONCATENATE("0",SAISIE!B11,"/",SAISIE!$B$4,"/",SAISIE!$B$5),CONCATENATE(SAISIE!B11,"/",SAISIE!$B$4,"/",SAISIE!$B$5)))</f>
        <v>#REF!</v>
      </c>
      <c r="C29" s="63" t="e">
        <f>IF(SAISIE!#REF!="","",SAISIE!#REF!)</f>
        <v>#REF!</v>
      </c>
      <c r="D29" s="63" t="e">
        <f>IF(SAISIE!#REF!="","",SAISIE!E11)</f>
        <v>#REF!</v>
      </c>
      <c r="E29" s="63" t="e">
        <f>IF(SAISIE!#REF!="","",SAISIE!F11)</f>
        <v>#REF!</v>
      </c>
      <c r="F29" s="70" t="e">
        <f>IF(SAISIE!#REF!="","",IF(SAISIE!$N11="","",SAISIE!$N11))</f>
        <v>#REF!</v>
      </c>
      <c r="G29" s="63" t="e">
        <f>IF(SAISIE!#REF!="","",SAISIE!#REF!)</f>
        <v>#REF!</v>
      </c>
      <c r="H29" s="63"/>
      <c r="I29" s="63" t="e">
        <f>IF(SAISIE!#REF!="","",SAISIE!$Q11)</f>
        <v>#REF!</v>
      </c>
      <c r="J29" s="71" t="str">
        <f>IF(COUNTBLANK(SAISIE!$J$6:$M$6)=4,"",IF(SAISIE!#REF!="","",IF(SAISIE!J11&gt;0,SAISIE!$J$6,IF(SAISIE!K11&gt;0,SAISIE!$K$6,IF(SAISIE!L11&gt;0,SAISIE!$L$6,IF(SAISIE!M11&gt;0,SAISIE!$M$6,""))))))</f>
        <v/>
      </c>
      <c r="O29" s="59" t="s">
        <v>60</v>
      </c>
    </row>
    <row r="30" spans="1:15" x14ac:dyDescent="0.25">
      <c r="A30" s="63" t="str">
        <f>IF(AND(G30="",H30=""),"SUPPR",SAISIE!$B$3)</f>
        <v>SUPPR</v>
      </c>
      <c r="B30" s="63" t="str">
        <f>IF(SAISIE!J11="","",IF(LEN(SAISIE!B11)=1,CONCATENATE("0",SAISIE!B11,"/",SAISIE!$B$4,"/",SAISIE!$B$5),CONCATENATE(SAISIE!B11,"/",SAISIE!$B$4,"/",SAISIE!$B$5)))</f>
        <v/>
      </c>
      <c r="C30" s="63" t="str">
        <f>IF(SAISIE!J11="","",SAISIE!$J$8)</f>
        <v/>
      </c>
      <c r="D30" s="63" t="str">
        <f>IF(SAISIE!J11="","",SAISIE!E11)</f>
        <v/>
      </c>
      <c r="E30" s="63" t="str">
        <f>IF(SAISIE!J11="","",SAISIE!F11)</f>
        <v/>
      </c>
      <c r="F30" s="70" t="str">
        <f>IF(SAISIE!$J11="","",IF(SAISIE!$N11="","",SAISIE!$N11))</f>
        <v/>
      </c>
      <c r="G30" s="63" t="str">
        <f>IF(SAISIE!J11="","",SAISIE!J11)</f>
        <v/>
      </c>
      <c r="H30" s="63"/>
      <c r="I30" s="72"/>
      <c r="J30" s="71"/>
      <c r="O30" s="73"/>
    </row>
    <row r="31" spans="1:15" x14ac:dyDescent="0.25">
      <c r="A31" s="63" t="str">
        <f>IF(AND(G31="",H31=""),"SUPPR",SAISIE!$B$3)</f>
        <v>SUPPR</v>
      </c>
      <c r="B31" s="63" t="str">
        <f>IF(SAISIE!K11="","",IF(LEN(SAISIE!B11)=1,CONCATENATE("0",SAISIE!B11,"/",SAISIE!$B$4,"/",SAISIE!$B$5),CONCATENATE(SAISIE!B11,"/",SAISIE!$B$4,"/",SAISIE!$B$5)))</f>
        <v/>
      </c>
      <c r="C31" s="63" t="str">
        <f>IF(SAISIE!K11="","",SAISIE!$K$8)</f>
        <v/>
      </c>
      <c r="D31" s="63" t="str">
        <f>IF(SAISIE!K11="","",SAISIE!E11)</f>
        <v/>
      </c>
      <c r="E31" s="63" t="str">
        <f>IF(SAISIE!K11="","",SAISIE!F11)</f>
        <v/>
      </c>
      <c r="F31" s="70" t="str">
        <f>IF(SAISIE!$K11="","",IF(SAISIE!$N11="","",SAISIE!$N11))</f>
        <v/>
      </c>
      <c r="G31" s="63" t="str">
        <f>IF(SAISIE!K11="","",SAISIE!K11)</f>
        <v/>
      </c>
      <c r="H31" s="63"/>
      <c r="I31" s="72"/>
      <c r="J31" s="71"/>
    </row>
    <row r="32" spans="1:15" x14ac:dyDescent="0.25">
      <c r="A32" s="63" t="str">
        <f>IF(AND(G32="",H32=""),"SUPPR",SAISIE!$B$3)</f>
        <v>SUPPR</v>
      </c>
      <c r="B32" s="63" t="str">
        <f>IF(SAISIE!L11="","",IF(LEN(SAISIE!B11)=1,CONCATENATE("0",SAISIE!B11,"/",SAISIE!$B$4,"/",SAISIE!$B$5),CONCATENATE(SAISIE!B11,"/",SAISIE!$B$4,"/",SAISIE!$B$5)))</f>
        <v/>
      </c>
      <c r="C32" s="63" t="str">
        <f>IF(SAISIE!L11="","",SAISIE!$L$8)</f>
        <v/>
      </c>
      <c r="D32" s="63" t="str">
        <f>IF(SAISIE!L11="","",SAISIE!E11)</f>
        <v/>
      </c>
      <c r="E32" s="63" t="str">
        <f>IF(SAISIE!L11="","",SAISIE!F11)</f>
        <v/>
      </c>
      <c r="F32" s="70" t="str">
        <f>IF(SAISIE!$L11="","",IF(SAISIE!$N11="","",SAISIE!$N11))</f>
        <v/>
      </c>
      <c r="G32" s="63" t="str">
        <f>IF(SAISIE!L11="","",SAISIE!L11)</f>
        <v/>
      </c>
      <c r="H32" s="63"/>
      <c r="I32" s="72"/>
      <c r="J32" s="71"/>
    </row>
    <row r="33" spans="1:15" x14ac:dyDescent="0.25">
      <c r="A33" s="63" t="str">
        <f>IF(AND(G33="",H33=""),"SUPPR",SAISIE!$B$3)</f>
        <v>SUPPR</v>
      </c>
      <c r="B33" s="63" t="str">
        <f>IF(SAISIE!M11="","",IF(LEN(SAISIE!B11)=1,CONCATENATE("0",SAISIE!B11,"/",SAISIE!$B$4,"/",SAISIE!$B$5),CONCATENATE(SAISIE!B11,"/",SAISIE!$B$4,"/",SAISIE!$B$5)))</f>
        <v/>
      </c>
      <c r="C33" s="74" t="str">
        <f>IF(SAISIE!M11="","",SAISIE!$M$8)</f>
        <v/>
      </c>
      <c r="D33" s="74" t="str">
        <f>IF(SAISIE!M11="","",SAISIE!E11)</f>
        <v/>
      </c>
      <c r="E33" s="74" t="str">
        <f>IF(SAISIE!M11="","",SAISIE!F11)</f>
        <v/>
      </c>
      <c r="F33" s="75" t="str">
        <f>IF(SAISIE!$M11="","",IF(SAISIE!$N11="","",SAISIE!$N11))</f>
        <v/>
      </c>
      <c r="G33" s="74" t="str">
        <f>IF(SAISIE!M11="","",SAISIE!M11)</f>
        <v/>
      </c>
      <c r="H33" s="76"/>
      <c r="I33" s="77"/>
      <c r="J33" s="78"/>
    </row>
    <row r="34" spans="1:15" x14ac:dyDescent="0.25">
      <c r="A34" s="63" t="str">
        <f>IF(AND(G34="",H34=""),"SUPPR",SAISIE!$B$3)</f>
        <v>SUPPR</v>
      </c>
      <c r="B34" s="64" t="str">
        <f>IF(SAISIE!B12="","",IF(LEN(SAISIE!B12)=1,CONCATENATE("0",SAISIE!B12,"/",SAISIE!$B$4,"/",SAISIE!$B$5),CONCATENATE(SAISIE!B12,"/",SAISIE!$B$4,"/",SAISIE!$B$5)))</f>
        <v/>
      </c>
      <c r="C34" s="64" t="str">
        <f>IF(SAISIE!B12="","",CONCATENATE($M$2,SAISIE!C12))</f>
        <v/>
      </c>
      <c r="D34" s="64" t="str">
        <f>IF(SAISIE!B12="","",SAISIE!E12)</f>
        <v/>
      </c>
      <c r="E34" s="64" t="str">
        <f>IF(SAISIE!B12="","",SAISIE!F12)</f>
        <v/>
      </c>
      <c r="F34" s="65" t="str">
        <f>IF(A34="SUPPR","",IF(SAISIE!$N12="","",SAISIE!$N12))</f>
        <v/>
      </c>
      <c r="G34" s="64"/>
      <c r="H34" s="64" t="str">
        <f>IF(SAISIE!B12="","",SAISIE!D12)</f>
        <v/>
      </c>
      <c r="I34" s="66"/>
      <c r="J34" s="67" t="str">
        <f>IF(AZ12="","","")</f>
        <v/>
      </c>
      <c r="O34" s="69">
        <f>O18+1</f>
        <v>12</v>
      </c>
    </row>
    <row r="35" spans="1:15" x14ac:dyDescent="0.25">
      <c r="A35" s="63" t="str">
        <f>IF(AND(G35="",H35=""),"SUPPR",SAISIE!$B$3)</f>
        <v>SUPPR</v>
      </c>
      <c r="B35" s="63" t="str">
        <f>IF(SAISIE!P12="","",IF(LEN(SAISIE!B12)=1,CONCATENATE("0",SAISIE!B12,"/",SAISIE!$B$4,"/",SAISIE!$B$5),CONCATENATE(SAISIE!B12,"/",SAISIE!$B$4,"/",SAISIE!$B$5)))</f>
        <v/>
      </c>
      <c r="C35" s="63" t="str">
        <f>IF(SAISIE!P12="","",SAISIE!O12)</f>
        <v/>
      </c>
      <c r="D35" s="63" t="str">
        <f>IF(SAISIE!P12="","",SAISIE!E12)</f>
        <v/>
      </c>
      <c r="E35" s="63" t="str">
        <f>IF(SAISIE!P12="","",SAISIE!F12)</f>
        <v/>
      </c>
      <c r="F35" s="70" t="str">
        <f>IF(SAISIE!$P12="","",IF(SAISIE!$N12="","",SAISIE!$N12))</f>
        <v/>
      </c>
      <c r="G35" s="63" t="str">
        <f>IF(SAISIE!P12="","",SAISIE!P12)</f>
        <v/>
      </c>
      <c r="H35" s="63"/>
      <c r="I35" s="63" t="str">
        <f>IF(SAISIE!$P12="","",SAISIE!$Q12)</f>
        <v/>
      </c>
      <c r="J35" s="71" t="str">
        <f>IF(COUNTBLANK(SAISIE!$J$6:$M$6)=4,"",IF(SAISIE!P12="","",IF(SAISIE!J12&gt;0,SAISIE!$J$6,IF(SAISIE!K12&gt;0,SAISIE!$K$6,IF(SAISIE!L12&gt;0,SAISIE!$L$6,IF(SAISIE!M12&gt;0,SAISIE!$M$6,""))))))</f>
        <v/>
      </c>
      <c r="O35" s="59" t="s">
        <v>50</v>
      </c>
    </row>
    <row r="36" spans="1:15" x14ac:dyDescent="0.25">
      <c r="A36" s="63" t="str">
        <f>IF(AND(G36="",H36=""),"SUPPR",SAISIE!$B$3)</f>
        <v>SUPPR</v>
      </c>
      <c r="B36" s="63" t="str">
        <f>IF(SAISIE!G12="","",IF(LEN(SAISIE!B12)=1,CONCATENATE("0",SAISIE!B12,"/",SAISIE!$B$4,"/",SAISIE!$B$5),CONCATENATE(SAISIE!B12,"/",SAISIE!$B$4,"/",SAISIE!$B$5)))</f>
        <v/>
      </c>
      <c r="C36" s="63" t="str">
        <f>IF(SAISIE!G12="","",SAISIE!$G$8)</f>
        <v/>
      </c>
      <c r="D36" s="63" t="str">
        <f>IF(SAISIE!G12="","",SAISIE!E12)</f>
        <v/>
      </c>
      <c r="E36" s="63" t="str">
        <f>IF(SAISIE!G12="","",SAISIE!F12)</f>
        <v/>
      </c>
      <c r="F36" s="70" t="str">
        <f>IF(SAISIE!$G12="","",IF(SAISIE!$N12="","",SAISIE!$N12))</f>
        <v/>
      </c>
      <c r="G36" s="63" t="str">
        <f>IF(SAISIE!G12="","",SAISIE!G12)</f>
        <v/>
      </c>
      <c r="H36" s="63"/>
      <c r="I36" s="63" t="str">
        <f>IF(SAISIE!$G12="","",SAISIE!$Q12)</f>
        <v/>
      </c>
      <c r="J36" s="71" t="str">
        <f>IF(COUNTBLANK(SAISIE!$J$6:$M$6)=4,"",IF(SAISIE!G12="","",IF(SAISIE!J12&gt;0,SAISIE!$J$6,IF(SAISIE!K12&gt;0,SAISIE!$K$6,IF(SAISIE!L12&gt;0,SAISIE!$L$6,IF(SAISIE!M12&gt;0,SAISIE!$M$6,""))))))</f>
        <v/>
      </c>
      <c r="O36" s="59" t="s">
        <v>51</v>
      </c>
    </row>
    <row r="37" spans="1:15" x14ac:dyDescent="0.25">
      <c r="A37" s="63" t="str">
        <f>IF(AND(G37="",H37=""),"SUPPR",SAISIE!$B$3)</f>
        <v>SUPPR</v>
      </c>
      <c r="B37" s="63" t="str">
        <f>IF(SAISIE!H12="","",IF(LEN(SAISIE!B12)=1,CONCATENATE("0",SAISIE!B12,"/",SAISIE!$B$4,"/",SAISIE!$B$5),CONCATENATE(SAISIE!B12,"/",SAISIE!$B$4,"/",SAISIE!$B$5)))</f>
        <v/>
      </c>
      <c r="C37" s="63" t="str">
        <f>IF(SAISIE!H12="","",SAISIE!$H$8)</f>
        <v/>
      </c>
      <c r="D37" s="63" t="str">
        <f>IF(SAISIE!H12="","",SAISIE!E12)</f>
        <v/>
      </c>
      <c r="E37" s="63" t="str">
        <f>IF(SAISIE!H12="","",SAISIE!F12)</f>
        <v/>
      </c>
      <c r="F37" s="70" t="str">
        <f>IF(SAISIE!$H12="","",IF(SAISIE!$N12="","",SAISIE!$N12))</f>
        <v/>
      </c>
      <c r="G37" s="63" t="str">
        <f>IF(SAISIE!H12="","",SAISIE!H12)</f>
        <v/>
      </c>
      <c r="H37" s="63"/>
      <c r="I37" s="63" t="str">
        <f>IF(SAISIE!$H12="","",SAISIE!$Q12)</f>
        <v/>
      </c>
      <c r="J37" s="71" t="str">
        <f>IF(COUNTBLANK(SAISIE!$J$6:$M$6)=4,"",IF(SAISIE!H12="","",IF(SAISIE!J12&gt;0,SAISIE!$J$6,IF(SAISIE!K12&gt;0,SAISIE!$K$6,IF(SAISIE!L12&gt;0,SAISIE!$L$6,IF(SAISIE!M12&gt;0,SAISIE!$M$6,""))))))</f>
        <v/>
      </c>
      <c r="O37" s="59" t="s">
        <v>52</v>
      </c>
    </row>
    <row r="38" spans="1:15" x14ac:dyDescent="0.25">
      <c r="A38" s="63" t="str">
        <f>IF(AND(G38="",H38=""),"SUPPR",SAISIE!$B$3)</f>
        <v>SUPPR</v>
      </c>
      <c r="B38" s="63" t="str">
        <f>IF(SAISIE!I12="","",IF(LEN(SAISIE!B12)=1,CONCATENATE("0",SAISIE!B12,"/",SAISIE!$B$4,"/",SAISIE!$B$5),CONCATENATE(SAISIE!B12,"/",SAISIE!$B$4,"/",SAISIE!$B$5)))</f>
        <v/>
      </c>
      <c r="C38" s="63" t="str">
        <f>IF(SAISIE!I12="","",SAISIE!$I$8)</f>
        <v/>
      </c>
      <c r="D38" s="63" t="str">
        <f>IF(SAISIE!I12="","",SAISIE!E12)</f>
        <v/>
      </c>
      <c r="E38" s="63" t="str">
        <f>IF(SAISIE!I12="","",SAISIE!F12)</f>
        <v/>
      </c>
      <c r="F38" s="70" t="str">
        <f>IF(SAISIE!$I12="","",IF(SAISIE!$N12="","",SAISIE!$N12))</f>
        <v/>
      </c>
      <c r="G38" s="63" t="str">
        <f>IF(SAISIE!I12="","",SAISIE!I12)</f>
        <v/>
      </c>
      <c r="H38" s="63"/>
      <c r="I38" s="63" t="str">
        <f>IF(SAISIE!$I12="","",SAISIE!$Q12)</f>
        <v/>
      </c>
      <c r="J38" s="71" t="str">
        <f>IF(COUNTBLANK(SAISIE!$J$6:$M$6)=4,"",IF(SAISIE!I12="","",IF(SAISIE!J12&gt;0,SAISIE!$J$6,IF(SAISIE!K12&gt;0,SAISIE!$K$6,IF(SAISIE!L12&gt;0,SAISIE!$L$6,IF(SAISIE!M12&gt;0,SAISIE!$M$6,""))))))</f>
        <v/>
      </c>
      <c r="O38" s="59" t="s">
        <v>53</v>
      </c>
    </row>
    <row r="39" spans="1:15" x14ac:dyDescent="0.25">
      <c r="A39" s="63" t="e">
        <f>IF(AND(G39="",H39=""),"SUPPR",SAISIE!$B$3)</f>
        <v>#REF!</v>
      </c>
      <c r="B39" s="63" t="e">
        <f>IF(SAISIE!#REF!="","",IF(LEN(SAISIE!B12)=1,CONCATENATE("0",SAISIE!B12,"/",SAISIE!$B$4,"/",SAISIE!$B$5),CONCATENATE(SAISIE!B12,"/",SAISIE!$B$4,"/",SAISIE!$B$5)))</f>
        <v>#REF!</v>
      </c>
      <c r="C39" s="63" t="e">
        <f>IF(SAISIE!#REF!="","",SAISIE!#REF!)</f>
        <v>#REF!</v>
      </c>
      <c r="D39" s="63" t="e">
        <f>IF(SAISIE!#REF!="","",SAISIE!E12)</f>
        <v>#REF!</v>
      </c>
      <c r="E39" s="63" t="e">
        <f>IF(SAISIE!#REF!="","",SAISIE!F12)</f>
        <v>#REF!</v>
      </c>
      <c r="F39" s="70" t="e">
        <f>IF(SAISIE!#REF!="","",IF(SAISIE!$N12="","",SAISIE!$N12))</f>
        <v>#REF!</v>
      </c>
      <c r="G39" s="63" t="e">
        <f>IF(SAISIE!#REF!="","",SAISIE!#REF!)</f>
        <v>#REF!</v>
      </c>
      <c r="H39" s="63"/>
      <c r="I39" s="63" t="e">
        <f>IF(SAISIE!#REF!="","",SAISIE!$Q12)</f>
        <v>#REF!</v>
      </c>
      <c r="J39" s="71" t="str">
        <f>IF(COUNTBLANK(SAISIE!$J$6:$M$6)=4,"",IF(SAISIE!#REF!="","",IF(SAISIE!J12&gt;0,SAISIE!$J$6,IF(SAISIE!K12&gt;0,SAISIE!$K$6,IF(SAISIE!L12&gt;0,SAISIE!$L$6,IF(SAISIE!M12&gt;0,SAISIE!$M$6,""))))))</f>
        <v/>
      </c>
      <c r="O39" s="59" t="s">
        <v>54</v>
      </c>
    </row>
    <row r="40" spans="1:15" x14ac:dyDescent="0.25">
      <c r="A40" s="63" t="e">
        <f>IF(AND(G40="",H40=""),"SUPPR",SAISIE!$B$3)</f>
        <v>#REF!</v>
      </c>
      <c r="B40" s="63" t="e">
        <f>IF(SAISIE!#REF!="","",IF(LEN(SAISIE!B12)=1,CONCATENATE("0",SAISIE!B12,"/",SAISIE!$B$4,"/",SAISIE!$B$5),CONCATENATE(SAISIE!B12,"/",SAISIE!$B$4,"/",SAISIE!$B$5)))</f>
        <v>#REF!</v>
      </c>
      <c r="C40" s="63" t="e">
        <f>IF(SAISIE!#REF!="","",SAISIE!#REF!)</f>
        <v>#REF!</v>
      </c>
      <c r="D40" s="63" t="e">
        <f>IF(SAISIE!#REF!="","",SAISIE!E12)</f>
        <v>#REF!</v>
      </c>
      <c r="E40" s="63" t="e">
        <f>IF(SAISIE!#REF!="","",SAISIE!F12)</f>
        <v>#REF!</v>
      </c>
      <c r="F40" s="70" t="e">
        <f>IF(SAISIE!#REF!="","",IF(SAISIE!$N12="","",SAISIE!$N12))</f>
        <v>#REF!</v>
      </c>
      <c r="G40" s="63" t="e">
        <f>IF(SAISIE!#REF!="","",SAISIE!#REF!)</f>
        <v>#REF!</v>
      </c>
      <c r="H40" s="63"/>
      <c r="I40" s="63" t="e">
        <f>IF(SAISIE!#REF!="","",SAISIE!$Q12)</f>
        <v>#REF!</v>
      </c>
      <c r="J40" s="71" t="str">
        <f>IF(COUNTBLANK(SAISIE!$J$6:$M$6)=4,"",IF(SAISIE!#REF!="","",IF(SAISIE!J12&gt;0,SAISIE!$J$6,IF(SAISIE!K12&gt;0,SAISIE!$K$6,IF(SAISIE!L12&gt;0,SAISIE!$L$6,IF(SAISIE!M12&gt;0,SAISIE!$M$6,""))))))</f>
        <v/>
      </c>
      <c r="O40" s="59" t="s">
        <v>55</v>
      </c>
    </row>
    <row r="41" spans="1:15" x14ac:dyDescent="0.25">
      <c r="A41" s="63" t="e">
        <f>IF(AND(G41="",H41=""),"SUPPR",SAISIE!$B$3)</f>
        <v>#REF!</v>
      </c>
      <c r="B41" s="63" t="e">
        <f>IF(SAISIE!#REF!="","",IF(LEN(SAISIE!B12)=1,CONCATENATE("0",SAISIE!B12,"/",SAISIE!$B$4,"/",SAISIE!$B$5),CONCATENATE(SAISIE!B12,"/",SAISIE!$B$4,"/",SAISIE!$B$5)))</f>
        <v>#REF!</v>
      </c>
      <c r="C41" s="63" t="e">
        <f>IF(SAISIE!#REF!="","",SAISIE!#REF!)</f>
        <v>#REF!</v>
      </c>
      <c r="D41" s="63" t="e">
        <f>IF(SAISIE!#REF!="","",SAISIE!E12)</f>
        <v>#REF!</v>
      </c>
      <c r="E41" s="63" t="e">
        <f>IF(SAISIE!#REF!="","",SAISIE!F12)</f>
        <v>#REF!</v>
      </c>
      <c r="F41" s="70" t="e">
        <f>IF(SAISIE!#REF!="","",IF(SAISIE!$N12="","",SAISIE!$N12))</f>
        <v>#REF!</v>
      </c>
      <c r="G41" s="63" t="e">
        <f>IF(SAISIE!#REF!="","",SAISIE!#REF!)</f>
        <v>#REF!</v>
      </c>
      <c r="H41" s="63"/>
      <c r="I41" s="63" t="e">
        <f>IF(SAISIE!#REF!="","",SAISIE!$Q12)</f>
        <v>#REF!</v>
      </c>
      <c r="J41" s="71" t="str">
        <f>IF(COUNTBLANK(SAISIE!$J$6:$M$6)=4,"",IF(SAISIE!#REF!="","",IF(SAISIE!J12&gt;0,SAISIE!$J$6,IF(SAISIE!K12&gt;0,SAISIE!$K$6,IF(SAISIE!L12&gt;0,SAISIE!$L$6,IF(SAISIE!M12&gt;0,SAISIE!$M$6,""))))))</f>
        <v/>
      </c>
      <c r="O41" s="59" t="s">
        <v>56</v>
      </c>
    </row>
    <row r="42" spans="1:15" x14ac:dyDescent="0.25">
      <c r="A42" s="63" t="e">
        <f>IF(AND(G42="",H42=""),"SUPPR",SAISIE!$B$3)</f>
        <v>#REF!</v>
      </c>
      <c r="B42" s="63" t="e">
        <f>IF(SAISIE!#REF!="","",IF(LEN(SAISIE!B12)=1,CONCATENATE("0",SAISIE!B12,"/",SAISIE!$B$4,"/",SAISIE!$B$5),CONCATENATE(SAISIE!B12,"/",SAISIE!$B$4,"/",SAISIE!$B$5)))</f>
        <v>#REF!</v>
      </c>
      <c r="C42" s="63" t="e">
        <f>IF(SAISIE!#REF!="","",SAISIE!#REF!)</f>
        <v>#REF!</v>
      </c>
      <c r="D42" s="63" t="e">
        <f>IF(SAISIE!#REF!="","",SAISIE!E12)</f>
        <v>#REF!</v>
      </c>
      <c r="E42" s="63" t="e">
        <f>IF(SAISIE!#REF!="","",SAISIE!F12)</f>
        <v>#REF!</v>
      </c>
      <c r="F42" s="70" t="e">
        <f>IF(SAISIE!#REF!="","",IF(SAISIE!$N12="","",SAISIE!$N12))</f>
        <v>#REF!</v>
      </c>
      <c r="G42" s="63" t="e">
        <f>IF(SAISIE!#REF!="","",SAISIE!#REF!)</f>
        <v>#REF!</v>
      </c>
      <c r="H42" s="63"/>
      <c r="I42" s="63" t="e">
        <f>IF(SAISIE!#REF!="","",SAISIE!$Q12)</f>
        <v>#REF!</v>
      </c>
      <c r="J42" s="71" t="str">
        <f>IF(COUNTBLANK(SAISIE!$J$6:$M$6)=4,"",IF(SAISIE!#REF!="","",IF(SAISIE!J12&gt;0,SAISIE!$J$6,IF(SAISIE!K12&gt;0,SAISIE!$K$6,IF(SAISIE!L12&gt;0,SAISIE!$L$6,IF(SAISIE!M12&gt;0,SAISIE!$M$6,""))))))</f>
        <v/>
      </c>
      <c r="O42" s="59" t="s">
        <v>57</v>
      </c>
    </row>
    <row r="43" spans="1:15" x14ac:dyDescent="0.25">
      <c r="A43" s="63" t="e">
        <f>IF(AND(G43="",H43=""),"SUPPR",SAISIE!$B$3)</f>
        <v>#REF!</v>
      </c>
      <c r="B43" s="63" t="e">
        <f>IF(SAISIE!#REF!="","",IF(LEN(SAISIE!B12)=1,CONCATENATE("0",SAISIE!B12,"/",SAISIE!$B$4,"/",SAISIE!$B$5),CONCATENATE(SAISIE!B12,"/",SAISIE!$B$4,"/",SAISIE!$B$5)))</f>
        <v>#REF!</v>
      </c>
      <c r="C43" s="63" t="e">
        <f>IF(SAISIE!#REF!="","",SAISIE!#REF!)</f>
        <v>#REF!</v>
      </c>
      <c r="D43" s="63" t="e">
        <f>IF(SAISIE!#REF!="","",SAISIE!E12)</f>
        <v>#REF!</v>
      </c>
      <c r="E43" s="63" t="e">
        <f>IF(SAISIE!#REF!="","",SAISIE!F12)</f>
        <v>#REF!</v>
      </c>
      <c r="F43" s="70" t="e">
        <f>IF(SAISIE!#REF!="","",IF(SAISIE!$N12="","",SAISIE!$N12))</f>
        <v>#REF!</v>
      </c>
      <c r="G43" s="63" t="e">
        <f>IF(SAISIE!#REF!="","",SAISIE!#REF!)</f>
        <v>#REF!</v>
      </c>
      <c r="H43" s="63"/>
      <c r="I43" s="63" t="e">
        <f>IF(SAISIE!#REF!="","",SAISIE!$Q12)</f>
        <v>#REF!</v>
      </c>
      <c r="J43" s="71" t="str">
        <f>IF(COUNTBLANK(SAISIE!$J$6:$M$6)=4,"",IF(SAISIE!#REF!="","",IF(SAISIE!J12&gt;0,SAISIE!$J$6,IF(SAISIE!K12&gt;0,SAISIE!$K$6,IF(SAISIE!L12&gt;0,SAISIE!$L$6,IF(SAISIE!M12&gt;0,SAISIE!$M$6,""))))))</f>
        <v/>
      </c>
      <c r="O43" s="59" t="s">
        <v>58</v>
      </c>
    </row>
    <row r="44" spans="1:15" x14ac:dyDescent="0.25">
      <c r="A44" s="63" t="e">
        <f>IF(AND(G44="",H44=""),"SUPPR",SAISIE!$B$3)</f>
        <v>#REF!</v>
      </c>
      <c r="B44" s="63" t="e">
        <f>IF(SAISIE!#REF!="","",IF(LEN(SAISIE!B12)=1,CONCATENATE("0",SAISIE!B12,"/",SAISIE!$B$4,"/",SAISIE!$B$5),CONCATENATE(SAISIE!B12,"/",SAISIE!$B$4,"/",SAISIE!$B$5)))</f>
        <v>#REF!</v>
      </c>
      <c r="C44" s="63" t="e">
        <f>IF(SAISIE!#REF!="","",SAISIE!#REF!)</f>
        <v>#REF!</v>
      </c>
      <c r="D44" s="63" t="e">
        <f>IF(SAISIE!#REF!="","",SAISIE!E12)</f>
        <v>#REF!</v>
      </c>
      <c r="E44" s="63" t="e">
        <f>IF(SAISIE!#REF!="","",SAISIE!F12)</f>
        <v>#REF!</v>
      </c>
      <c r="F44" s="70" t="e">
        <f>IF(SAISIE!#REF!="","",IF(SAISIE!$N12="","",SAISIE!$N12))</f>
        <v>#REF!</v>
      </c>
      <c r="G44" s="63" t="e">
        <f>IF(SAISIE!#REF!="","",SAISIE!#REF!)</f>
        <v>#REF!</v>
      </c>
      <c r="H44" s="63"/>
      <c r="I44" s="63" t="e">
        <f>IF(SAISIE!#REF!="","",SAISIE!$Q12)</f>
        <v>#REF!</v>
      </c>
      <c r="J44" s="71" t="str">
        <f>IF(COUNTBLANK(SAISIE!$J$6:$M$6)=4,"",IF(SAISIE!#REF!="","",IF(SAISIE!J12&gt;0,SAISIE!$J$6,IF(SAISIE!K12&gt;0,SAISIE!$K$6,IF(SAISIE!L12&gt;0,SAISIE!$L$6,IF(SAISIE!M12&gt;0,SAISIE!$M$6,""))))))</f>
        <v/>
      </c>
      <c r="O44" s="59" t="s">
        <v>59</v>
      </c>
    </row>
    <row r="45" spans="1:15" x14ac:dyDescent="0.25">
      <c r="A45" s="63" t="e">
        <f>IF(AND(G45="",H45=""),"SUPPR",SAISIE!$B$3)</f>
        <v>#REF!</v>
      </c>
      <c r="B45" s="63" t="e">
        <f>IF(SAISIE!#REF!="","",IF(LEN(SAISIE!B12)=1,CONCATENATE("0",SAISIE!B12,"/",SAISIE!$B$4,"/",SAISIE!$B$5),CONCATENATE(SAISIE!B12,"/",SAISIE!$B$4,"/",SAISIE!$B$5)))</f>
        <v>#REF!</v>
      </c>
      <c r="C45" s="63" t="e">
        <f>IF(SAISIE!#REF!="","",SAISIE!#REF!)</f>
        <v>#REF!</v>
      </c>
      <c r="D45" s="63" t="e">
        <f>IF(SAISIE!#REF!="","",SAISIE!E12)</f>
        <v>#REF!</v>
      </c>
      <c r="E45" s="63" t="e">
        <f>IF(SAISIE!#REF!="","",SAISIE!F12)</f>
        <v>#REF!</v>
      </c>
      <c r="F45" s="70" t="e">
        <f>IF(SAISIE!#REF!="","",IF(SAISIE!$N12="","",SAISIE!$N12))</f>
        <v>#REF!</v>
      </c>
      <c r="G45" s="63" t="e">
        <f>IF(SAISIE!#REF!="","",SAISIE!#REF!)</f>
        <v>#REF!</v>
      </c>
      <c r="H45" s="63"/>
      <c r="I45" s="63" t="e">
        <f>IF(SAISIE!#REF!="","",SAISIE!$Q12)</f>
        <v>#REF!</v>
      </c>
      <c r="J45" s="71" t="str">
        <f>IF(COUNTBLANK(SAISIE!$J$6:$M$6)=4,"",IF(SAISIE!#REF!="","",IF(SAISIE!J12&gt;0,SAISIE!$J$6,IF(SAISIE!K12&gt;0,SAISIE!$K$6,IF(SAISIE!L12&gt;0,SAISIE!$L$6,IF(SAISIE!M12&gt;0,SAISIE!$M$6,""))))))</f>
        <v/>
      </c>
      <c r="O45" s="59" t="s">
        <v>60</v>
      </c>
    </row>
    <row r="46" spans="1:15" x14ac:dyDescent="0.25">
      <c r="A46" s="63" t="str">
        <f>IF(AND(G46="",H46=""),"SUPPR",SAISIE!$B$3)</f>
        <v>SUPPR</v>
      </c>
      <c r="B46" s="63" t="str">
        <f>IF(SAISIE!J12="","",IF(LEN(SAISIE!B12)=1,CONCATENATE("0",SAISIE!B12,"/",SAISIE!$B$4,"/",SAISIE!$B$5),CONCATENATE(SAISIE!B12,"/",SAISIE!$B$4,"/",SAISIE!$B$5)))</f>
        <v/>
      </c>
      <c r="C46" s="63" t="str">
        <f>IF(SAISIE!J12="","",SAISIE!$J$8)</f>
        <v/>
      </c>
      <c r="D46" s="63" t="str">
        <f>IF(SAISIE!J12="","",SAISIE!E12)</f>
        <v/>
      </c>
      <c r="E46" s="63" t="str">
        <f>IF(SAISIE!J12="","",SAISIE!F12)</f>
        <v/>
      </c>
      <c r="F46" s="70" t="str">
        <f>IF(SAISIE!$J12="","",IF(SAISIE!$N12="","",SAISIE!$N12))</f>
        <v/>
      </c>
      <c r="G46" s="63" t="str">
        <f>IF(SAISIE!J12="","",SAISIE!J12)</f>
        <v/>
      </c>
      <c r="H46" s="63"/>
      <c r="I46" s="72"/>
      <c r="J46" s="71"/>
      <c r="O46" s="73"/>
    </row>
    <row r="47" spans="1:15" x14ac:dyDescent="0.25">
      <c r="A47" s="63" t="str">
        <f>IF(AND(G47="",H47=""),"SUPPR",SAISIE!$B$3)</f>
        <v>SUPPR</v>
      </c>
      <c r="B47" s="63" t="str">
        <f>IF(SAISIE!K12="","",IF(LEN(SAISIE!B12)=1,CONCATENATE("0",SAISIE!B12,"/",SAISIE!$B$4,"/",SAISIE!$B$5),CONCATENATE(SAISIE!B12,"/",SAISIE!$B$4,"/",SAISIE!$B$5)))</f>
        <v/>
      </c>
      <c r="C47" s="63" t="str">
        <f>IF(SAISIE!K12="","",SAISIE!$K$8)</f>
        <v/>
      </c>
      <c r="D47" s="63" t="str">
        <f>IF(SAISIE!K12="","",SAISIE!E12)</f>
        <v/>
      </c>
      <c r="E47" s="63" t="str">
        <f>IF(SAISIE!K12="","",SAISIE!F12)</f>
        <v/>
      </c>
      <c r="F47" s="70" t="str">
        <f>IF(SAISIE!$K12="","",IF(SAISIE!$N12="","",SAISIE!$N12))</f>
        <v/>
      </c>
      <c r="G47" s="63" t="str">
        <f>IF(SAISIE!K12="","",SAISIE!K12)</f>
        <v/>
      </c>
      <c r="H47" s="63"/>
      <c r="I47" s="72"/>
      <c r="J47" s="71"/>
    </row>
    <row r="48" spans="1:15" x14ac:dyDescent="0.25">
      <c r="A48" s="63" t="str">
        <f>IF(AND(G48="",H48=""),"SUPPR",SAISIE!$B$3)</f>
        <v>SUPPR</v>
      </c>
      <c r="B48" s="63" t="str">
        <f>IF(SAISIE!L12="","",IF(LEN(SAISIE!B12)=1,CONCATENATE("0",SAISIE!B12,"/",SAISIE!$B$4,"/",SAISIE!$B$5),CONCATENATE(SAISIE!B12,"/",SAISIE!$B$4,"/",SAISIE!$B$5)))</f>
        <v/>
      </c>
      <c r="C48" s="63" t="str">
        <f>IF(SAISIE!L12="","",SAISIE!$L$8)</f>
        <v/>
      </c>
      <c r="D48" s="63" t="str">
        <f>IF(SAISIE!L12="","",SAISIE!E12)</f>
        <v/>
      </c>
      <c r="E48" s="63" t="str">
        <f>IF(SAISIE!L12="","",SAISIE!F12)</f>
        <v/>
      </c>
      <c r="F48" s="70" t="str">
        <f>IF(SAISIE!$L12="","",IF(SAISIE!$N12="","",SAISIE!$N12))</f>
        <v/>
      </c>
      <c r="G48" s="63" t="str">
        <f>IF(SAISIE!L12="","",SAISIE!L12)</f>
        <v/>
      </c>
      <c r="H48" s="63"/>
      <c r="I48" s="72"/>
      <c r="J48" s="71"/>
    </row>
    <row r="49" spans="1:15" x14ac:dyDescent="0.25">
      <c r="A49" s="63" t="str">
        <f>IF(AND(G49="",H49=""),"SUPPR",SAISIE!$B$3)</f>
        <v>SUPPR</v>
      </c>
      <c r="B49" s="63" t="str">
        <f>IF(SAISIE!M12="","",IF(LEN(SAISIE!B12)=1,CONCATENATE("0",SAISIE!B12,"/",SAISIE!$B$4,"/",SAISIE!$B$5),CONCATENATE(SAISIE!B12,"/",SAISIE!$B$4,"/",SAISIE!$B$5)))</f>
        <v/>
      </c>
      <c r="C49" s="74" t="str">
        <f>IF(SAISIE!M12="","",SAISIE!$M$8)</f>
        <v/>
      </c>
      <c r="D49" s="74" t="str">
        <f>IF(SAISIE!M12="","",SAISIE!E12)</f>
        <v/>
      </c>
      <c r="E49" s="74" t="str">
        <f>IF(SAISIE!M12="","",SAISIE!F12)</f>
        <v/>
      </c>
      <c r="F49" s="75" t="str">
        <f>IF(SAISIE!$M12="","",IF(SAISIE!$N12="","",SAISIE!$N12))</f>
        <v/>
      </c>
      <c r="G49" s="74" t="str">
        <f>IF(SAISIE!M12="","",SAISIE!M12)</f>
        <v/>
      </c>
      <c r="H49" s="76"/>
      <c r="I49" s="77"/>
      <c r="J49" s="78"/>
    </row>
    <row r="50" spans="1:15" x14ac:dyDescent="0.25">
      <c r="A50" s="63" t="str">
        <f>IF(AND(G50="",H50=""),"SUPPR",SAISIE!$B$3)</f>
        <v>SUPPR</v>
      </c>
      <c r="B50" s="64" t="str">
        <f>IF(SAISIE!B13="","",IF(LEN(SAISIE!B13)=1,CONCATENATE("0",SAISIE!B13,"/",SAISIE!$B$4,"/",SAISIE!$B$5),CONCATENATE(SAISIE!B13,"/",SAISIE!$B$4,"/",SAISIE!$B$5)))</f>
        <v/>
      </c>
      <c r="C50" s="64" t="str">
        <f>IF(SAISIE!B13="","",CONCATENATE($M$2,SAISIE!C13))</f>
        <v/>
      </c>
      <c r="D50" s="64" t="str">
        <f>IF(SAISIE!B13="","",SAISIE!E13)</f>
        <v/>
      </c>
      <c r="E50" s="64" t="str">
        <f>IF(SAISIE!B13="","",SAISIE!F13)</f>
        <v/>
      </c>
      <c r="F50" s="65" t="str">
        <f>IF(A50="SUPPR","",IF(SAISIE!N13="","",SAISIE!N13))</f>
        <v/>
      </c>
      <c r="G50" s="64"/>
      <c r="H50" s="64" t="str">
        <f>IF(SAISIE!B13="","",SAISIE!D13)</f>
        <v/>
      </c>
      <c r="I50" s="66"/>
      <c r="J50" s="67" t="str">
        <f>IF(AZ13="","","")</f>
        <v/>
      </c>
      <c r="O50" s="69">
        <f>O34+1</f>
        <v>13</v>
      </c>
    </row>
    <row r="51" spans="1:15" x14ac:dyDescent="0.25">
      <c r="A51" s="63" t="str">
        <f>IF(AND(G51="",H51=""),"SUPPR",SAISIE!$B$3)</f>
        <v>SUPPR</v>
      </c>
      <c r="B51" s="63" t="str">
        <f>IF(SAISIE!P13="","",IF(LEN(SAISIE!B13)=1,CONCATENATE("0",SAISIE!B13,"/",SAISIE!$B$4,"/",SAISIE!$B$5),CONCATENATE(SAISIE!B13,"/",SAISIE!$B$4,"/",SAISIE!$B$5)))</f>
        <v/>
      </c>
      <c r="C51" s="63" t="str">
        <f>IF(SAISIE!P13="","",SAISIE!O13)</f>
        <v/>
      </c>
      <c r="D51" s="63" t="str">
        <f>IF(SAISIE!P13="","",SAISIE!E13)</f>
        <v/>
      </c>
      <c r="E51" s="63" t="str">
        <f>IF(SAISIE!P13="","",SAISIE!F13)</f>
        <v/>
      </c>
      <c r="F51" s="70" t="str">
        <f>IF(SAISIE!$P13="","",IF(SAISIE!$N13="","",SAISIE!$N13))</f>
        <v/>
      </c>
      <c r="G51" s="63" t="str">
        <f>IF(SAISIE!P13="","",SAISIE!P13)</f>
        <v/>
      </c>
      <c r="H51" s="63"/>
      <c r="I51" s="63" t="str">
        <f>IF(SAISIE!$P13="","",SAISIE!$Q13)</f>
        <v/>
      </c>
      <c r="J51" s="71" t="str">
        <f>IF(COUNTBLANK(SAISIE!$J$6:$M$6)=4,"",IF(SAISIE!P13="","",IF(SAISIE!J13&gt;0,SAISIE!$J$6,IF(SAISIE!K13&gt;0,SAISIE!$K$6,IF(SAISIE!L13&gt;0,SAISIE!$L$6,IF(SAISIE!M13&gt;0,SAISIE!$M$6,""))))))</f>
        <v/>
      </c>
      <c r="O51" s="59" t="s">
        <v>50</v>
      </c>
    </row>
    <row r="52" spans="1:15" x14ac:dyDescent="0.25">
      <c r="A52" s="63" t="str">
        <f>IF(AND(G52="",H52=""),"SUPPR",SAISIE!$B$3)</f>
        <v>SUPPR</v>
      </c>
      <c r="B52" s="63" t="str">
        <f>IF(SAISIE!G13="","",IF(LEN(SAISIE!B13)=1,CONCATENATE("0",SAISIE!B13,"/",SAISIE!$B$4,"/",SAISIE!$B$5),CONCATENATE(SAISIE!B13,"/",SAISIE!$B$4,"/",SAISIE!$B$5)))</f>
        <v/>
      </c>
      <c r="C52" s="63" t="str">
        <f>IF(SAISIE!G13="","",SAISIE!$G$8)</f>
        <v/>
      </c>
      <c r="D52" s="63" t="str">
        <f>IF(SAISIE!G13="","",SAISIE!E13)</f>
        <v/>
      </c>
      <c r="E52" s="63" t="str">
        <f>IF(SAISIE!G13="","",SAISIE!F13)</f>
        <v/>
      </c>
      <c r="F52" s="70" t="str">
        <f>IF(SAISIE!$G13="","",IF(SAISIE!$N13="","",SAISIE!$N13))</f>
        <v/>
      </c>
      <c r="G52" s="63" t="str">
        <f>IF(SAISIE!G13="","",SAISIE!G13)</f>
        <v/>
      </c>
      <c r="H52" s="63"/>
      <c r="I52" s="63" t="str">
        <f>IF(SAISIE!$G13="","",SAISIE!$Q13)</f>
        <v/>
      </c>
      <c r="J52" s="71" t="str">
        <f>IF(COUNTBLANK(SAISIE!$J$6:$M$6)=4,"",IF(SAISIE!G13="","",IF(SAISIE!J13&gt;0,SAISIE!$J$6,IF(SAISIE!K13&gt;0,SAISIE!$K$6,IF(SAISIE!L13&gt;0,SAISIE!$L$6,IF(SAISIE!M13&gt;0,SAISIE!$M$6,""))))))</f>
        <v/>
      </c>
      <c r="O52" s="59" t="s">
        <v>51</v>
      </c>
    </row>
    <row r="53" spans="1:15" x14ac:dyDescent="0.25">
      <c r="A53" s="63" t="str">
        <f>IF(AND(G53="",H53=""),"SUPPR",SAISIE!$B$3)</f>
        <v>SUPPR</v>
      </c>
      <c r="B53" s="63" t="str">
        <f>IF(SAISIE!H13="","",IF(LEN(SAISIE!B13)=1,CONCATENATE("0",SAISIE!B13,"/",SAISIE!$B$4,"/",SAISIE!$B$5),CONCATENATE(SAISIE!B13,"/",SAISIE!$B$4,"/",SAISIE!$B$5)))</f>
        <v/>
      </c>
      <c r="C53" s="63" t="str">
        <f>IF(SAISIE!H13="","",SAISIE!$H$8)</f>
        <v/>
      </c>
      <c r="D53" s="63" t="str">
        <f>IF(SAISIE!H13="","",SAISIE!E13)</f>
        <v/>
      </c>
      <c r="E53" s="63" t="str">
        <f>IF(SAISIE!H13="","",SAISIE!F13)</f>
        <v/>
      </c>
      <c r="F53" s="70" t="str">
        <f>IF(SAISIE!$H13="","",IF(SAISIE!$N13="","",SAISIE!$N13))</f>
        <v/>
      </c>
      <c r="G53" s="63" t="str">
        <f>IF(SAISIE!H13="","",SAISIE!H13)</f>
        <v/>
      </c>
      <c r="H53" s="63"/>
      <c r="I53" s="63" t="str">
        <f>IF(SAISIE!$H13="","",SAISIE!$Q13)</f>
        <v/>
      </c>
      <c r="J53" s="71" t="str">
        <f>IF(COUNTBLANK(SAISIE!$J$6:$M$6)=4,"",IF(SAISIE!H13="","",IF(SAISIE!J13&gt;0,SAISIE!$J$6,IF(SAISIE!K13&gt;0,SAISIE!$K$6,IF(SAISIE!L13&gt;0,SAISIE!$L$6,IF(SAISIE!M13&gt;0,SAISIE!$M$6,""))))))</f>
        <v/>
      </c>
      <c r="O53" s="59" t="s">
        <v>52</v>
      </c>
    </row>
    <row r="54" spans="1:15" x14ac:dyDescent="0.25">
      <c r="A54" s="63" t="str">
        <f>IF(AND(G54="",H54=""),"SUPPR",SAISIE!$B$3)</f>
        <v>SUPPR</v>
      </c>
      <c r="B54" s="63" t="str">
        <f>IF(SAISIE!I13="","",IF(LEN(SAISIE!B13)=1,CONCATENATE("0",SAISIE!B13,"/",SAISIE!$B$4,"/",SAISIE!$B$5),CONCATENATE(SAISIE!B13,"/",SAISIE!$B$4,"/",SAISIE!$B$5)))</f>
        <v/>
      </c>
      <c r="C54" s="63" t="str">
        <f>IF(SAISIE!I13="","",SAISIE!$I$8)</f>
        <v/>
      </c>
      <c r="D54" s="63" t="str">
        <f>IF(SAISIE!I13="","",SAISIE!E13)</f>
        <v/>
      </c>
      <c r="E54" s="63" t="str">
        <f>IF(SAISIE!I13="","",SAISIE!F13)</f>
        <v/>
      </c>
      <c r="F54" s="70" t="str">
        <f>IF(SAISIE!$I13="","",IF(SAISIE!$N13="","",SAISIE!$N13))</f>
        <v/>
      </c>
      <c r="G54" s="63" t="str">
        <f>IF(SAISIE!I13="","",SAISIE!I13)</f>
        <v/>
      </c>
      <c r="H54" s="63"/>
      <c r="I54" s="63" t="str">
        <f>IF(SAISIE!$I13="","",SAISIE!$Q13)</f>
        <v/>
      </c>
      <c r="J54" s="71" t="str">
        <f>IF(COUNTBLANK(SAISIE!$J$6:$M$6)=4,"",IF(SAISIE!I13="","",IF(SAISIE!J13&gt;0,SAISIE!$J$6,IF(SAISIE!K13&gt;0,SAISIE!$K$6,IF(SAISIE!L13&gt;0,SAISIE!$L$6,IF(SAISIE!M13&gt;0,SAISIE!$M$6,""))))))</f>
        <v/>
      </c>
      <c r="O54" s="59" t="s">
        <v>53</v>
      </c>
    </row>
    <row r="55" spans="1:15" x14ac:dyDescent="0.25">
      <c r="A55" s="63" t="e">
        <f>IF(AND(G55="",H55=""),"SUPPR",SAISIE!$B$3)</f>
        <v>#REF!</v>
      </c>
      <c r="B55" s="63" t="e">
        <f>IF(SAISIE!#REF!="","",IF(LEN(SAISIE!B13)=1,CONCATENATE("0",SAISIE!B13,"/",SAISIE!$B$4,"/",SAISIE!$B$5),CONCATENATE(SAISIE!B13,"/",SAISIE!$B$4,"/",SAISIE!$B$5)))</f>
        <v>#REF!</v>
      </c>
      <c r="C55" s="63" t="e">
        <f>IF(SAISIE!#REF!="","",SAISIE!#REF!)</f>
        <v>#REF!</v>
      </c>
      <c r="D55" s="63" t="e">
        <f>IF(SAISIE!#REF!="","",SAISIE!E13)</f>
        <v>#REF!</v>
      </c>
      <c r="E55" s="63" t="e">
        <f>IF(SAISIE!#REF!="","",SAISIE!F13)</f>
        <v>#REF!</v>
      </c>
      <c r="F55" s="70" t="e">
        <f>IF(SAISIE!#REF!="","",IF(SAISIE!$N13="","",SAISIE!$N13))</f>
        <v>#REF!</v>
      </c>
      <c r="G55" s="63" t="e">
        <f>IF(SAISIE!#REF!="","",SAISIE!#REF!)</f>
        <v>#REF!</v>
      </c>
      <c r="H55" s="63"/>
      <c r="I55" s="63" t="e">
        <f>IF(SAISIE!#REF!="","",SAISIE!$Q13)</f>
        <v>#REF!</v>
      </c>
      <c r="J55" s="71" t="str">
        <f>IF(COUNTBLANK(SAISIE!$J$6:$M$6)=4,"",IF(SAISIE!#REF!="","",IF(SAISIE!J13&gt;0,SAISIE!$J$6,IF(SAISIE!K13&gt;0,SAISIE!$K$6,IF(SAISIE!L13&gt;0,SAISIE!$L$6,IF(SAISIE!M13&gt;0,SAISIE!$M$6,""))))))</f>
        <v/>
      </c>
      <c r="O55" s="59" t="s">
        <v>54</v>
      </c>
    </row>
    <row r="56" spans="1:15" x14ac:dyDescent="0.25">
      <c r="A56" s="63" t="e">
        <f>IF(AND(G56="",H56=""),"SUPPR",SAISIE!$B$3)</f>
        <v>#REF!</v>
      </c>
      <c r="B56" s="63" t="e">
        <f>IF(SAISIE!#REF!="","",IF(LEN(SAISIE!B13)=1,CONCATENATE("0",SAISIE!B13,"/",SAISIE!$B$4,"/",SAISIE!$B$5),CONCATENATE(SAISIE!B13,"/",SAISIE!$B$4,"/",SAISIE!$B$5)))</f>
        <v>#REF!</v>
      </c>
      <c r="C56" s="63" t="e">
        <f>IF(SAISIE!#REF!="","",SAISIE!#REF!)</f>
        <v>#REF!</v>
      </c>
      <c r="D56" s="63" t="e">
        <f>IF(SAISIE!#REF!="","",SAISIE!E13)</f>
        <v>#REF!</v>
      </c>
      <c r="E56" s="63" t="e">
        <f>IF(SAISIE!#REF!="","",SAISIE!F13)</f>
        <v>#REF!</v>
      </c>
      <c r="F56" s="70" t="e">
        <f>IF(SAISIE!#REF!="","",IF(SAISIE!$N13="","",SAISIE!$N13))</f>
        <v>#REF!</v>
      </c>
      <c r="G56" s="63" t="e">
        <f>IF(SAISIE!#REF!="","",SAISIE!#REF!)</f>
        <v>#REF!</v>
      </c>
      <c r="H56" s="63"/>
      <c r="I56" s="63" t="e">
        <f>IF(SAISIE!#REF!="","",SAISIE!$Q13)</f>
        <v>#REF!</v>
      </c>
      <c r="J56" s="71" t="str">
        <f>IF(COUNTBLANK(SAISIE!$J$6:$M$6)=4,"",IF(SAISIE!#REF!="","",IF(SAISIE!J13&gt;0,SAISIE!$J$6,IF(SAISIE!K13&gt;0,SAISIE!$K$6,IF(SAISIE!L13&gt;0,SAISIE!$L$6,IF(SAISIE!M13&gt;0,SAISIE!$M$6,""))))))</f>
        <v/>
      </c>
      <c r="O56" s="59" t="s">
        <v>55</v>
      </c>
    </row>
    <row r="57" spans="1:15" x14ac:dyDescent="0.25">
      <c r="A57" s="63" t="e">
        <f>IF(AND(G57="",H57=""),"SUPPR",SAISIE!$B$3)</f>
        <v>#REF!</v>
      </c>
      <c r="B57" s="63" t="e">
        <f>IF(SAISIE!#REF!="","",IF(LEN(SAISIE!B13)=1,CONCATENATE("0",SAISIE!B13,"/",SAISIE!$B$4,"/",SAISIE!$B$5),CONCATENATE(SAISIE!B13,"/",SAISIE!$B$4,"/",SAISIE!$B$5)))</f>
        <v>#REF!</v>
      </c>
      <c r="C57" s="63" t="e">
        <f>IF(SAISIE!#REF!="","",SAISIE!#REF!)</f>
        <v>#REF!</v>
      </c>
      <c r="D57" s="63" t="e">
        <f>IF(SAISIE!#REF!="","",SAISIE!E13)</f>
        <v>#REF!</v>
      </c>
      <c r="E57" s="63" t="e">
        <f>IF(SAISIE!#REF!="","",SAISIE!F13)</f>
        <v>#REF!</v>
      </c>
      <c r="F57" s="70" t="e">
        <f>IF(SAISIE!#REF!="","",IF(SAISIE!$N13="","",SAISIE!$N13))</f>
        <v>#REF!</v>
      </c>
      <c r="G57" s="63" t="e">
        <f>IF(SAISIE!#REF!="","",SAISIE!#REF!)</f>
        <v>#REF!</v>
      </c>
      <c r="H57" s="63"/>
      <c r="I57" s="63" t="e">
        <f>IF(SAISIE!#REF!="","",SAISIE!$Q13)</f>
        <v>#REF!</v>
      </c>
      <c r="J57" s="71" t="str">
        <f>IF(COUNTBLANK(SAISIE!$J$6:$M$6)=4,"",IF(SAISIE!#REF!="","",IF(SAISIE!J13&gt;0,SAISIE!$J$6,IF(SAISIE!K13&gt;0,SAISIE!$K$6,IF(SAISIE!L13&gt;0,SAISIE!$L$6,IF(SAISIE!M13&gt;0,SAISIE!$M$6,""))))))</f>
        <v/>
      </c>
      <c r="O57" s="59" t="s">
        <v>56</v>
      </c>
    </row>
    <row r="58" spans="1:15" x14ac:dyDescent="0.25">
      <c r="A58" s="63" t="e">
        <f>IF(AND(G58="",H58=""),"SUPPR",SAISIE!$B$3)</f>
        <v>#REF!</v>
      </c>
      <c r="B58" s="63" t="e">
        <f>IF(SAISIE!#REF!="","",IF(LEN(SAISIE!B13)=1,CONCATENATE("0",SAISIE!B13,"/",SAISIE!$B$4,"/",SAISIE!$B$5),CONCATENATE(SAISIE!B13,"/",SAISIE!$B$4,"/",SAISIE!$B$5)))</f>
        <v>#REF!</v>
      </c>
      <c r="C58" s="63" t="e">
        <f>IF(SAISIE!#REF!="","",SAISIE!#REF!)</f>
        <v>#REF!</v>
      </c>
      <c r="D58" s="63" t="e">
        <f>IF(SAISIE!#REF!="","",SAISIE!E13)</f>
        <v>#REF!</v>
      </c>
      <c r="E58" s="63" t="e">
        <f>IF(SAISIE!#REF!="","",SAISIE!F13)</f>
        <v>#REF!</v>
      </c>
      <c r="F58" s="70" t="e">
        <f>IF(SAISIE!#REF!="","",IF(SAISIE!$N13="","",SAISIE!$N13))</f>
        <v>#REF!</v>
      </c>
      <c r="G58" s="63" t="e">
        <f>IF(SAISIE!#REF!="","",SAISIE!#REF!)</f>
        <v>#REF!</v>
      </c>
      <c r="H58" s="63"/>
      <c r="I58" s="63" t="e">
        <f>IF(SAISIE!#REF!="","",SAISIE!$Q13)</f>
        <v>#REF!</v>
      </c>
      <c r="J58" s="71" t="str">
        <f>IF(COUNTBLANK(SAISIE!$J$6:$M$6)=4,"",IF(SAISIE!#REF!="","",IF(SAISIE!J13&gt;0,SAISIE!$J$6,IF(SAISIE!K13&gt;0,SAISIE!$K$6,IF(SAISIE!L13&gt;0,SAISIE!$L$6,IF(SAISIE!M13&gt;0,SAISIE!$M$6,""))))))</f>
        <v/>
      </c>
      <c r="O58" s="59" t="s">
        <v>57</v>
      </c>
    </row>
    <row r="59" spans="1:15" x14ac:dyDescent="0.25">
      <c r="A59" s="63" t="e">
        <f>IF(AND(G59="",H59=""),"SUPPR",SAISIE!$B$3)</f>
        <v>#REF!</v>
      </c>
      <c r="B59" s="63" t="e">
        <f>IF(SAISIE!#REF!="","",IF(LEN(SAISIE!B13)=1,CONCATENATE("0",SAISIE!B13,"/",SAISIE!$B$4,"/",SAISIE!$B$5),CONCATENATE(SAISIE!B13,"/",SAISIE!$B$4,"/",SAISIE!$B$5)))</f>
        <v>#REF!</v>
      </c>
      <c r="C59" s="63" t="e">
        <f>IF(SAISIE!#REF!="","",SAISIE!#REF!)</f>
        <v>#REF!</v>
      </c>
      <c r="D59" s="63" t="e">
        <f>IF(SAISIE!#REF!="","",SAISIE!E13)</f>
        <v>#REF!</v>
      </c>
      <c r="E59" s="63" t="e">
        <f>IF(SAISIE!#REF!="","",SAISIE!F13)</f>
        <v>#REF!</v>
      </c>
      <c r="F59" s="70" t="e">
        <f>IF(SAISIE!#REF!="","",IF(SAISIE!$N13="","",SAISIE!$N13))</f>
        <v>#REF!</v>
      </c>
      <c r="G59" s="63" t="e">
        <f>IF(SAISIE!#REF!="","",SAISIE!#REF!)</f>
        <v>#REF!</v>
      </c>
      <c r="H59" s="63"/>
      <c r="I59" s="63" t="e">
        <f>IF(SAISIE!#REF!="","",SAISIE!$Q13)</f>
        <v>#REF!</v>
      </c>
      <c r="J59" s="71" t="str">
        <f>IF(COUNTBLANK(SAISIE!$J$6:$M$6)=4,"",IF(SAISIE!#REF!="","",IF(SAISIE!J13&gt;0,SAISIE!$J$6,IF(SAISIE!K13&gt;0,SAISIE!$K$6,IF(SAISIE!L13&gt;0,SAISIE!$L$6,IF(SAISIE!M13&gt;0,SAISIE!$M$6,""))))))</f>
        <v/>
      </c>
      <c r="O59" s="59" t="s">
        <v>58</v>
      </c>
    </row>
    <row r="60" spans="1:15" x14ac:dyDescent="0.25">
      <c r="A60" s="63" t="e">
        <f>IF(AND(G60="",H60=""),"SUPPR",SAISIE!$B$3)</f>
        <v>#REF!</v>
      </c>
      <c r="B60" s="63" t="e">
        <f>IF(SAISIE!#REF!="","",IF(LEN(SAISIE!B13)=1,CONCATENATE("0",SAISIE!B13,"/",SAISIE!$B$4,"/",SAISIE!$B$5),CONCATENATE(SAISIE!B13,"/",SAISIE!$B$4,"/",SAISIE!$B$5)))</f>
        <v>#REF!</v>
      </c>
      <c r="C60" s="63" t="e">
        <f>IF(SAISIE!#REF!="","",SAISIE!#REF!)</f>
        <v>#REF!</v>
      </c>
      <c r="D60" s="63" t="e">
        <f>IF(SAISIE!#REF!="","",SAISIE!E13)</f>
        <v>#REF!</v>
      </c>
      <c r="E60" s="63" t="e">
        <f>IF(SAISIE!#REF!="","",SAISIE!F13)</f>
        <v>#REF!</v>
      </c>
      <c r="F60" s="70" t="e">
        <f>IF(SAISIE!#REF!="","",IF(SAISIE!$N13="","",SAISIE!$N13))</f>
        <v>#REF!</v>
      </c>
      <c r="G60" s="63" t="e">
        <f>IF(SAISIE!#REF!="","",SAISIE!#REF!)</f>
        <v>#REF!</v>
      </c>
      <c r="H60" s="63"/>
      <c r="I60" s="63" t="e">
        <f>IF(SAISIE!#REF!="","",SAISIE!$Q13)</f>
        <v>#REF!</v>
      </c>
      <c r="J60" s="71" t="str">
        <f>IF(COUNTBLANK(SAISIE!$J$6:$M$6)=4,"",IF(SAISIE!#REF!="","",IF(SAISIE!J13&gt;0,SAISIE!$J$6,IF(SAISIE!K13&gt;0,SAISIE!$K$6,IF(SAISIE!L13&gt;0,SAISIE!$L$6,IF(SAISIE!M13&gt;0,SAISIE!$M$6,""))))))</f>
        <v/>
      </c>
      <c r="O60" s="59" t="s">
        <v>59</v>
      </c>
    </row>
    <row r="61" spans="1:15" x14ac:dyDescent="0.25">
      <c r="A61" s="63" t="e">
        <f>IF(AND(G61="",H61=""),"SUPPR",SAISIE!$B$3)</f>
        <v>#REF!</v>
      </c>
      <c r="B61" s="63" t="e">
        <f>IF(SAISIE!#REF!="","",IF(LEN(SAISIE!B13)=1,CONCATENATE("0",SAISIE!B13,"/",SAISIE!$B$4,"/",SAISIE!$B$5),CONCATENATE(SAISIE!B13,"/",SAISIE!$B$4,"/",SAISIE!$B$5)))</f>
        <v>#REF!</v>
      </c>
      <c r="C61" s="63" t="e">
        <f>IF(SAISIE!#REF!="","",SAISIE!#REF!)</f>
        <v>#REF!</v>
      </c>
      <c r="D61" s="63" t="e">
        <f>IF(SAISIE!#REF!="","",SAISIE!E13)</f>
        <v>#REF!</v>
      </c>
      <c r="E61" s="63" t="e">
        <f>IF(SAISIE!#REF!="","",SAISIE!F13)</f>
        <v>#REF!</v>
      </c>
      <c r="F61" s="70" t="e">
        <f>IF(SAISIE!#REF!="","",IF(SAISIE!$N13="","",SAISIE!$N13))</f>
        <v>#REF!</v>
      </c>
      <c r="G61" s="63" t="e">
        <f>IF(SAISIE!#REF!="","",SAISIE!#REF!)</f>
        <v>#REF!</v>
      </c>
      <c r="H61" s="63"/>
      <c r="I61" s="63" t="e">
        <f>IF(SAISIE!#REF!="","",SAISIE!$Q13)</f>
        <v>#REF!</v>
      </c>
      <c r="J61" s="71" t="str">
        <f>IF(COUNTBLANK(SAISIE!$J$6:$M$6)=4,"",IF(SAISIE!#REF!="","",IF(SAISIE!J13&gt;0,SAISIE!$J$6,IF(SAISIE!K13&gt;0,SAISIE!$K$6,IF(SAISIE!L13&gt;0,SAISIE!$L$6,IF(SAISIE!M13&gt;0,SAISIE!$M$6,""))))))</f>
        <v/>
      </c>
      <c r="O61" s="59" t="s">
        <v>60</v>
      </c>
    </row>
    <row r="62" spans="1:15" x14ac:dyDescent="0.25">
      <c r="A62" s="63" t="str">
        <f>IF(AND(G62="",H62=""),"SUPPR",SAISIE!$B$3)</f>
        <v>SUPPR</v>
      </c>
      <c r="B62" s="63" t="str">
        <f>IF(SAISIE!J13="","",IF(LEN(SAISIE!B13)=1,CONCATENATE("0",SAISIE!B13,"/",SAISIE!$B$4,"/",SAISIE!$B$5),CONCATENATE(SAISIE!B13,"/",SAISIE!$B$4,"/",SAISIE!$B$5)))</f>
        <v/>
      </c>
      <c r="C62" s="63" t="str">
        <f>IF(SAISIE!J13="","",SAISIE!$J$8)</f>
        <v/>
      </c>
      <c r="D62" s="63" t="str">
        <f>IF(SAISIE!J13="","",SAISIE!E13)</f>
        <v/>
      </c>
      <c r="E62" s="63" t="str">
        <f>IF(SAISIE!J13="","",SAISIE!F13)</f>
        <v/>
      </c>
      <c r="F62" s="70" t="str">
        <f>IF(SAISIE!$J13="","",IF(SAISIE!$N13="","",SAISIE!$N13))</f>
        <v/>
      </c>
      <c r="G62" s="63" t="str">
        <f>IF(SAISIE!J13="","",SAISIE!J13)</f>
        <v/>
      </c>
      <c r="H62" s="63"/>
      <c r="I62" s="72"/>
      <c r="J62" s="71"/>
      <c r="O62" s="73"/>
    </row>
    <row r="63" spans="1:15" x14ac:dyDescent="0.25">
      <c r="A63" s="63" t="str">
        <f>IF(AND(G63="",H63=""),"SUPPR",SAISIE!$B$3)</f>
        <v>SUPPR</v>
      </c>
      <c r="B63" s="63" t="str">
        <f>IF(SAISIE!K13="","",IF(LEN(SAISIE!B13)=1,CONCATENATE("0",SAISIE!B13,"/",SAISIE!$B$4,"/",SAISIE!$B$5),CONCATENATE(SAISIE!B13,"/",SAISIE!$B$4,"/",SAISIE!$B$5)))</f>
        <v/>
      </c>
      <c r="C63" s="63" t="str">
        <f>IF(SAISIE!K13="","",SAISIE!$K$8)</f>
        <v/>
      </c>
      <c r="D63" s="63" t="str">
        <f>IF(SAISIE!K13="","",SAISIE!E13)</f>
        <v/>
      </c>
      <c r="E63" s="63" t="str">
        <f>IF(SAISIE!K13="","",SAISIE!F13)</f>
        <v/>
      </c>
      <c r="F63" s="70" t="str">
        <f>IF(SAISIE!$K13="","",IF(SAISIE!$N13="","",SAISIE!$N13))</f>
        <v/>
      </c>
      <c r="G63" s="63" t="str">
        <f>IF(SAISIE!K13="","",SAISIE!K13)</f>
        <v/>
      </c>
      <c r="H63" s="63"/>
      <c r="I63" s="72"/>
      <c r="J63" s="71"/>
    </row>
    <row r="64" spans="1:15" x14ac:dyDescent="0.25">
      <c r="A64" s="63" t="str">
        <f>IF(AND(G64="",H64=""),"SUPPR",SAISIE!$B$3)</f>
        <v>SUPPR</v>
      </c>
      <c r="B64" s="63" t="str">
        <f>IF(SAISIE!L13="","",IF(LEN(SAISIE!B13)=1,CONCATENATE("0",SAISIE!B13,"/",SAISIE!$B$4,"/",SAISIE!$B$5),CONCATENATE(SAISIE!B13,"/",SAISIE!$B$4,"/",SAISIE!$B$5)))</f>
        <v/>
      </c>
      <c r="C64" s="63" t="str">
        <f>IF(SAISIE!L13="","",SAISIE!$L$8)</f>
        <v/>
      </c>
      <c r="D64" s="63" t="str">
        <f>IF(SAISIE!L13="","",SAISIE!E13)</f>
        <v/>
      </c>
      <c r="E64" s="63" t="str">
        <f>IF(SAISIE!L13="","",SAISIE!F13)</f>
        <v/>
      </c>
      <c r="F64" s="70" t="str">
        <f>IF(SAISIE!$L13="","",IF(SAISIE!$N13="","",SAISIE!$N13))</f>
        <v/>
      </c>
      <c r="G64" s="63" t="str">
        <f>IF(SAISIE!L13="","",SAISIE!L13)</f>
        <v/>
      </c>
      <c r="H64" s="63"/>
      <c r="I64" s="72"/>
      <c r="J64" s="71"/>
    </row>
    <row r="65" spans="1:15" x14ac:dyDescent="0.25">
      <c r="A65" s="63" t="str">
        <f>IF(AND(G65="",H65=""),"SUPPR",SAISIE!$B$3)</f>
        <v>SUPPR</v>
      </c>
      <c r="B65" s="63" t="str">
        <f>IF(SAISIE!M13="","",IF(LEN(SAISIE!B13)=1,CONCATENATE("0",SAISIE!B13,"/",SAISIE!$B$4,"/",SAISIE!$B$5),CONCATENATE(SAISIE!B13,"/",SAISIE!$B$4,"/",SAISIE!$B$5)))</f>
        <v/>
      </c>
      <c r="C65" s="74" t="str">
        <f>IF(SAISIE!M13="","",SAISIE!$M$8)</f>
        <v/>
      </c>
      <c r="D65" s="74" t="str">
        <f>IF(SAISIE!M13="","",SAISIE!E13)</f>
        <v/>
      </c>
      <c r="E65" s="74" t="str">
        <f>IF(SAISIE!M13="","",SAISIE!F13)</f>
        <v/>
      </c>
      <c r="F65" s="75" t="str">
        <f>IF(SAISIE!$M13="","",IF(SAISIE!$N13="","",SAISIE!$N13))</f>
        <v/>
      </c>
      <c r="G65" s="74" t="str">
        <f>IF(SAISIE!M13="","",SAISIE!M13)</f>
        <v/>
      </c>
      <c r="H65" s="76"/>
      <c r="I65" s="77"/>
      <c r="J65" s="78"/>
    </row>
    <row r="66" spans="1:15" x14ac:dyDescent="0.25">
      <c r="A66" s="63" t="str">
        <f>IF(AND(G66="",H66=""),"SUPPR",SAISIE!$B$3)</f>
        <v>SUPPR</v>
      </c>
      <c r="B66" s="64" t="str">
        <f>IF(SAISIE!B14="","",IF(LEN(SAISIE!B14)=1,CONCATENATE("0",SAISIE!B14,"/",SAISIE!$B$4,"/",SAISIE!$B$5),CONCATENATE(SAISIE!B14,"/",SAISIE!$B$4,"/",SAISIE!$B$5)))</f>
        <v/>
      </c>
      <c r="C66" s="64" t="str">
        <f>IF(SAISIE!B14="","",CONCATENATE($M$2,SAISIE!C14))</f>
        <v/>
      </c>
      <c r="D66" s="64" t="str">
        <f>IF(SAISIE!B14="","",SAISIE!E14)</f>
        <v/>
      </c>
      <c r="E66" s="64" t="str">
        <f>IF(SAISIE!B14="","",SAISIE!F14)</f>
        <v/>
      </c>
      <c r="F66" s="65" t="str">
        <f>IF(A66="SUPPR","",IF(SAISIE!$N14="","",SAISIE!$N14))</f>
        <v/>
      </c>
      <c r="G66" s="64"/>
      <c r="H66" s="64" t="str">
        <f>IF(SAISIE!B14="","",SAISIE!D14)</f>
        <v/>
      </c>
      <c r="I66" s="66"/>
      <c r="J66" s="67" t="str">
        <f>IF(AZ14="","","")</f>
        <v/>
      </c>
      <c r="O66" s="69">
        <f>O50+1</f>
        <v>14</v>
      </c>
    </row>
    <row r="67" spans="1:15" x14ac:dyDescent="0.25">
      <c r="A67" s="63" t="str">
        <f>IF(AND(G67="",H67=""),"SUPPR",SAISIE!$B$3)</f>
        <v>SUPPR</v>
      </c>
      <c r="B67" s="63" t="str">
        <f>IF(SAISIE!P14="","",IF(LEN(SAISIE!B14)=1,CONCATENATE("0",SAISIE!B14,"/",SAISIE!$B$4,"/",SAISIE!$B$5),CONCATENATE(SAISIE!B14,"/",SAISIE!$B$4,"/",SAISIE!$B$5)))</f>
        <v/>
      </c>
      <c r="C67" s="63" t="str">
        <f>IF(SAISIE!P14="","",SAISIE!O14)</f>
        <v/>
      </c>
      <c r="D67" s="63" t="str">
        <f>IF(SAISIE!P14="","",SAISIE!E14)</f>
        <v/>
      </c>
      <c r="E67" s="63" t="str">
        <f>IF(SAISIE!P14="","",SAISIE!F14)</f>
        <v/>
      </c>
      <c r="F67" s="70" t="str">
        <f>IF(SAISIE!$P14="","",IF(SAISIE!$N14="","",SAISIE!$N14))</f>
        <v/>
      </c>
      <c r="G67" s="63" t="str">
        <f>IF(SAISIE!P14="","",SAISIE!P14)</f>
        <v/>
      </c>
      <c r="H67" s="63"/>
      <c r="I67" s="63" t="str">
        <f>IF(SAISIE!$P14="","",SAISIE!$Q14)</f>
        <v/>
      </c>
      <c r="J67" s="71" t="str">
        <f>IF(COUNTBLANK(SAISIE!$J$6:$M$6)=4,"",IF(SAISIE!P14="","",IF(SAISIE!J14&gt;0,SAISIE!$J$6,IF(SAISIE!K14&gt;0,SAISIE!$K$6,IF(SAISIE!L14&gt;0,SAISIE!$L$6,IF(SAISIE!M14&gt;0,SAISIE!$M$6,""))))))</f>
        <v/>
      </c>
      <c r="O67" s="59" t="s">
        <v>50</v>
      </c>
    </row>
    <row r="68" spans="1:15" x14ac:dyDescent="0.25">
      <c r="A68" s="63" t="str">
        <f>IF(AND(G68="",H68=""),"SUPPR",SAISIE!$B$3)</f>
        <v>SUPPR</v>
      </c>
      <c r="B68" s="63" t="str">
        <f>IF(SAISIE!G14="","",IF(LEN(SAISIE!B14)=1,CONCATENATE("0",SAISIE!B14,"/",SAISIE!$B$4,"/",SAISIE!$B$5),CONCATENATE(SAISIE!B14,"/",SAISIE!$B$4,"/",SAISIE!$B$5)))</f>
        <v/>
      </c>
      <c r="C68" s="63" t="str">
        <f>IF(SAISIE!G14="","",SAISIE!$G$8)</f>
        <v/>
      </c>
      <c r="D68" s="63" t="str">
        <f>IF(SAISIE!G14="","",SAISIE!E14)</f>
        <v/>
      </c>
      <c r="E68" s="63" t="str">
        <f>IF(SAISIE!G14="","",SAISIE!F14)</f>
        <v/>
      </c>
      <c r="F68" s="70" t="str">
        <f>IF(SAISIE!$G14="","",IF(SAISIE!$N14="","",SAISIE!$N14))</f>
        <v/>
      </c>
      <c r="G68" s="63" t="str">
        <f>IF(SAISIE!G14="","",SAISIE!G14)</f>
        <v/>
      </c>
      <c r="H68" s="63"/>
      <c r="I68" s="63" t="str">
        <f>IF(SAISIE!$G14="","",SAISIE!$Q14)</f>
        <v/>
      </c>
      <c r="J68" s="71" t="str">
        <f>IF(COUNTBLANK(SAISIE!$J$6:$M$6)=4,"",IF(SAISIE!G14="","",IF(SAISIE!J14&gt;0,SAISIE!$J$6,IF(SAISIE!K14&gt;0,SAISIE!$K$6,IF(SAISIE!L14&gt;0,SAISIE!$L$6,IF(SAISIE!M14&gt;0,SAISIE!$M$6,""))))))</f>
        <v/>
      </c>
      <c r="O68" s="59" t="s">
        <v>51</v>
      </c>
    </row>
    <row r="69" spans="1:15" x14ac:dyDescent="0.25">
      <c r="A69" s="63" t="str">
        <f>IF(AND(G69="",H69=""),"SUPPR",SAISIE!$B$3)</f>
        <v>SUPPR</v>
      </c>
      <c r="B69" s="63" t="str">
        <f>IF(SAISIE!H14="","",IF(LEN(SAISIE!B14)=1,CONCATENATE("0",SAISIE!B14,"/",SAISIE!$B$4,"/",SAISIE!$B$5),CONCATENATE(SAISIE!B14,"/",SAISIE!$B$4,"/",SAISIE!$B$5)))</f>
        <v/>
      </c>
      <c r="C69" s="63" t="str">
        <f>IF(SAISIE!H14="","",SAISIE!$H$8)</f>
        <v/>
      </c>
      <c r="D69" s="63" t="str">
        <f>IF(SAISIE!H14="","",SAISIE!E14)</f>
        <v/>
      </c>
      <c r="E69" s="63" t="str">
        <f>IF(SAISIE!H14="","",SAISIE!F14)</f>
        <v/>
      </c>
      <c r="F69" s="70" t="str">
        <f>IF(SAISIE!$H14="","",IF(SAISIE!$N14="","",SAISIE!$N14))</f>
        <v/>
      </c>
      <c r="G69" s="63" t="str">
        <f>IF(SAISIE!H14="","",SAISIE!H14)</f>
        <v/>
      </c>
      <c r="H69" s="63"/>
      <c r="I69" s="63" t="str">
        <f>IF(SAISIE!$H14="","",SAISIE!$Q14)</f>
        <v/>
      </c>
      <c r="J69" s="71" t="str">
        <f>IF(COUNTBLANK(SAISIE!$J$6:$M$6)=4,"",IF(SAISIE!H14="","",IF(SAISIE!J14&gt;0,SAISIE!$J$6,IF(SAISIE!K14&gt;0,SAISIE!$K$6,IF(SAISIE!L14&gt;0,SAISIE!$L$6,IF(SAISIE!M14&gt;0,SAISIE!$M$6,""))))))</f>
        <v/>
      </c>
      <c r="O69" s="59" t="s">
        <v>52</v>
      </c>
    </row>
    <row r="70" spans="1:15" x14ac:dyDescent="0.25">
      <c r="A70" s="63" t="str">
        <f>IF(AND(G70="",H70=""),"SUPPR",SAISIE!$B$3)</f>
        <v>SUPPR</v>
      </c>
      <c r="B70" s="63" t="str">
        <f>IF(SAISIE!I14="","",IF(LEN(SAISIE!B14)=1,CONCATENATE("0",SAISIE!B14,"/",SAISIE!$B$4,"/",SAISIE!$B$5),CONCATENATE(SAISIE!B14,"/",SAISIE!$B$4,"/",SAISIE!$B$5)))</f>
        <v/>
      </c>
      <c r="C70" s="63" t="str">
        <f>IF(SAISIE!I14="","",SAISIE!$I$8)</f>
        <v/>
      </c>
      <c r="D70" s="63" t="str">
        <f>IF(SAISIE!I14="","",SAISIE!E14)</f>
        <v/>
      </c>
      <c r="E70" s="63" t="str">
        <f>IF(SAISIE!I14="","",SAISIE!F14)</f>
        <v/>
      </c>
      <c r="F70" s="70" t="str">
        <f>IF(SAISIE!$I14="","",IF(SAISIE!$N14="","",SAISIE!$N14))</f>
        <v/>
      </c>
      <c r="G70" s="63" t="str">
        <f>IF(SAISIE!I14="","",SAISIE!I14)</f>
        <v/>
      </c>
      <c r="H70" s="63"/>
      <c r="I70" s="63" t="str">
        <f>IF(SAISIE!$I14="","",SAISIE!$Q14)</f>
        <v/>
      </c>
      <c r="J70" s="71" t="str">
        <f>IF(COUNTBLANK(SAISIE!$J$6:$M$6)=4,"",IF(SAISIE!I14="","",IF(SAISIE!J14&gt;0,SAISIE!$J$6,IF(SAISIE!K14&gt;0,SAISIE!$K$6,IF(SAISIE!L14&gt;0,SAISIE!$L$6,IF(SAISIE!M14&gt;0,SAISIE!$M$6,""))))))</f>
        <v/>
      </c>
      <c r="O70" s="59" t="s">
        <v>53</v>
      </c>
    </row>
    <row r="71" spans="1:15" x14ac:dyDescent="0.25">
      <c r="A71" s="63" t="e">
        <f>IF(AND(G71="",H71=""),"SUPPR",SAISIE!$B$3)</f>
        <v>#REF!</v>
      </c>
      <c r="B71" s="63" t="e">
        <f>IF(SAISIE!#REF!="","",IF(LEN(SAISIE!B14)=1,CONCATENATE("0",SAISIE!B14,"/",SAISIE!$B$4,"/",SAISIE!$B$5),CONCATENATE(SAISIE!B14,"/",SAISIE!$B$4,"/",SAISIE!$B$5)))</f>
        <v>#REF!</v>
      </c>
      <c r="C71" s="63" t="e">
        <f>IF(SAISIE!#REF!="","",SAISIE!#REF!)</f>
        <v>#REF!</v>
      </c>
      <c r="D71" s="63" t="e">
        <f>IF(SAISIE!#REF!="","",SAISIE!E14)</f>
        <v>#REF!</v>
      </c>
      <c r="E71" s="63" t="e">
        <f>IF(SAISIE!#REF!="","",SAISIE!F14)</f>
        <v>#REF!</v>
      </c>
      <c r="F71" s="70" t="e">
        <f>IF(SAISIE!#REF!="","",IF(SAISIE!$N14="","",SAISIE!$N14))</f>
        <v>#REF!</v>
      </c>
      <c r="G71" s="63" t="e">
        <f>IF(SAISIE!#REF!="","",SAISIE!#REF!)</f>
        <v>#REF!</v>
      </c>
      <c r="H71" s="63"/>
      <c r="I71" s="63" t="e">
        <f>IF(SAISIE!#REF!="","",SAISIE!$Q14)</f>
        <v>#REF!</v>
      </c>
      <c r="J71" s="71" t="str">
        <f>IF(COUNTBLANK(SAISIE!$J$6:$M$6)=4,"",IF(SAISIE!#REF!="","",IF(SAISIE!J14&gt;0,SAISIE!$J$6,IF(SAISIE!K14&gt;0,SAISIE!$K$6,IF(SAISIE!L14&gt;0,SAISIE!$L$6,IF(SAISIE!M14&gt;0,SAISIE!$M$6,""))))))</f>
        <v/>
      </c>
      <c r="O71" s="59" t="s">
        <v>54</v>
      </c>
    </row>
    <row r="72" spans="1:15" x14ac:dyDescent="0.25">
      <c r="A72" s="63" t="e">
        <f>IF(AND(G72="",H72=""),"SUPPR",SAISIE!$B$3)</f>
        <v>#REF!</v>
      </c>
      <c r="B72" s="63" t="e">
        <f>IF(SAISIE!#REF!="","",IF(LEN(SAISIE!B14)=1,CONCATENATE("0",SAISIE!B14,"/",SAISIE!$B$4,"/",SAISIE!$B$5),CONCATENATE(SAISIE!B14,"/",SAISIE!$B$4,"/",SAISIE!$B$5)))</f>
        <v>#REF!</v>
      </c>
      <c r="C72" s="63" t="e">
        <f>IF(SAISIE!#REF!="","",SAISIE!#REF!)</f>
        <v>#REF!</v>
      </c>
      <c r="D72" s="63" t="e">
        <f>IF(SAISIE!#REF!="","",SAISIE!E14)</f>
        <v>#REF!</v>
      </c>
      <c r="E72" s="63" t="e">
        <f>IF(SAISIE!#REF!="","",SAISIE!F14)</f>
        <v>#REF!</v>
      </c>
      <c r="F72" s="70" t="e">
        <f>IF(SAISIE!#REF!="","",IF(SAISIE!$N14="","",SAISIE!$N14))</f>
        <v>#REF!</v>
      </c>
      <c r="G72" s="63" t="e">
        <f>IF(SAISIE!#REF!="","",SAISIE!#REF!)</f>
        <v>#REF!</v>
      </c>
      <c r="H72" s="63"/>
      <c r="I72" s="63" t="e">
        <f>IF(SAISIE!#REF!="","",SAISIE!$Q14)</f>
        <v>#REF!</v>
      </c>
      <c r="J72" s="71" t="str">
        <f>IF(COUNTBLANK(SAISIE!$J$6:$M$6)=4,"",IF(SAISIE!#REF!="","",IF(SAISIE!J14&gt;0,SAISIE!$J$6,IF(SAISIE!K14&gt;0,SAISIE!$K$6,IF(SAISIE!L14&gt;0,SAISIE!$L$6,IF(SAISIE!M14&gt;0,SAISIE!$M$6,""))))))</f>
        <v/>
      </c>
      <c r="O72" s="59" t="s">
        <v>55</v>
      </c>
    </row>
    <row r="73" spans="1:15" x14ac:dyDescent="0.25">
      <c r="A73" s="63" t="e">
        <f>IF(AND(G73="",H73=""),"SUPPR",SAISIE!$B$3)</f>
        <v>#REF!</v>
      </c>
      <c r="B73" s="63" t="e">
        <f>IF(SAISIE!#REF!="","",IF(LEN(SAISIE!B14)=1,CONCATENATE("0",SAISIE!B14,"/",SAISIE!$B$4,"/",SAISIE!$B$5),CONCATENATE(SAISIE!B14,"/",SAISIE!$B$4,"/",SAISIE!$B$5)))</f>
        <v>#REF!</v>
      </c>
      <c r="C73" s="63" t="e">
        <f>IF(SAISIE!#REF!="","",SAISIE!#REF!)</f>
        <v>#REF!</v>
      </c>
      <c r="D73" s="63" t="e">
        <f>IF(SAISIE!#REF!="","",SAISIE!E14)</f>
        <v>#REF!</v>
      </c>
      <c r="E73" s="63" t="e">
        <f>IF(SAISIE!#REF!="","",SAISIE!F14)</f>
        <v>#REF!</v>
      </c>
      <c r="F73" s="70" t="e">
        <f>IF(SAISIE!#REF!="","",IF(SAISIE!$N14="","",SAISIE!$N14))</f>
        <v>#REF!</v>
      </c>
      <c r="G73" s="63" t="e">
        <f>IF(SAISIE!#REF!="","",SAISIE!#REF!)</f>
        <v>#REF!</v>
      </c>
      <c r="H73" s="63"/>
      <c r="I73" s="63" t="e">
        <f>IF(SAISIE!#REF!="","",SAISIE!$Q14)</f>
        <v>#REF!</v>
      </c>
      <c r="J73" s="71" t="str">
        <f>IF(COUNTBLANK(SAISIE!$J$6:$M$6)=4,"",IF(SAISIE!#REF!="","",IF(SAISIE!J14&gt;0,SAISIE!$J$6,IF(SAISIE!K14&gt;0,SAISIE!$K$6,IF(SAISIE!L14&gt;0,SAISIE!$L$6,IF(SAISIE!M14&gt;0,SAISIE!$M$6,""))))))</f>
        <v/>
      </c>
      <c r="O73" s="59" t="s">
        <v>56</v>
      </c>
    </row>
    <row r="74" spans="1:15" x14ac:dyDescent="0.25">
      <c r="A74" s="63" t="e">
        <f>IF(AND(G74="",H74=""),"SUPPR",SAISIE!$B$3)</f>
        <v>#REF!</v>
      </c>
      <c r="B74" s="63" t="e">
        <f>IF(SAISIE!#REF!="","",IF(LEN(SAISIE!B14)=1,CONCATENATE("0",SAISIE!B14,"/",SAISIE!$B$4,"/",SAISIE!$B$5),CONCATENATE(SAISIE!B14,"/",SAISIE!$B$4,"/",SAISIE!$B$5)))</f>
        <v>#REF!</v>
      </c>
      <c r="C74" s="63" t="e">
        <f>IF(SAISIE!#REF!="","",SAISIE!#REF!)</f>
        <v>#REF!</v>
      </c>
      <c r="D74" s="63" t="e">
        <f>IF(SAISIE!#REF!="","",SAISIE!E14)</f>
        <v>#REF!</v>
      </c>
      <c r="E74" s="63" t="e">
        <f>IF(SAISIE!#REF!="","",SAISIE!F14)</f>
        <v>#REF!</v>
      </c>
      <c r="F74" s="70" t="e">
        <f>IF(SAISIE!#REF!="","",IF(SAISIE!$N14="","",SAISIE!$N14))</f>
        <v>#REF!</v>
      </c>
      <c r="G74" s="63" t="e">
        <f>IF(SAISIE!#REF!="","",SAISIE!#REF!)</f>
        <v>#REF!</v>
      </c>
      <c r="H74" s="63"/>
      <c r="I74" s="63" t="e">
        <f>IF(SAISIE!#REF!="","",SAISIE!$Q14)</f>
        <v>#REF!</v>
      </c>
      <c r="J74" s="71" t="str">
        <f>IF(COUNTBLANK(SAISIE!$J$6:$M$6)=4,"",IF(SAISIE!#REF!="","",IF(SAISIE!J14&gt;0,SAISIE!$J$6,IF(SAISIE!K14&gt;0,SAISIE!$K$6,IF(SAISIE!L14&gt;0,SAISIE!$L$6,IF(SAISIE!M14&gt;0,SAISIE!$M$6,""))))))</f>
        <v/>
      </c>
      <c r="O74" s="59" t="s">
        <v>57</v>
      </c>
    </row>
    <row r="75" spans="1:15" x14ac:dyDescent="0.25">
      <c r="A75" s="63" t="e">
        <f>IF(AND(G75="",H75=""),"SUPPR",SAISIE!$B$3)</f>
        <v>#REF!</v>
      </c>
      <c r="B75" s="63" t="e">
        <f>IF(SAISIE!#REF!="","",IF(LEN(SAISIE!B14)=1,CONCATENATE("0",SAISIE!B14,"/",SAISIE!$B$4,"/",SAISIE!$B$5),CONCATENATE(SAISIE!B14,"/",SAISIE!$B$4,"/",SAISIE!$B$5)))</f>
        <v>#REF!</v>
      </c>
      <c r="C75" s="63" t="e">
        <f>IF(SAISIE!#REF!="","",SAISIE!#REF!)</f>
        <v>#REF!</v>
      </c>
      <c r="D75" s="63" t="e">
        <f>IF(SAISIE!#REF!="","",SAISIE!E14)</f>
        <v>#REF!</v>
      </c>
      <c r="E75" s="63" t="e">
        <f>IF(SAISIE!#REF!="","",SAISIE!F14)</f>
        <v>#REF!</v>
      </c>
      <c r="F75" s="70" t="e">
        <f>IF(SAISIE!#REF!="","",IF(SAISIE!$N14="","",SAISIE!$N14))</f>
        <v>#REF!</v>
      </c>
      <c r="G75" s="63" t="e">
        <f>IF(SAISIE!#REF!="","",SAISIE!#REF!)</f>
        <v>#REF!</v>
      </c>
      <c r="H75" s="63"/>
      <c r="I75" s="63" t="e">
        <f>IF(SAISIE!#REF!="","",SAISIE!$Q14)</f>
        <v>#REF!</v>
      </c>
      <c r="J75" s="71" t="str">
        <f>IF(COUNTBLANK(SAISIE!$J$6:$M$6)=4,"",IF(SAISIE!#REF!="","",IF(SAISIE!J14&gt;0,SAISIE!$J$6,IF(SAISIE!K14&gt;0,SAISIE!$K$6,IF(SAISIE!L14&gt;0,SAISIE!$L$6,IF(SAISIE!M14&gt;0,SAISIE!$M$6,""))))))</f>
        <v/>
      </c>
      <c r="O75" s="59" t="s">
        <v>58</v>
      </c>
    </row>
    <row r="76" spans="1:15" x14ac:dyDescent="0.25">
      <c r="A76" s="63" t="e">
        <f>IF(AND(G76="",H76=""),"SUPPR",SAISIE!$B$3)</f>
        <v>#REF!</v>
      </c>
      <c r="B76" s="63" t="e">
        <f>IF(SAISIE!#REF!="","",IF(LEN(SAISIE!B14)=1,CONCATENATE("0",SAISIE!B14,"/",SAISIE!$B$4,"/",SAISIE!$B$5),CONCATENATE(SAISIE!B14,"/",SAISIE!$B$4,"/",SAISIE!$B$5)))</f>
        <v>#REF!</v>
      </c>
      <c r="C76" s="63" t="e">
        <f>IF(SAISIE!#REF!="","",SAISIE!#REF!)</f>
        <v>#REF!</v>
      </c>
      <c r="D76" s="63" t="e">
        <f>IF(SAISIE!#REF!="","",SAISIE!E14)</f>
        <v>#REF!</v>
      </c>
      <c r="E76" s="63" t="e">
        <f>IF(SAISIE!#REF!="","",SAISIE!F14)</f>
        <v>#REF!</v>
      </c>
      <c r="F76" s="70" t="e">
        <f>IF(SAISIE!#REF!="","",IF(SAISIE!$N14="","",SAISIE!$N14))</f>
        <v>#REF!</v>
      </c>
      <c r="G76" s="63" t="e">
        <f>IF(SAISIE!#REF!="","",SAISIE!#REF!)</f>
        <v>#REF!</v>
      </c>
      <c r="H76" s="63"/>
      <c r="I76" s="63" t="e">
        <f>IF(SAISIE!#REF!="","",SAISIE!$Q14)</f>
        <v>#REF!</v>
      </c>
      <c r="J76" s="71" t="str">
        <f>IF(COUNTBLANK(SAISIE!$J$6:$M$6)=4,"",IF(SAISIE!#REF!="","",IF(SAISIE!J14&gt;0,SAISIE!$J$6,IF(SAISIE!K14&gt;0,SAISIE!$K$6,IF(SAISIE!L14&gt;0,SAISIE!$L$6,IF(SAISIE!M14&gt;0,SAISIE!$M$6,""))))))</f>
        <v/>
      </c>
      <c r="O76" s="59" t="s">
        <v>59</v>
      </c>
    </row>
    <row r="77" spans="1:15" x14ac:dyDescent="0.25">
      <c r="A77" s="63" t="e">
        <f>IF(AND(G77="",H77=""),"SUPPR",SAISIE!$B$3)</f>
        <v>#REF!</v>
      </c>
      <c r="B77" s="63" t="e">
        <f>IF(SAISIE!#REF!="","",IF(LEN(SAISIE!B14)=1,CONCATENATE("0",SAISIE!B14,"/",SAISIE!$B$4,"/",SAISIE!$B$5),CONCATENATE(SAISIE!B14,"/",SAISIE!$B$4,"/",SAISIE!$B$5)))</f>
        <v>#REF!</v>
      </c>
      <c r="C77" s="63" t="e">
        <f>IF(SAISIE!#REF!="","",SAISIE!#REF!)</f>
        <v>#REF!</v>
      </c>
      <c r="D77" s="63" t="e">
        <f>IF(SAISIE!#REF!="","",SAISIE!E14)</f>
        <v>#REF!</v>
      </c>
      <c r="E77" s="63" t="e">
        <f>IF(SAISIE!#REF!="","",SAISIE!F14)</f>
        <v>#REF!</v>
      </c>
      <c r="F77" s="70" t="e">
        <f>IF(SAISIE!#REF!="","",IF(SAISIE!$N14="","",SAISIE!$N14))</f>
        <v>#REF!</v>
      </c>
      <c r="G77" s="63" t="e">
        <f>IF(SAISIE!#REF!="","",SAISIE!#REF!)</f>
        <v>#REF!</v>
      </c>
      <c r="H77" s="63"/>
      <c r="I77" s="63" t="e">
        <f>IF(SAISIE!#REF!="","",SAISIE!$Q14)</f>
        <v>#REF!</v>
      </c>
      <c r="J77" s="71" t="str">
        <f>IF(COUNTBLANK(SAISIE!$J$6:$M$6)=4,"",IF(SAISIE!#REF!="","",IF(SAISIE!J14&gt;0,SAISIE!$J$6,IF(SAISIE!K14&gt;0,SAISIE!$K$6,IF(SAISIE!L14&gt;0,SAISIE!$L$6,IF(SAISIE!M14&gt;0,SAISIE!$M$6,""))))))</f>
        <v/>
      </c>
      <c r="O77" s="59" t="s">
        <v>60</v>
      </c>
    </row>
    <row r="78" spans="1:15" x14ac:dyDescent="0.25">
      <c r="A78" s="63" t="str">
        <f>IF(AND(G78="",H78=""),"SUPPR",SAISIE!$B$3)</f>
        <v>SUPPR</v>
      </c>
      <c r="B78" s="63" t="str">
        <f>IF(SAISIE!J14="","",IF(LEN(SAISIE!B14)=1,CONCATENATE("0",SAISIE!B14,"/",SAISIE!$B$4,"/",SAISIE!$B$5),CONCATENATE(SAISIE!B14,"/",SAISIE!$B$4,"/",SAISIE!$B$5)))</f>
        <v/>
      </c>
      <c r="C78" s="63" t="str">
        <f>IF(SAISIE!J14="","",SAISIE!$J$8)</f>
        <v/>
      </c>
      <c r="D78" s="63" t="str">
        <f>IF(SAISIE!J14="","",SAISIE!E14)</f>
        <v/>
      </c>
      <c r="E78" s="63" t="str">
        <f>IF(SAISIE!J14="","",SAISIE!F14)</f>
        <v/>
      </c>
      <c r="F78" s="70" t="str">
        <f>IF(SAISIE!$J14="","",IF(SAISIE!$N14="","",SAISIE!$N14))</f>
        <v/>
      </c>
      <c r="G78" s="63" t="str">
        <f>IF(SAISIE!J14="","",SAISIE!J14)</f>
        <v/>
      </c>
      <c r="H78" s="63"/>
      <c r="I78" s="72"/>
      <c r="J78" s="71"/>
      <c r="O78" s="73"/>
    </row>
    <row r="79" spans="1:15" x14ac:dyDescent="0.25">
      <c r="A79" s="63" t="str">
        <f>IF(AND(G79="",H79=""),"SUPPR",SAISIE!$B$3)</f>
        <v>SUPPR</v>
      </c>
      <c r="B79" s="63" t="str">
        <f>IF(SAISIE!K14="","",IF(LEN(SAISIE!B14)=1,CONCATENATE("0",SAISIE!B14,"/",SAISIE!$B$4,"/",SAISIE!$B$5),CONCATENATE(SAISIE!B14,"/",SAISIE!$B$4,"/",SAISIE!$B$5)))</f>
        <v/>
      </c>
      <c r="C79" s="63" t="str">
        <f>IF(SAISIE!K14="","",SAISIE!$K$8)</f>
        <v/>
      </c>
      <c r="D79" s="63" t="str">
        <f>IF(SAISIE!K14="","",SAISIE!E14)</f>
        <v/>
      </c>
      <c r="E79" s="63" t="str">
        <f>IF(SAISIE!K14="","",SAISIE!F14)</f>
        <v/>
      </c>
      <c r="F79" s="70" t="str">
        <f>IF(SAISIE!$K14="","",IF(SAISIE!$N14="","",SAISIE!$N14))</f>
        <v/>
      </c>
      <c r="G79" s="63" t="str">
        <f>IF(SAISIE!K14="","",SAISIE!K14)</f>
        <v/>
      </c>
      <c r="H79" s="63"/>
      <c r="I79" s="72"/>
      <c r="J79" s="71"/>
    </row>
    <row r="80" spans="1:15" x14ac:dyDescent="0.25">
      <c r="A80" s="63" t="str">
        <f>IF(AND(G80="",H80=""),"SUPPR",SAISIE!$B$3)</f>
        <v>SUPPR</v>
      </c>
      <c r="B80" s="63" t="str">
        <f>IF(SAISIE!L14="","",IF(LEN(SAISIE!B14)=1,CONCATENATE("0",SAISIE!B14,"/",SAISIE!$B$4,"/",SAISIE!$B$5),CONCATENATE(SAISIE!B14,"/",SAISIE!$B$4,"/",SAISIE!$B$5)))</f>
        <v/>
      </c>
      <c r="C80" s="63" t="str">
        <f>IF(SAISIE!L14="","",SAISIE!$L$8)</f>
        <v/>
      </c>
      <c r="D80" s="63" t="str">
        <f>IF(SAISIE!L14="","",SAISIE!E14)</f>
        <v/>
      </c>
      <c r="E80" s="63" t="str">
        <f>IF(SAISIE!L14="","",SAISIE!F14)</f>
        <v/>
      </c>
      <c r="F80" s="70" t="str">
        <f>IF(SAISIE!$L14="","",IF(SAISIE!$N14="","",SAISIE!$N14))</f>
        <v/>
      </c>
      <c r="G80" s="63" t="str">
        <f>IF(SAISIE!L14="","",SAISIE!L14)</f>
        <v/>
      </c>
      <c r="H80" s="63"/>
      <c r="I80" s="72"/>
      <c r="J80" s="71"/>
    </row>
    <row r="81" spans="1:15" x14ac:dyDescent="0.25">
      <c r="A81" s="63" t="str">
        <f>IF(AND(G81="",H81=""),"SUPPR",SAISIE!$B$3)</f>
        <v>SUPPR</v>
      </c>
      <c r="B81" s="63" t="str">
        <f>IF(SAISIE!M14="","",IF(LEN(SAISIE!B14)=1,CONCATENATE("0",SAISIE!B14,"/",SAISIE!$B$4,"/",SAISIE!$B$5),CONCATENATE(SAISIE!B14,"/",SAISIE!$B$4,"/",SAISIE!$B$5)))</f>
        <v/>
      </c>
      <c r="C81" s="74" t="str">
        <f>IF(SAISIE!M14="","",SAISIE!$M$8)</f>
        <v/>
      </c>
      <c r="D81" s="74" t="str">
        <f>IF(SAISIE!M14="","",SAISIE!E14)</f>
        <v/>
      </c>
      <c r="E81" s="74" t="str">
        <f>IF(SAISIE!M14="","",SAISIE!F14)</f>
        <v/>
      </c>
      <c r="F81" s="75" t="str">
        <f>IF(SAISIE!$M14="","",IF(SAISIE!$N14="","",SAISIE!$N14))</f>
        <v/>
      </c>
      <c r="G81" s="74" t="str">
        <f>IF(SAISIE!M14="","",SAISIE!M14)</f>
        <v/>
      </c>
      <c r="H81" s="76"/>
      <c r="I81" s="77"/>
      <c r="J81" s="78"/>
    </row>
    <row r="82" spans="1:15" x14ac:dyDescent="0.25">
      <c r="A82" s="63" t="str">
        <f>IF(AND(G82="",H82=""),"SUPPR",SAISIE!$B$3)</f>
        <v>SUPPR</v>
      </c>
      <c r="B82" s="64" t="str">
        <f>IF(SAISIE!B15="","",IF(LEN(SAISIE!B15)=1,CONCATENATE("0",SAISIE!B15,"/",SAISIE!$B$4,"/",SAISIE!$B$5),CONCATENATE(SAISIE!B15,"/",SAISIE!$B$4,"/",SAISIE!$B$5)))</f>
        <v/>
      </c>
      <c r="C82" s="64" t="str">
        <f>IF(SAISIE!B15="","",CONCATENATE($M$2,SAISIE!C15))</f>
        <v/>
      </c>
      <c r="D82" s="64" t="str">
        <f>IF(SAISIE!B15="","",SAISIE!E15)</f>
        <v/>
      </c>
      <c r="E82" s="64" t="str">
        <f>IF(SAISIE!B15="","",SAISIE!F15)</f>
        <v/>
      </c>
      <c r="F82" s="65" t="str">
        <f>IF(A82="SUPPR","",IF(SAISIE!N15="","",SAISIE!N15))</f>
        <v/>
      </c>
      <c r="G82" s="64"/>
      <c r="H82" s="64" t="str">
        <f>IF(SAISIE!B15="","",SAISIE!D15)</f>
        <v/>
      </c>
      <c r="I82" s="66"/>
      <c r="J82" s="67" t="str">
        <f>IF(AZ15="","","")</f>
        <v/>
      </c>
      <c r="O82" s="69">
        <f>O66+1</f>
        <v>15</v>
      </c>
    </row>
    <row r="83" spans="1:15" x14ac:dyDescent="0.25">
      <c r="A83" s="63" t="str">
        <f>IF(AND(G83="",H83=""),"SUPPR",SAISIE!$B$3)</f>
        <v>SUPPR</v>
      </c>
      <c r="B83" s="63" t="str">
        <f>IF(SAISIE!P15="","",IF(LEN(SAISIE!B15)=1,CONCATENATE("0",SAISIE!B15,"/",SAISIE!$B$4,"/",SAISIE!$B$5),CONCATENATE(SAISIE!B15,"/",SAISIE!$B$4,"/",SAISIE!$B$5)))</f>
        <v/>
      </c>
      <c r="C83" s="63" t="str">
        <f>IF(SAISIE!P15="","",SAISIE!O15)</f>
        <v/>
      </c>
      <c r="D83" s="63" t="str">
        <f>IF(SAISIE!P15="","",SAISIE!E15)</f>
        <v/>
      </c>
      <c r="E83" s="63" t="str">
        <f>IF(SAISIE!P15="","",SAISIE!F15)</f>
        <v/>
      </c>
      <c r="F83" s="70" t="str">
        <f>IF(SAISIE!$P15="","",IF(SAISIE!$N15="","",SAISIE!$N15))</f>
        <v/>
      </c>
      <c r="G83" s="63" t="str">
        <f>IF(SAISIE!P15="","",SAISIE!P15)</f>
        <v/>
      </c>
      <c r="H83" s="63"/>
      <c r="I83" s="63" t="str">
        <f>IF(SAISIE!$P15="","",SAISIE!$Q15)</f>
        <v/>
      </c>
      <c r="J83" s="71" t="str">
        <f>IF(COUNTBLANK(SAISIE!$J$6:$M$6)=4,"",IF(SAISIE!P15="","",IF(SAISIE!J15&gt;0,SAISIE!$J$6,IF(SAISIE!K15&gt;0,SAISIE!$K$6,IF(SAISIE!L15&gt;0,SAISIE!$L$6,IF(SAISIE!M15&gt;0,SAISIE!$M$6,""))))))</f>
        <v/>
      </c>
      <c r="O83" s="59" t="s">
        <v>50</v>
      </c>
    </row>
    <row r="84" spans="1:15" x14ac:dyDescent="0.25">
      <c r="A84" s="63" t="str">
        <f>IF(AND(G84="",H84=""),"SUPPR",SAISIE!$B$3)</f>
        <v>SUPPR</v>
      </c>
      <c r="B84" s="63" t="str">
        <f>IF(SAISIE!G15="","",IF(LEN(SAISIE!B15)=1,CONCATENATE("0",SAISIE!B15,"/",SAISIE!$B$4,"/",SAISIE!$B$5),CONCATENATE(SAISIE!B15,"/",SAISIE!$B$4,"/",SAISIE!$B$5)))</f>
        <v/>
      </c>
      <c r="C84" s="63" t="str">
        <f>IF(SAISIE!G15="","",SAISIE!$G$8)</f>
        <v/>
      </c>
      <c r="D84" s="63" t="str">
        <f>IF(SAISIE!G15="","",SAISIE!E15)</f>
        <v/>
      </c>
      <c r="E84" s="63" t="str">
        <f>IF(SAISIE!G15="","",SAISIE!F15)</f>
        <v/>
      </c>
      <c r="F84" s="70" t="str">
        <f>IF(SAISIE!$G15="","",IF(SAISIE!$N15="","",SAISIE!$N15))</f>
        <v/>
      </c>
      <c r="G84" s="63" t="str">
        <f>IF(SAISIE!G15="","",SAISIE!G15)</f>
        <v/>
      </c>
      <c r="H84" s="63"/>
      <c r="I84" s="63" t="str">
        <f>IF(SAISIE!$G15="","",SAISIE!$Q15)</f>
        <v/>
      </c>
      <c r="J84" s="71" t="str">
        <f>IF(COUNTBLANK(SAISIE!$J$6:$M$6)=4,"",IF(SAISIE!G15="","",IF(SAISIE!J15&gt;0,SAISIE!$J$6,IF(SAISIE!K15&gt;0,SAISIE!$K$6,IF(SAISIE!L15&gt;0,SAISIE!$L$6,IF(SAISIE!M15&gt;0,SAISIE!$M$6,""))))))</f>
        <v/>
      </c>
      <c r="O84" s="59" t="s">
        <v>51</v>
      </c>
    </row>
    <row r="85" spans="1:15" x14ac:dyDescent="0.25">
      <c r="A85" s="63" t="str">
        <f>IF(AND(G85="",H85=""),"SUPPR",SAISIE!$B$3)</f>
        <v>SUPPR</v>
      </c>
      <c r="B85" s="63" t="str">
        <f>IF(SAISIE!H15="","",IF(LEN(SAISIE!B15)=1,CONCATENATE("0",SAISIE!B15,"/",SAISIE!$B$4,"/",SAISIE!$B$5),CONCATENATE(SAISIE!B15,"/",SAISIE!$B$4,"/",SAISIE!$B$5)))</f>
        <v/>
      </c>
      <c r="C85" s="63" t="str">
        <f>IF(SAISIE!H15="","",SAISIE!$H$8)</f>
        <v/>
      </c>
      <c r="D85" s="63" t="str">
        <f>IF(SAISIE!H15="","",SAISIE!E15)</f>
        <v/>
      </c>
      <c r="E85" s="63" t="str">
        <f>IF(SAISIE!H15="","",SAISIE!F15)</f>
        <v/>
      </c>
      <c r="F85" s="70" t="str">
        <f>IF(SAISIE!$H15="","",IF(SAISIE!$N15="","",SAISIE!$N15))</f>
        <v/>
      </c>
      <c r="G85" s="63" t="str">
        <f>IF(SAISIE!H15="","",SAISIE!H15)</f>
        <v/>
      </c>
      <c r="H85" s="63"/>
      <c r="I85" s="63" t="str">
        <f>IF(SAISIE!$H15="","",SAISIE!$Q15)</f>
        <v/>
      </c>
      <c r="J85" s="71" t="str">
        <f>IF(COUNTBLANK(SAISIE!$J$6:$M$6)=4,"",IF(SAISIE!H15="","",IF(SAISIE!J15&gt;0,SAISIE!$J$6,IF(SAISIE!K15&gt;0,SAISIE!$K$6,IF(SAISIE!L15&gt;0,SAISIE!$L$6,IF(SAISIE!M15&gt;0,SAISIE!$M$6,""))))))</f>
        <v/>
      </c>
      <c r="O85" s="59" t="s">
        <v>52</v>
      </c>
    </row>
    <row r="86" spans="1:15" x14ac:dyDescent="0.25">
      <c r="A86" s="63" t="str">
        <f>IF(AND(G86="",H86=""),"SUPPR",SAISIE!$B$3)</f>
        <v>SUPPR</v>
      </c>
      <c r="B86" s="63" t="str">
        <f>IF(SAISIE!I15="","",IF(LEN(SAISIE!B15)=1,CONCATENATE("0",SAISIE!B15,"/",SAISIE!$B$4,"/",SAISIE!$B$5),CONCATENATE(SAISIE!B15,"/",SAISIE!$B$4,"/",SAISIE!$B$5)))</f>
        <v/>
      </c>
      <c r="C86" s="63" t="str">
        <f>IF(SAISIE!I15="","",SAISIE!$I$8)</f>
        <v/>
      </c>
      <c r="D86" s="63" t="str">
        <f>IF(SAISIE!I15="","",SAISIE!E15)</f>
        <v/>
      </c>
      <c r="E86" s="63" t="str">
        <f>IF(SAISIE!I15="","",SAISIE!F15)</f>
        <v/>
      </c>
      <c r="F86" s="70" t="str">
        <f>IF(SAISIE!$I15="","",IF(SAISIE!$N15="","",SAISIE!$N15))</f>
        <v/>
      </c>
      <c r="G86" s="63" t="str">
        <f>IF(SAISIE!I15="","",SAISIE!I15)</f>
        <v/>
      </c>
      <c r="H86" s="63"/>
      <c r="I86" s="63" t="str">
        <f>IF(SAISIE!$I15="","",SAISIE!$Q15)</f>
        <v/>
      </c>
      <c r="J86" s="71" t="str">
        <f>IF(COUNTBLANK(SAISIE!$J$6:$M$6)=4,"",IF(SAISIE!I15="","",IF(SAISIE!J15&gt;0,SAISIE!$J$6,IF(SAISIE!K15&gt;0,SAISIE!$K$6,IF(SAISIE!L15&gt;0,SAISIE!$L$6,IF(SAISIE!M15&gt;0,SAISIE!$M$6,""))))))</f>
        <v/>
      </c>
      <c r="O86" s="59" t="s">
        <v>53</v>
      </c>
    </row>
    <row r="87" spans="1:15" x14ac:dyDescent="0.25">
      <c r="A87" s="63" t="e">
        <f>IF(AND(G87="",H87=""),"SUPPR",SAISIE!$B$3)</f>
        <v>#REF!</v>
      </c>
      <c r="B87" s="63" t="e">
        <f>IF(SAISIE!#REF!="","",IF(LEN(SAISIE!B15)=1,CONCATENATE("0",SAISIE!B15,"/",SAISIE!$B$4,"/",SAISIE!$B$5),CONCATENATE(SAISIE!B15,"/",SAISIE!$B$4,"/",SAISIE!$B$5)))</f>
        <v>#REF!</v>
      </c>
      <c r="C87" s="63" t="e">
        <f>IF(SAISIE!#REF!="","",SAISIE!#REF!)</f>
        <v>#REF!</v>
      </c>
      <c r="D87" s="63" t="e">
        <f>IF(SAISIE!#REF!="","",SAISIE!E15)</f>
        <v>#REF!</v>
      </c>
      <c r="E87" s="63" t="e">
        <f>IF(SAISIE!#REF!="","",SAISIE!F15)</f>
        <v>#REF!</v>
      </c>
      <c r="F87" s="70" t="e">
        <f>IF(SAISIE!#REF!="","",IF(SAISIE!$N15="","",SAISIE!$N15))</f>
        <v>#REF!</v>
      </c>
      <c r="G87" s="63" t="e">
        <f>IF(SAISIE!#REF!="","",SAISIE!#REF!)</f>
        <v>#REF!</v>
      </c>
      <c r="H87" s="63"/>
      <c r="I87" s="63" t="e">
        <f>IF(SAISIE!#REF!="","",SAISIE!$Q15)</f>
        <v>#REF!</v>
      </c>
      <c r="J87" s="71" t="str">
        <f>IF(COUNTBLANK(SAISIE!$J$6:$M$6)=4,"",IF(SAISIE!#REF!="","",IF(SAISIE!J15&gt;0,SAISIE!$J$6,IF(SAISIE!K15&gt;0,SAISIE!$K$6,IF(SAISIE!L15&gt;0,SAISIE!$L$6,IF(SAISIE!M15&gt;0,SAISIE!$M$6,""))))))</f>
        <v/>
      </c>
      <c r="O87" s="59" t="s">
        <v>54</v>
      </c>
    </row>
    <row r="88" spans="1:15" x14ac:dyDescent="0.25">
      <c r="A88" s="63" t="e">
        <f>IF(AND(G88="",H88=""),"SUPPR",SAISIE!$B$3)</f>
        <v>#REF!</v>
      </c>
      <c r="B88" s="63" t="e">
        <f>IF(SAISIE!#REF!="","",IF(LEN(SAISIE!B15)=1,CONCATENATE("0",SAISIE!B15,"/",SAISIE!$B$4,"/",SAISIE!$B$5),CONCATENATE(SAISIE!B15,"/",SAISIE!$B$4,"/",SAISIE!$B$5)))</f>
        <v>#REF!</v>
      </c>
      <c r="C88" s="63" t="e">
        <f>IF(SAISIE!#REF!="","",SAISIE!#REF!)</f>
        <v>#REF!</v>
      </c>
      <c r="D88" s="63" t="e">
        <f>IF(SAISIE!#REF!="","",SAISIE!E15)</f>
        <v>#REF!</v>
      </c>
      <c r="E88" s="63" t="e">
        <f>IF(SAISIE!#REF!="","",SAISIE!F15)</f>
        <v>#REF!</v>
      </c>
      <c r="F88" s="70" t="e">
        <f>IF(SAISIE!#REF!="","",IF(SAISIE!$N15="","",SAISIE!$N15))</f>
        <v>#REF!</v>
      </c>
      <c r="G88" s="63" t="e">
        <f>IF(SAISIE!#REF!="","",SAISIE!#REF!)</f>
        <v>#REF!</v>
      </c>
      <c r="H88" s="63"/>
      <c r="I88" s="63" t="e">
        <f>IF(SAISIE!#REF!="","",SAISIE!$Q15)</f>
        <v>#REF!</v>
      </c>
      <c r="J88" s="71" t="str">
        <f>IF(COUNTBLANK(SAISIE!$J$6:$M$6)=4,"",IF(SAISIE!#REF!="","",IF(SAISIE!J15&gt;0,SAISIE!$J$6,IF(SAISIE!K15&gt;0,SAISIE!$K$6,IF(SAISIE!L15&gt;0,SAISIE!$L$6,IF(SAISIE!M15&gt;0,SAISIE!$M$6,""))))))</f>
        <v/>
      </c>
      <c r="O88" s="59" t="s">
        <v>55</v>
      </c>
    </row>
    <row r="89" spans="1:15" x14ac:dyDescent="0.25">
      <c r="A89" s="63" t="e">
        <f>IF(AND(G89="",H89=""),"SUPPR",SAISIE!$B$3)</f>
        <v>#REF!</v>
      </c>
      <c r="B89" s="63" t="e">
        <f>IF(SAISIE!#REF!="","",IF(LEN(SAISIE!B15)=1,CONCATENATE("0",SAISIE!B15,"/",SAISIE!$B$4,"/",SAISIE!$B$5),CONCATENATE(SAISIE!B15,"/",SAISIE!$B$4,"/",SAISIE!$B$5)))</f>
        <v>#REF!</v>
      </c>
      <c r="C89" s="63" t="e">
        <f>IF(SAISIE!#REF!="","",SAISIE!#REF!)</f>
        <v>#REF!</v>
      </c>
      <c r="D89" s="63" t="e">
        <f>IF(SAISIE!#REF!="","",SAISIE!E15)</f>
        <v>#REF!</v>
      </c>
      <c r="E89" s="63" t="e">
        <f>IF(SAISIE!#REF!="","",SAISIE!F15)</f>
        <v>#REF!</v>
      </c>
      <c r="F89" s="70" t="e">
        <f>IF(SAISIE!#REF!="","",IF(SAISIE!$N15="","",SAISIE!$N15))</f>
        <v>#REF!</v>
      </c>
      <c r="G89" s="63" t="e">
        <f>IF(SAISIE!#REF!="","",SAISIE!#REF!)</f>
        <v>#REF!</v>
      </c>
      <c r="H89" s="63"/>
      <c r="I89" s="63" t="e">
        <f>IF(SAISIE!#REF!="","",SAISIE!$Q15)</f>
        <v>#REF!</v>
      </c>
      <c r="J89" s="71" t="str">
        <f>IF(COUNTBLANK(SAISIE!$J$6:$M$6)=4,"",IF(SAISIE!#REF!="","",IF(SAISIE!J15&gt;0,SAISIE!$J$6,IF(SAISIE!K15&gt;0,SAISIE!$K$6,IF(SAISIE!L15&gt;0,SAISIE!$L$6,IF(SAISIE!M15&gt;0,SAISIE!$M$6,""))))))</f>
        <v/>
      </c>
      <c r="O89" s="59" t="s">
        <v>56</v>
      </c>
    </row>
    <row r="90" spans="1:15" x14ac:dyDescent="0.25">
      <c r="A90" s="63" t="e">
        <f>IF(AND(G90="",H90=""),"SUPPR",SAISIE!$B$3)</f>
        <v>#REF!</v>
      </c>
      <c r="B90" s="63" t="e">
        <f>IF(SAISIE!#REF!="","",IF(LEN(SAISIE!B15)=1,CONCATENATE("0",SAISIE!B15,"/",SAISIE!$B$4,"/",SAISIE!$B$5),CONCATENATE(SAISIE!B15,"/",SAISIE!$B$4,"/",SAISIE!$B$5)))</f>
        <v>#REF!</v>
      </c>
      <c r="C90" s="63" t="e">
        <f>IF(SAISIE!#REF!="","",SAISIE!#REF!)</f>
        <v>#REF!</v>
      </c>
      <c r="D90" s="63" t="e">
        <f>IF(SAISIE!#REF!="","",SAISIE!E15)</f>
        <v>#REF!</v>
      </c>
      <c r="E90" s="63" t="e">
        <f>IF(SAISIE!#REF!="","",SAISIE!F15)</f>
        <v>#REF!</v>
      </c>
      <c r="F90" s="70" t="e">
        <f>IF(SAISIE!#REF!="","",IF(SAISIE!$N15="","",SAISIE!$N15))</f>
        <v>#REF!</v>
      </c>
      <c r="G90" s="63" t="e">
        <f>IF(SAISIE!#REF!="","",SAISIE!#REF!)</f>
        <v>#REF!</v>
      </c>
      <c r="H90" s="63"/>
      <c r="I90" s="63" t="e">
        <f>IF(SAISIE!#REF!="","",SAISIE!$Q15)</f>
        <v>#REF!</v>
      </c>
      <c r="J90" s="71" t="str">
        <f>IF(COUNTBLANK(SAISIE!$J$6:$M$6)=4,"",IF(SAISIE!#REF!="","",IF(SAISIE!J15&gt;0,SAISIE!$J$6,IF(SAISIE!K15&gt;0,SAISIE!$K$6,IF(SAISIE!L15&gt;0,SAISIE!$L$6,IF(SAISIE!M15&gt;0,SAISIE!$M$6,""))))))</f>
        <v/>
      </c>
      <c r="O90" s="59" t="s">
        <v>57</v>
      </c>
    </row>
    <row r="91" spans="1:15" x14ac:dyDescent="0.25">
      <c r="A91" s="63" t="e">
        <f>IF(AND(G91="",H91=""),"SUPPR",SAISIE!$B$3)</f>
        <v>#REF!</v>
      </c>
      <c r="B91" s="63" t="e">
        <f>IF(SAISIE!#REF!="","",IF(LEN(SAISIE!B15)=1,CONCATENATE("0",SAISIE!B15,"/",SAISIE!$B$4,"/",SAISIE!$B$5),CONCATENATE(SAISIE!B15,"/",SAISIE!$B$4,"/",SAISIE!$B$5)))</f>
        <v>#REF!</v>
      </c>
      <c r="C91" s="63" t="e">
        <f>IF(SAISIE!#REF!="","",SAISIE!#REF!)</f>
        <v>#REF!</v>
      </c>
      <c r="D91" s="63" t="e">
        <f>IF(SAISIE!#REF!="","",SAISIE!E15)</f>
        <v>#REF!</v>
      </c>
      <c r="E91" s="63" t="e">
        <f>IF(SAISIE!#REF!="","",SAISIE!F15)</f>
        <v>#REF!</v>
      </c>
      <c r="F91" s="70" t="e">
        <f>IF(SAISIE!#REF!="","",IF(SAISIE!$N15="","",SAISIE!$N15))</f>
        <v>#REF!</v>
      </c>
      <c r="G91" s="63" t="e">
        <f>IF(SAISIE!#REF!="","",SAISIE!#REF!)</f>
        <v>#REF!</v>
      </c>
      <c r="H91" s="63"/>
      <c r="I91" s="63" t="e">
        <f>IF(SAISIE!#REF!="","",SAISIE!$Q15)</f>
        <v>#REF!</v>
      </c>
      <c r="J91" s="71" t="str">
        <f>IF(COUNTBLANK(SAISIE!$J$6:$M$6)=4,"",IF(SAISIE!#REF!="","",IF(SAISIE!J15&gt;0,SAISIE!$J$6,IF(SAISIE!K15&gt;0,SAISIE!$K$6,IF(SAISIE!L15&gt;0,SAISIE!$L$6,IF(SAISIE!M15&gt;0,SAISIE!$M$6,""))))))</f>
        <v/>
      </c>
      <c r="O91" s="59" t="s">
        <v>58</v>
      </c>
    </row>
    <row r="92" spans="1:15" x14ac:dyDescent="0.25">
      <c r="A92" s="63" t="e">
        <f>IF(AND(G92="",H92=""),"SUPPR",SAISIE!$B$3)</f>
        <v>#REF!</v>
      </c>
      <c r="B92" s="63" t="e">
        <f>IF(SAISIE!#REF!="","",IF(LEN(SAISIE!B15)=1,CONCATENATE("0",SAISIE!B15,"/",SAISIE!$B$4,"/",SAISIE!$B$5),CONCATENATE(SAISIE!B15,"/",SAISIE!$B$4,"/",SAISIE!$B$5)))</f>
        <v>#REF!</v>
      </c>
      <c r="C92" s="63" t="e">
        <f>IF(SAISIE!#REF!="","",SAISIE!#REF!)</f>
        <v>#REF!</v>
      </c>
      <c r="D92" s="63" t="e">
        <f>IF(SAISIE!#REF!="","",SAISIE!E15)</f>
        <v>#REF!</v>
      </c>
      <c r="E92" s="63" t="e">
        <f>IF(SAISIE!#REF!="","",SAISIE!F15)</f>
        <v>#REF!</v>
      </c>
      <c r="F92" s="70" t="e">
        <f>IF(SAISIE!#REF!="","",IF(SAISIE!$N15="","",SAISIE!$N15))</f>
        <v>#REF!</v>
      </c>
      <c r="G92" s="63" t="e">
        <f>IF(SAISIE!#REF!="","",SAISIE!#REF!)</f>
        <v>#REF!</v>
      </c>
      <c r="H92" s="63"/>
      <c r="I92" s="63" t="e">
        <f>IF(SAISIE!#REF!="","",SAISIE!$Q15)</f>
        <v>#REF!</v>
      </c>
      <c r="J92" s="71" t="str">
        <f>IF(COUNTBLANK(SAISIE!$J$6:$M$6)=4,"",IF(SAISIE!#REF!="","",IF(SAISIE!J15&gt;0,SAISIE!$J$6,IF(SAISIE!K15&gt;0,SAISIE!$K$6,IF(SAISIE!L15&gt;0,SAISIE!$L$6,IF(SAISIE!M15&gt;0,SAISIE!$M$6,""))))))</f>
        <v/>
      </c>
      <c r="O92" s="59" t="s">
        <v>59</v>
      </c>
    </row>
    <row r="93" spans="1:15" x14ac:dyDescent="0.25">
      <c r="A93" s="63" t="e">
        <f>IF(AND(G93="",H93=""),"SUPPR",SAISIE!$B$3)</f>
        <v>#REF!</v>
      </c>
      <c r="B93" s="63" t="e">
        <f>IF(SAISIE!#REF!="","",IF(LEN(SAISIE!B15)=1,CONCATENATE("0",SAISIE!B15,"/",SAISIE!$B$4,"/",SAISIE!$B$5),CONCATENATE(SAISIE!B15,"/",SAISIE!$B$4,"/",SAISIE!$B$5)))</f>
        <v>#REF!</v>
      </c>
      <c r="C93" s="63" t="e">
        <f>IF(SAISIE!#REF!="","",SAISIE!#REF!)</f>
        <v>#REF!</v>
      </c>
      <c r="D93" s="63" t="e">
        <f>IF(SAISIE!#REF!="","",SAISIE!E15)</f>
        <v>#REF!</v>
      </c>
      <c r="E93" s="63" t="e">
        <f>IF(SAISIE!#REF!="","",SAISIE!F15)</f>
        <v>#REF!</v>
      </c>
      <c r="F93" s="70" t="e">
        <f>IF(SAISIE!#REF!="","",IF(SAISIE!$N15="","",SAISIE!$N15))</f>
        <v>#REF!</v>
      </c>
      <c r="G93" s="63" t="e">
        <f>IF(SAISIE!#REF!="","",SAISIE!#REF!)</f>
        <v>#REF!</v>
      </c>
      <c r="H93" s="63"/>
      <c r="I93" s="63" t="e">
        <f>IF(SAISIE!#REF!="","",SAISIE!$Q15)</f>
        <v>#REF!</v>
      </c>
      <c r="J93" s="71" t="str">
        <f>IF(COUNTBLANK(SAISIE!$J$6:$M$6)=4,"",IF(SAISIE!#REF!="","",IF(SAISIE!J15&gt;0,SAISIE!$J$6,IF(SAISIE!K15&gt;0,SAISIE!$K$6,IF(SAISIE!L15&gt;0,SAISIE!$L$6,IF(SAISIE!M15&gt;0,SAISIE!$M$6,""))))))</f>
        <v/>
      </c>
      <c r="O93" s="59" t="s">
        <v>60</v>
      </c>
    </row>
    <row r="94" spans="1:15" x14ac:dyDescent="0.25">
      <c r="A94" s="63" t="str">
        <f>IF(AND(G94="",H94=""),"SUPPR",SAISIE!$B$3)</f>
        <v>SUPPR</v>
      </c>
      <c r="B94" s="63" t="str">
        <f>IF(SAISIE!J15="","",IF(LEN(SAISIE!B15)=1,CONCATENATE("0",SAISIE!B15,"/",SAISIE!$B$4,"/",SAISIE!$B$5),CONCATENATE(SAISIE!B15,"/",SAISIE!$B$4,"/",SAISIE!$B$5)))</f>
        <v/>
      </c>
      <c r="C94" s="63" t="str">
        <f>IF(SAISIE!J15="","",SAISIE!$J$8)</f>
        <v/>
      </c>
      <c r="D94" s="63" t="str">
        <f>IF(SAISIE!J15="","",SAISIE!E15)</f>
        <v/>
      </c>
      <c r="E94" s="63" t="str">
        <f>IF(SAISIE!J15="","",SAISIE!F15)</f>
        <v/>
      </c>
      <c r="F94" s="70" t="str">
        <f>IF(SAISIE!$J15="","",IF(SAISIE!$N15="","",SAISIE!$N15))</f>
        <v/>
      </c>
      <c r="G94" s="63" t="str">
        <f>IF(SAISIE!J15="","",SAISIE!J15)</f>
        <v/>
      </c>
      <c r="H94" s="63"/>
      <c r="I94" s="72"/>
      <c r="J94" s="71"/>
      <c r="O94" s="73"/>
    </row>
    <row r="95" spans="1:15" x14ac:dyDescent="0.25">
      <c r="A95" s="63" t="str">
        <f>IF(AND(G95="",H95=""),"SUPPR",SAISIE!$B$3)</f>
        <v>SUPPR</v>
      </c>
      <c r="B95" s="63" t="str">
        <f>IF(SAISIE!K15="","",IF(LEN(SAISIE!B15)=1,CONCATENATE("0",SAISIE!B15,"/",SAISIE!$B$4,"/",SAISIE!$B$5),CONCATENATE(SAISIE!B15,"/",SAISIE!$B$4,"/",SAISIE!$B$5)))</f>
        <v/>
      </c>
      <c r="C95" s="63" t="str">
        <f>IF(SAISIE!K15="","",SAISIE!$K$8)</f>
        <v/>
      </c>
      <c r="D95" s="63" t="str">
        <f>IF(SAISIE!K15="","",SAISIE!E15)</f>
        <v/>
      </c>
      <c r="E95" s="63" t="str">
        <f>IF(SAISIE!K15="","",SAISIE!F15)</f>
        <v/>
      </c>
      <c r="F95" s="70" t="str">
        <f>IF(SAISIE!$K15="","",IF(SAISIE!$N15="","",SAISIE!$N15))</f>
        <v/>
      </c>
      <c r="G95" s="63" t="str">
        <f>IF(SAISIE!K15="","",SAISIE!K15)</f>
        <v/>
      </c>
      <c r="H95" s="63"/>
      <c r="I95" s="72"/>
      <c r="J95" s="71"/>
    </row>
    <row r="96" spans="1:15" x14ac:dyDescent="0.25">
      <c r="A96" s="63" t="str">
        <f>IF(AND(G96="",H96=""),"SUPPR",SAISIE!$B$3)</f>
        <v>SUPPR</v>
      </c>
      <c r="B96" s="63" t="str">
        <f>IF(SAISIE!L15="","",IF(LEN(SAISIE!B15)=1,CONCATENATE("0",SAISIE!B15,"/",SAISIE!$B$4,"/",SAISIE!$B$5),CONCATENATE(SAISIE!B15,"/",SAISIE!$B$4,"/",SAISIE!$B$5)))</f>
        <v/>
      </c>
      <c r="C96" s="63" t="str">
        <f>IF(SAISIE!L15="","",SAISIE!$L$8)</f>
        <v/>
      </c>
      <c r="D96" s="63" t="str">
        <f>IF(SAISIE!L15="","",SAISIE!E15)</f>
        <v/>
      </c>
      <c r="E96" s="63" t="str">
        <f>IF(SAISIE!L15="","",SAISIE!F15)</f>
        <v/>
      </c>
      <c r="F96" s="70" t="str">
        <f>IF(SAISIE!$L15="","",IF(SAISIE!$N15="","",SAISIE!$N15))</f>
        <v/>
      </c>
      <c r="G96" s="63" t="str">
        <f>IF(SAISIE!L15="","",SAISIE!L15)</f>
        <v/>
      </c>
      <c r="H96" s="63"/>
      <c r="I96" s="72"/>
      <c r="J96" s="71"/>
    </row>
    <row r="97" spans="1:15" x14ac:dyDescent="0.25">
      <c r="A97" s="63" t="str">
        <f>IF(AND(G97="",H97=""),"SUPPR",SAISIE!$B$3)</f>
        <v>SUPPR</v>
      </c>
      <c r="B97" s="63" t="str">
        <f>IF(SAISIE!M15="","",IF(LEN(SAISIE!B15)=1,CONCATENATE("0",SAISIE!B15,"/",SAISIE!$B$4,"/",SAISIE!$B$5),CONCATENATE(SAISIE!B15,"/",SAISIE!$B$4,"/",SAISIE!$B$5)))</f>
        <v/>
      </c>
      <c r="C97" s="74" t="str">
        <f>IF(SAISIE!M15="","",SAISIE!$M$8)</f>
        <v/>
      </c>
      <c r="D97" s="74" t="str">
        <f>IF(SAISIE!M15="","",SAISIE!E15)</f>
        <v/>
      </c>
      <c r="E97" s="74" t="str">
        <f>IF(SAISIE!M15="","",SAISIE!F15)</f>
        <v/>
      </c>
      <c r="F97" s="75" t="str">
        <f>IF(SAISIE!$M15="","",IF(SAISIE!$N15="","",SAISIE!$N15))</f>
        <v/>
      </c>
      <c r="G97" s="74" t="str">
        <f>IF(SAISIE!M15="","",SAISIE!M15)</f>
        <v/>
      </c>
      <c r="H97" s="76"/>
      <c r="I97" s="77"/>
      <c r="J97" s="78"/>
    </row>
    <row r="98" spans="1:15" x14ac:dyDescent="0.25">
      <c r="A98" s="63" t="str">
        <f>IF(AND(G98="",H98=""),"SUPPR",SAISIE!$B$3)</f>
        <v>SUPPR</v>
      </c>
      <c r="B98" s="64" t="str">
        <f>IF(SAISIE!B16="","",IF(LEN(SAISIE!B16)=1,CONCATENATE("0",SAISIE!B16,"/",SAISIE!$B$4,"/",SAISIE!$B$5),CONCATENATE(SAISIE!B16,"/",SAISIE!$B$4,"/",SAISIE!$B$5)))</f>
        <v/>
      </c>
      <c r="C98" s="64" t="str">
        <f>IF(SAISIE!B16="","",CONCATENATE($M$2,SAISIE!C16))</f>
        <v/>
      </c>
      <c r="D98" s="64" t="str">
        <f>IF(SAISIE!B16="","",SAISIE!E16)</f>
        <v/>
      </c>
      <c r="E98" s="64" t="str">
        <f>IF(SAISIE!B16="","",SAISIE!F16)</f>
        <v/>
      </c>
      <c r="F98" s="65" t="str">
        <f>IF(A98="SUPPR","",IF(SAISIE!$N16="","",SAISIE!$N16))</f>
        <v/>
      </c>
      <c r="G98" s="64"/>
      <c r="H98" s="64" t="str">
        <f>IF(SAISIE!B16="","",SAISIE!D16)</f>
        <v/>
      </c>
      <c r="I98" s="66"/>
      <c r="J98" s="67" t="str">
        <f>IF(AZ16="","","")</f>
        <v/>
      </c>
      <c r="O98" s="69">
        <f>O82+1</f>
        <v>16</v>
      </c>
    </row>
    <row r="99" spans="1:15" x14ac:dyDescent="0.25">
      <c r="A99" s="63" t="str">
        <f>IF(AND(G99="",H99=""),"SUPPR",SAISIE!$B$3)</f>
        <v>SUPPR</v>
      </c>
      <c r="B99" s="63" t="str">
        <f>IF(SAISIE!P16="","",IF(LEN(SAISIE!B16)=1,CONCATENATE("0",SAISIE!B16,"/",SAISIE!$B$4,"/",SAISIE!$B$5),CONCATENATE(SAISIE!B16,"/",SAISIE!$B$4,"/",SAISIE!$B$5)))</f>
        <v/>
      </c>
      <c r="C99" s="63" t="str">
        <f>IF(SAISIE!P16="","",SAISIE!O16)</f>
        <v/>
      </c>
      <c r="D99" s="63" t="str">
        <f>IF(SAISIE!P16="","",SAISIE!E16)</f>
        <v/>
      </c>
      <c r="E99" s="63" t="str">
        <f>IF(SAISIE!P16="","",SAISIE!F16)</f>
        <v/>
      </c>
      <c r="F99" s="70" t="str">
        <f>IF(SAISIE!$P16="","",IF(SAISIE!$N16="","",SAISIE!$N16))</f>
        <v/>
      </c>
      <c r="G99" s="63" t="str">
        <f>IF(SAISIE!P16="","",SAISIE!P16)</f>
        <v/>
      </c>
      <c r="H99" s="63"/>
      <c r="I99" s="63" t="str">
        <f>IF(SAISIE!$P16="","",SAISIE!$Q16)</f>
        <v/>
      </c>
      <c r="J99" s="71" t="str">
        <f>IF(COUNTBLANK(SAISIE!$J$6:$M$6)=4,"",IF(SAISIE!P16="","",IF(SAISIE!J16&gt;0,SAISIE!$J$6,IF(SAISIE!K16&gt;0,SAISIE!$K$6,IF(SAISIE!L16&gt;0,SAISIE!$L$6,IF(SAISIE!M16&gt;0,SAISIE!$M$6,""))))))</f>
        <v/>
      </c>
      <c r="O99" s="59" t="s">
        <v>50</v>
      </c>
    </row>
    <row r="100" spans="1:15" x14ac:dyDescent="0.25">
      <c r="A100" s="63" t="str">
        <f>IF(AND(G100="",H100=""),"SUPPR",SAISIE!$B$3)</f>
        <v>SUPPR</v>
      </c>
      <c r="B100" s="63" t="str">
        <f>IF(SAISIE!G16="","",IF(LEN(SAISIE!B16)=1,CONCATENATE("0",SAISIE!B16,"/",SAISIE!$B$4,"/",SAISIE!$B$5),CONCATENATE(SAISIE!B16,"/",SAISIE!$B$4,"/",SAISIE!$B$5)))</f>
        <v/>
      </c>
      <c r="C100" s="63" t="str">
        <f>IF(SAISIE!G16="","",SAISIE!$G$8)</f>
        <v/>
      </c>
      <c r="D100" s="63" t="str">
        <f>IF(SAISIE!G16="","",SAISIE!E16)</f>
        <v/>
      </c>
      <c r="E100" s="63" t="str">
        <f>IF(SAISIE!G16="","",SAISIE!F16)</f>
        <v/>
      </c>
      <c r="F100" s="70" t="str">
        <f>IF(SAISIE!$G16="","",IF(SAISIE!$N16="","",SAISIE!$N16))</f>
        <v/>
      </c>
      <c r="G100" s="63" t="str">
        <f>IF(SAISIE!G16="","",SAISIE!G16)</f>
        <v/>
      </c>
      <c r="H100" s="63"/>
      <c r="I100" s="63" t="str">
        <f>IF(SAISIE!$G16="","",SAISIE!$Q16)</f>
        <v/>
      </c>
      <c r="J100" s="71" t="str">
        <f>IF(COUNTBLANK(SAISIE!$J$6:$M$6)=4,"",IF(SAISIE!G16="","",IF(SAISIE!J16&gt;0,SAISIE!$J$6,IF(SAISIE!K16&gt;0,SAISIE!$K$6,IF(SAISIE!L16&gt;0,SAISIE!$L$6,IF(SAISIE!M16&gt;0,SAISIE!$M$6,""))))))</f>
        <v/>
      </c>
      <c r="O100" s="59" t="s">
        <v>51</v>
      </c>
    </row>
    <row r="101" spans="1:15" x14ac:dyDescent="0.25">
      <c r="A101" s="63" t="str">
        <f>IF(AND(G101="",H101=""),"SUPPR",SAISIE!$B$3)</f>
        <v>SUPPR</v>
      </c>
      <c r="B101" s="63" t="str">
        <f>IF(SAISIE!H16="","",IF(LEN(SAISIE!B16)=1,CONCATENATE("0",SAISIE!B16,"/",SAISIE!$B$4,"/",SAISIE!$B$5),CONCATENATE(SAISIE!B16,"/",SAISIE!$B$4,"/",SAISIE!$B$5)))</f>
        <v/>
      </c>
      <c r="C101" s="63" t="str">
        <f>IF(SAISIE!H16="","",SAISIE!$H$8)</f>
        <v/>
      </c>
      <c r="D101" s="63" t="str">
        <f>IF(SAISIE!H16="","",SAISIE!E16)</f>
        <v/>
      </c>
      <c r="E101" s="63" t="str">
        <f>IF(SAISIE!H16="","",SAISIE!F16)</f>
        <v/>
      </c>
      <c r="F101" s="70" t="str">
        <f>IF(SAISIE!$H16="","",IF(SAISIE!$N16="","",SAISIE!$N16))</f>
        <v/>
      </c>
      <c r="G101" s="63" t="str">
        <f>IF(SAISIE!H16="","",SAISIE!H16)</f>
        <v/>
      </c>
      <c r="H101" s="63"/>
      <c r="I101" s="63" t="str">
        <f>IF(SAISIE!$H16="","",SAISIE!$Q16)</f>
        <v/>
      </c>
      <c r="J101" s="71" t="str">
        <f>IF(COUNTBLANK(SAISIE!$J$6:$M$6)=4,"",IF(SAISIE!H16="","",IF(SAISIE!J16&gt;0,SAISIE!$J$6,IF(SAISIE!K16&gt;0,SAISIE!$K$6,IF(SAISIE!L16&gt;0,SAISIE!$L$6,IF(SAISIE!M16&gt;0,SAISIE!$M$6,""))))))</f>
        <v/>
      </c>
      <c r="O101" s="59" t="s">
        <v>52</v>
      </c>
    </row>
    <row r="102" spans="1:15" x14ac:dyDescent="0.25">
      <c r="A102" s="63" t="str">
        <f>IF(AND(G102="",H102=""),"SUPPR",SAISIE!$B$3)</f>
        <v>SUPPR</v>
      </c>
      <c r="B102" s="63" t="str">
        <f>IF(SAISIE!I16="","",IF(LEN(SAISIE!B16)=1,CONCATENATE("0",SAISIE!B16,"/",SAISIE!$B$4,"/",SAISIE!$B$5),CONCATENATE(SAISIE!B16,"/",SAISIE!$B$4,"/",SAISIE!$B$5)))</f>
        <v/>
      </c>
      <c r="C102" s="63" t="str">
        <f>IF(SAISIE!I16="","",SAISIE!$I$8)</f>
        <v/>
      </c>
      <c r="D102" s="63" t="str">
        <f>IF(SAISIE!I16="","",SAISIE!E16)</f>
        <v/>
      </c>
      <c r="E102" s="63" t="str">
        <f>IF(SAISIE!I16="","",SAISIE!F16)</f>
        <v/>
      </c>
      <c r="F102" s="70" t="str">
        <f>IF(SAISIE!$I16="","",IF(SAISIE!$N16="","",SAISIE!$N16))</f>
        <v/>
      </c>
      <c r="G102" s="63" t="str">
        <f>IF(SAISIE!I16="","",SAISIE!I16)</f>
        <v/>
      </c>
      <c r="H102" s="63"/>
      <c r="I102" s="63" t="str">
        <f>IF(SAISIE!$I16="","",SAISIE!$Q16)</f>
        <v/>
      </c>
      <c r="J102" s="71" t="str">
        <f>IF(COUNTBLANK(SAISIE!$J$6:$M$6)=4,"",IF(SAISIE!I16="","",IF(SAISIE!J16&gt;0,SAISIE!$J$6,IF(SAISIE!K16&gt;0,SAISIE!$K$6,IF(SAISIE!L16&gt;0,SAISIE!$L$6,IF(SAISIE!M16&gt;0,SAISIE!$M$6,""))))))</f>
        <v/>
      </c>
      <c r="O102" s="59" t="s">
        <v>53</v>
      </c>
    </row>
    <row r="103" spans="1:15" x14ac:dyDescent="0.25">
      <c r="A103" s="63" t="e">
        <f>IF(AND(G103="",H103=""),"SUPPR",SAISIE!$B$3)</f>
        <v>#REF!</v>
      </c>
      <c r="B103" s="63" t="e">
        <f>IF(SAISIE!#REF!="","",IF(LEN(SAISIE!B16)=1,CONCATENATE("0",SAISIE!B16,"/",SAISIE!$B$4,"/",SAISIE!$B$5),CONCATENATE(SAISIE!B16,"/",SAISIE!$B$4,"/",SAISIE!$B$5)))</f>
        <v>#REF!</v>
      </c>
      <c r="C103" s="63" t="e">
        <f>IF(SAISIE!#REF!="","",SAISIE!#REF!)</f>
        <v>#REF!</v>
      </c>
      <c r="D103" s="63" t="e">
        <f>IF(SAISIE!#REF!="","",SAISIE!E16)</f>
        <v>#REF!</v>
      </c>
      <c r="E103" s="63" t="e">
        <f>IF(SAISIE!#REF!="","",SAISIE!F16)</f>
        <v>#REF!</v>
      </c>
      <c r="F103" s="70" t="e">
        <f>IF(SAISIE!#REF!="","",IF(SAISIE!$N16="","",SAISIE!$N16))</f>
        <v>#REF!</v>
      </c>
      <c r="G103" s="63" t="e">
        <f>IF(SAISIE!#REF!="","",SAISIE!#REF!)</f>
        <v>#REF!</v>
      </c>
      <c r="H103" s="63"/>
      <c r="I103" s="63" t="e">
        <f>IF(SAISIE!#REF!="","",SAISIE!$Q16)</f>
        <v>#REF!</v>
      </c>
      <c r="J103" s="71" t="str">
        <f>IF(COUNTBLANK(SAISIE!$J$6:$M$6)=4,"",IF(SAISIE!#REF!="","",IF(SAISIE!J16&gt;0,SAISIE!$J$6,IF(SAISIE!K16&gt;0,SAISIE!$K$6,IF(SAISIE!L16&gt;0,SAISIE!$L$6,IF(SAISIE!M16&gt;0,SAISIE!$M$6,""))))))</f>
        <v/>
      </c>
      <c r="O103" s="59" t="s">
        <v>54</v>
      </c>
    </row>
    <row r="104" spans="1:15" x14ac:dyDescent="0.25">
      <c r="A104" s="63" t="e">
        <f>IF(AND(G104="",H104=""),"SUPPR",SAISIE!$B$3)</f>
        <v>#REF!</v>
      </c>
      <c r="B104" s="63" t="e">
        <f>IF(SAISIE!#REF!="","",IF(LEN(SAISIE!B16)=1,CONCATENATE("0",SAISIE!B16,"/",SAISIE!$B$4,"/",SAISIE!$B$5),CONCATENATE(SAISIE!B16,"/",SAISIE!$B$4,"/",SAISIE!$B$5)))</f>
        <v>#REF!</v>
      </c>
      <c r="C104" s="63" t="e">
        <f>IF(SAISIE!#REF!="","",SAISIE!#REF!)</f>
        <v>#REF!</v>
      </c>
      <c r="D104" s="63" t="e">
        <f>IF(SAISIE!#REF!="","",SAISIE!E16)</f>
        <v>#REF!</v>
      </c>
      <c r="E104" s="63" t="e">
        <f>IF(SAISIE!#REF!="","",SAISIE!F16)</f>
        <v>#REF!</v>
      </c>
      <c r="F104" s="70" t="e">
        <f>IF(SAISIE!#REF!="","",IF(SAISIE!$N16="","",SAISIE!$N16))</f>
        <v>#REF!</v>
      </c>
      <c r="G104" s="63" t="e">
        <f>IF(SAISIE!#REF!="","",SAISIE!#REF!)</f>
        <v>#REF!</v>
      </c>
      <c r="H104" s="63"/>
      <c r="I104" s="63" t="e">
        <f>IF(SAISIE!#REF!="","",SAISIE!$Q16)</f>
        <v>#REF!</v>
      </c>
      <c r="J104" s="71" t="str">
        <f>IF(COUNTBLANK(SAISIE!$J$6:$M$6)=4,"",IF(SAISIE!#REF!="","",IF(SAISIE!J16&gt;0,SAISIE!$J$6,IF(SAISIE!K16&gt;0,SAISIE!$K$6,IF(SAISIE!L16&gt;0,SAISIE!$L$6,IF(SAISIE!M16&gt;0,SAISIE!$M$6,""))))))</f>
        <v/>
      </c>
      <c r="O104" s="59" t="s">
        <v>55</v>
      </c>
    </row>
    <row r="105" spans="1:15" x14ac:dyDescent="0.25">
      <c r="A105" s="63" t="e">
        <f>IF(AND(G105="",H105=""),"SUPPR",SAISIE!$B$3)</f>
        <v>#REF!</v>
      </c>
      <c r="B105" s="63" t="e">
        <f>IF(SAISIE!#REF!="","",IF(LEN(SAISIE!B16)=1,CONCATENATE("0",SAISIE!B16,"/",SAISIE!$B$4,"/",SAISIE!$B$5),CONCATENATE(SAISIE!B16,"/",SAISIE!$B$4,"/",SAISIE!$B$5)))</f>
        <v>#REF!</v>
      </c>
      <c r="C105" s="63" t="e">
        <f>IF(SAISIE!#REF!="","",SAISIE!#REF!)</f>
        <v>#REF!</v>
      </c>
      <c r="D105" s="63" t="e">
        <f>IF(SAISIE!#REF!="","",SAISIE!E16)</f>
        <v>#REF!</v>
      </c>
      <c r="E105" s="63" t="e">
        <f>IF(SAISIE!#REF!="","",SAISIE!F16)</f>
        <v>#REF!</v>
      </c>
      <c r="F105" s="70" t="e">
        <f>IF(SAISIE!#REF!="","",IF(SAISIE!$N16="","",SAISIE!$N16))</f>
        <v>#REF!</v>
      </c>
      <c r="G105" s="63" t="e">
        <f>IF(SAISIE!#REF!="","",SAISIE!#REF!)</f>
        <v>#REF!</v>
      </c>
      <c r="H105" s="63"/>
      <c r="I105" s="63" t="e">
        <f>IF(SAISIE!#REF!="","",SAISIE!$Q16)</f>
        <v>#REF!</v>
      </c>
      <c r="J105" s="71" t="str">
        <f>IF(COUNTBLANK(SAISIE!$J$6:$M$6)=4,"",IF(SAISIE!#REF!="","",IF(SAISIE!J16&gt;0,SAISIE!$J$6,IF(SAISIE!K16&gt;0,SAISIE!$K$6,IF(SAISIE!L16&gt;0,SAISIE!$L$6,IF(SAISIE!M16&gt;0,SAISIE!$M$6,""))))))</f>
        <v/>
      </c>
      <c r="O105" s="59" t="s">
        <v>56</v>
      </c>
    </row>
    <row r="106" spans="1:15" x14ac:dyDescent="0.25">
      <c r="A106" s="63" t="e">
        <f>IF(AND(G106="",H106=""),"SUPPR",SAISIE!$B$3)</f>
        <v>#REF!</v>
      </c>
      <c r="B106" s="63" t="e">
        <f>IF(SAISIE!#REF!="","",IF(LEN(SAISIE!B16)=1,CONCATENATE("0",SAISIE!B16,"/",SAISIE!$B$4,"/",SAISIE!$B$5),CONCATENATE(SAISIE!B16,"/",SAISIE!$B$4,"/",SAISIE!$B$5)))</f>
        <v>#REF!</v>
      </c>
      <c r="C106" s="63" t="e">
        <f>IF(SAISIE!#REF!="","",SAISIE!#REF!)</f>
        <v>#REF!</v>
      </c>
      <c r="D106" s="63" t="e">
        <f>IF(SAISIE!#REF!="","",SAISIE!E16)</f>
        <v>#REF!</v>
      </c>
      <c r="E106" s="63" t="e">
        <f>IF(SAISIE!#REF!="","",SAISIE!F16)</f>
        <v>#REF!</v>
      </c>
      <c r="F106" s="70" t="e">
        <f>IF(SAISIE!#REF!="","",IF(SAISIE!$N16="","",SAISIE!$N16))</f>
        <v>#REF!</v>
      </c>
      <c r="G106" s="63" t="e">
        <f>IF(SAISIE!#REF!="","",SAISIE!#REF!)</f>
        <v>#REF!</v>
      </c>
      <c r="H106" s="63"/>
      <c r="I106" s="63" t="e">
        <f>IF(SAISIE!#REF!="","",SAISIE!$Q16)</f>
        <v>#REF!</v>
      </c>
      <c r="J106" s="71" t="str">
        <f>IF(COUNTBLANK(SAISIE!$J$6:$M$6)=4,"",IF(SAISIE!#REF!="","",IF(SAISIE!J16&gt;0,SAISIE!$J$6,IF(SAISIE!K16&gt;0,SAISIE!$K$6,IF(SAISIE!L16&gt;0,SAISIE!$L$6,IF(SAISIE!M16&gt;0,SAISIE!$M$6,""))))))</f>
        <v/>
      </c>
      <c r="O106" s="59" t="s">
        <v>57</v>
      </c>
    </row>
    <row r="107" spans="1:15" x14ac:dyDescent="0.25">
      <c r="A107" s="63" t="e">
        <f>IF(AND(G107="",H107=""),"SUPPR",SAISIE!$B$3)</f>
        <v>#REF!</v>
      </c>
      <c r="B107" s="63" t="e">
        <f>IF(SAISIE!#REF!="","",IF(LEN(SAISIE!B16)=1,CONCATENATE("0",SAISIE!B16,"/",SAISIE!$B$4,"/",SAISIE!$B$5),CONCATENATE(SAISIE!B16,"/",SAISIE!$B$4,"/",SAISIE!$B$5)))</f>
        <v>#REF!</v>
      </c>
      <c r="C107" s="63" t="e">
        <f>IF(SAISIE!#REF!="","",SAISIE!#REF!)</f>
        <v>#REF!</v>
      </c>
      <c r="D107" s="63" t="e">
        <f>IF(SAISIE!#REF!="","",SAISIE!E16)</f>
        <v>#REF!</v>
      </c>
      <c r="E107" s="63" t="e">
        <f>IF(SAISIE!#REF!="","",SAISIE!F16)</f>
        <v>#REF!</v>
      </c>
      <c r="F107" s="70" t="e">
        <f>IF(SAISIE!#REF!="","",IF(SAISIE!$N16="","",SAISIE!$N16))</f>
        <v>#REF!</v>
      </c>
      <c r="G107" s="63" t="e">
        <f>IF(SAISIE!#REF!="","",SAISIE!#REF!)</f>
        <v>#REF!</v>
      </c>
      <c r="H107" s="63"/>
      <c r="I107" s="63" t="e">
        <f>IF(SAISIE!#REF!="","",SAISIE!$Q16)</f>
        <v>#REF!</v>
      </c>
      <c r="J107" s="71" t="str">
        <f>IF(COUNTBLANK(SAISIE!$J$6:$M$6)=4,"",IF(SAISIE!#REF!="","",IF(SAISIE!J16&gt;0,SAISIE!$J$6,IF(SAISIE!K16&gt;0,SAISIE!$K$6,IF(SAISIE!L16&gt;0,SAISIE!$L$6,IF(SAISIE!M16&gt;0,SAISIE!$M$6,""))))))</f>
        <v/>
      </c>
      <c r="O107" s="59" t="s">
        <v>58</v>
      </c>
    </row>
    <row r="108" spans="1:15" x14ac:dyDescent="0.25">
      <c r="A108" s="63" t="e">
        <f>IF(AND(G108="",H108=""),"SUPPR",SAISIE!$B$3)</f>
        <v>#REF!</v>
      </c>
      <c r="B108" s="63" t="e">
        <f>IF(SAISIE!#REF!="","",IF(LEN(SAISIE!B16)=1,CONCATENATE("0",SAISIE!B16,"/",SAISIE!$B$4,"/",SAISIE!$B$5),CONCATENATE(SAISIE!B16,"/",SAISIE!$B$4,"/",SAISIE!$B$5)))</f>
        <v>#REF!</v>
      </c>
      <c r="C108" s="63" t="e">
        <f>IF(SAISIE!#REF!="","",SAISIE!#REF!)</f>
        <v>#REF!</v>
      </c>
      <c r="D108" s="63" t="e">
        <f>IF(SAISIE!#REF!="","",SAISIE!E16)</f>
        <v>#REF!</v>
      </c>
      <c r="E108" s="63" t="e">
        <f>IF(SAISIE!#REF!="","",SAISIE!F16)</f>
        <v>#REF!</v>
      </c>
      <c r="F108" s="70" t="e">
        <f>IF(SAISIE!#REF!="","",IF(SAISIE!$N16="","",SAISIE!$N16))</f>
        <v>#REF!</v>
      </c>
      <c r="G108" s="63" t="e">
        <f>IF(SAISIE!#REF!="","",SAISIE!#REF!)</f>
        <v>#REF!</v>
      </c>
      <c r="H108" s="63"/>
      <c r="I108" s="63" t="e">
        <f>IF(SAISIE!#REF!="","",SAISIE!$Q16)</f>
        <v>#REF!</v>
      </c>
      <c r="J108" s="71" t="str">
        <f>IF(COUNTBLANK(SAISIE!$J$6:$M$6)=4,"",IF(SAISIE!#REF!="","",IF(SAISIE!J16&gt;0,SAISIE!$J$6,IF(SAISIE!K16&gt;0,SAISIE!$K$6,IF(SAISIE!L16&gt;0,SAISIE!$L$6,IF(SAISIE!M16&gt;0,SAISIE!$M$6,""))))))</f>
        <v/>
      </c>
      <c r="O108" s="59" t="s">
        <v>59</v>
      </c>
    </row>
    <row r="109" spans="1:15" x14ac:dyDescent="0.25">
      <c r="A109" s="63" t="e">
        <f>IF(AND(G109="",H109=""),"SUPPR",SAISIE!$B$3)</f>
        <v>#REF!</v>
      </c>
      <c r="B109" s="63" t="e">
        <f>IF(SAISIE!#REF!="","",IF(LEN(SAISIE!B16)=1,CONCATENATE("0",SAISIE!B16,"/",SAISIE!$B$4,"/",SAISIE!$B$5),CONCATENATE(SAISIE!B16,"/",SAISIE!$B$4,"/",SAISIE!$B$5)))</f>
        <v>#REF!</v>
      </c>
      <c r="C109" s="63" t="e">
        <f>IF(SAISIE!#REF!="","",SAISIE!#REF!)</f>
        <v>#REF!</v>
      </c>
      <c r="D109" s="63" t="e">
        <f>IF(SAISIE!#REF!="","",SAISIE!E16)</f>
        <v>#REF!</v>
      </c>
      <c r="E109" s="63" t="e">
        <f>IF(SAISIE!#REF!="","",SAISIE!F16)</f>
        <v>#REF!</v>
      </c>
      <c r="F109" s="70" t="e">
        <f>IF(SAISIE!#REF!="","",IF(SAISIE!$N16="","",SAISIE!$N16))</f>
        <v>#REF!</v>
      </c>
      <c r="G109" s="63" t="e">
        <f>IF(SAISIE!#REF!="","",SAISIE!#REF!)</f>
        <v>#REF!</v>
      </c>
      <c r="H109" s="63"/>
      <c r="I109" s="63" t="e">
        <f>IF(SAISIE!#REF!="","",SAISIE!$Q16)</f>
        <v>#REF!</v>
      </c>
      <c r="J109" s="71" t="str">
        <f>IF(COUNTBLANK(SAISIE!$J$6:$M$6)=4,"",IF(SAISIE!#REF!="","",IF(SAISIE!J16&gt;0,SAISIE!$J$6,IF(SAISIE!K16&gt;0,SAISIE!$K$6,IF(SAISIE!L16&gt;0,SAISIE!$L$6,IF(SAISIE!M16&gt;0,SAISIE!$M$6,""))))))</f>
        <v/>
      </c>
      <c r="O109" s="59" t="s">
        <v>60</v>
      </c>
    </row>
    <row r="110" spans="1:15" x14ac:dyDescent="0.25">
      <c r="A110" s="63" t="str">
        <f>IF(AND(G110="",H110=""),"SUPPR",SAISIE!$B$3)</f>
        <v>SUPPR</v>
      </c>
      <c r="B110" s="63" t="str">
        <f>IF(SAISIE!J16="","",IF(LEN(SAISIE!B16)=1,CONCATENATE("0",SAISIE!B16,"/",SAISIE!$B$4,"/",SAISIE!$B$5),CONCATENATE(SAISIE!B16,"/",SAISIE!$B$4,"/",SAISIE!$B$5)))</f>
        <v/>
      </c>
      <c r="C110" s="63" t="str">
        <f>IF(SAISIE!J16="","",SAISIE!$J$8)</f>
        <v/>
      </c>
      <c r="D110" s="63" t="str">
        <f>IF(SAISIE!J16="","",SAISIE!E16)</f>
        <v/>
      </c>
      <c r="E110" s="63" t="str">
        <f>IF(SAISIE!J16="","",SAISIE!F16)</f>
        <v/>
      </c>
      <c r="F110" s="70" t="str">
        <f>IF(SAISIE!$J16="","",IF(SAISIE!$N16="","",SAISIE!$N16))</f>
        <v/>
      </c>
      <c r="G110" s="63" t="str">
        <f>IF(SAISIE!J16="","",SAISIE!J16)</f>
        <v/>
      </c>
      <c r="H110" s="63"/>
      <c r="I110" s="72"/>
      <c r="J110" s="71"/>
      <c r="O110" s="73"/>
    </row>
    <row r="111" spans="1:15" x14ac:dyDescent="0.25">
      <c r="A111" s="63" t="str">
        <f>IF(AND(G111="",H111=""),"SUPPR",SAISIE!$B$3)</f>
        <v>SUPPR</v>
      </c>
      <c r="B111" s="63" t="str">
        <f>IF(SAISIE!K16="","",IF(LEN(SAISIE!B16)=1,CONCATENATE("0",SAISIE!B16,"/",SAISIE!$B$4,"/",SAISIE!$B$5),CONCATENATE(SAISIE!B16,"/",SAISIE!$B$4,"/",SAISIE!$B$5)))</f>
        <v/>
      </c>
      <c r="C111" s="63" t="str">
        <f>IF(SAISIE!K16="","",SAISIE!$K$8)</f>
        <v/>
      </c>
      <c r="D111" s="63" t="str">
        <f>IF(SAISIE!K16="","",SAISIE!E16)</f>
        <v/>
      </c>
      <c r="E111" s="63" t="str">
        <f>IF(SAISIE!K16="","",SAISIE!F16)</f>
        <v/>
      </c>
      <c r="F111" s="70" t="str">
        <f>IF(SAISIE!$K16="","",IF(SAISIE!$N16="","",SAISIE!$N16))</f>
        <v/>
      </c>
      <c r="G111" s="63" t="str">
        <f>IF(SAISIE!K16="","",SAISIE!K16)</f>
        <v/>
      </c>
      <c r="H111" s="63"/>
      <c r="I111" s="72"/>
      <c r="J111" s="71"/>
    </row>
    <row r="112" spans="1:15" x14ac:dyDescent="0.25">
      <c r="A112" s="63" t="str">
        <f>IF(AND(G112="",H112=""),"SUPPR",SAISIE!$B$3)</f>
        <v>SUPPR</v>
      </c>
      <c r="B112" s="63" t="str">
        <f>IF(SAISIE!L16="","",IF(LEN(SAISIE!B16)=1,CONCATENATE("0",SAISIE!B16,"/",SAISIE!$B$4,"/",SAISIE!$B$5),CONCATENATE(SAISIE!B16,"/",SAISIE!$B$4,"/",SAISIE!$B$5)))</f>
        <v/>
      </c>
      <c r="C112" s="63" t="str">
        <f>IF(SAISIE!L16="","",SAISIE!$L$8)</f>
        <v/>
      </c>
      <c r="D112" s="63" t="str">
        <f>IF(SAISIE!L16="","",SAISIE!E16)</f>
        <v/>
      </c>
      <c r="E112" s="63" t="str">
        <f>IF(SAISIE!L16="","",SAISIE!F16)</f>
        <v/>
      </c>
      <c r="F112" s="70" t="str">
        <f>IF(SAISIE!$L16="","",IF(SAISIE!$N16="","",SAISIE!$N16))</f>
        <v/>
      </c>
      <c r="G112" s="63" t="str">
        <f>IF(SAISIE!L16="","",SAISIE!L16)</f>
        <v/>
      </c>
      <c r="H112" s="63"/>
      <c r="I112" s="72"/>
      <c r="J112" s="71"/>
    </row>
    <row r="113" spans="1:15" x14ac:dyDescent="0.25">
      <c r="A113" s="63" t="str">
        <f>IF(AND(G113="",H113=""),"SUPPR",SAISIE!$B$3)</f>
        <v>SUPPR</v>
      </c>
      <c r="B113" s="63" t="str">
        <f>IF(SAISIE!M16="","",IF(LEN(SAISIE!B16)=1,CONCATENATE("0",SAISIE!B16,"/",SAISIE!$B$4,"/",SAISIE!$B$5),CONCATENATE(SAISIE!B16,"/",SAISIE!$B$4,"/",SAISIE!$B$5)))</f>
        <v/>
      </c>
      <c r="C113" s="74" t="str">
        <f>IF(SAISIE!M16="","",SAISIE!$M$8)</f>
        <v/>
      </c>
      <c r="D113" s="74" t="str">
        <f>IF(SAISIE!M16="","",SAISIE!E16)</f>
        <v/>
      </c>
      <c r="E113" s="74" t="str">
        <f>IF(SAISIE!M16="","",SAISIE!F16)</f>
        <v/>
      </c>
      <c r="F113" s="75" t="str">
        <f>IF(SAISIE!$M16="","",IF(SAISIE!$N16="","",SAISIE!$N16))</f>
        <v/>
      </c>
      <c r="G113" s="74" t="str">
        <f>IF(SAISIE!M16="","",SAISIE!M16)</f>
        <v/>
      </c>
      <c r="H113" s="76"/>
      <c r="I113" s="77"/>
      <c r="J113" s="78"/>
    </row>
    <row r="114" spans="1:15" x14ac:dyDescent="0.25">
      <c r="A114" s="63" t="str">
        <f>IF(AND(G114="",H114=""),"SUPPR",SAISIE!$B$3)</f>
        <v>SUPPR</v>
      </c>
      <c r="B114" s="64" t="str">
        <f>IF(SAISIE!B17="","",IF(LEN(SAISIE!B17)=1,CONCATENATE("0",SAISIE!B17,"/",SAISIE!$B$4,"/",SAISIE!$B$5),CONCATENATE(SAISIE!B17,"/",SAISIE!$B$4,"/",SAISIE!$B$5)))</f>
        <v/>
      </c>
      <c r="C114" s="64" t="str">
        <f>IF(SAISIE!B17="","",CONCATENATE($M$2,SAISIE!C17))</f>
        <v/>
      </c>
      <c r="D114" s="64" t="str">
        <f>IF(SAISIE!B17="","",SAISIE!E17)</f>
        <v/>
      </c>
      <c r="E114" s="64" t="str">
        <f>IF(SAISIE!B17="","",SAISIE!F17)</f>
        <v/>
      </c>
      <c r="F114" s="65" t="str">
        <f>IF(A114="SUPPR","",IF(SAISIE!N17="","",SAISIE!N17))</f>
        <v/>
      </c>
      <c r="G114" s="64"/>
      <c r="H114" s="64" t="str">
        <f>IF(SAISIE!B17="","",SAISIE!D17)</f>
        <v/>
      </c>
      <c r="I114" s="66"/>
      <c r="J114" s="67" t="str">
        <f>IF(AZ17="","","")</f>
        <v/>
      </c>
      <c r="O114" s="69">
        <f>O98+1</f>
        <v>17</v>
      </c>
    </row>
    <row r="115" spans="1:15" x14ac:dyDescent="0.25">
      <c r="A115" s="63" t="str">
        <f>IF(AND(G115="",H115=""),"SUPPR",SAISIE!$B$3)</f>
        <v>SUPPR</v>
      </c>
      <c r="B115" s="63" t="str">
        <f>IF(SAISIE!P17="","",IF(LEN(SAISIE!B17)=1,CONCATENATE("0",SAISIE!B17,"/",SAISIE!$B$4,"/",SAISIE!$B$5),CONCATENATE(SAISIE!B17,"/",SAISIE!$B$4,"/",SAISIE!$B$5)))</f>
        <v/>
      </c>
      <c r="C115" s="63" t="str">
        <f>IF(SAISIE!P17="","",SAISIE!O17)</f>
        <v/>
      </c>
      <c r="D115" s="63" t="str">
        <f>IF(SAISIE!P17="","",SAISIE!E17)</f>
        <v/>
      </c>
      <c r="E115" s="63" t="str">
        <f>IF(SAISIE!P17="","",SAISIE!F17)</f>
        <v/>
      </c>
      <c r="F115" s="70" t="str">
        <f>IF(SAISIE!$P17="","",IF(SAISIE!$N17="","",SAISIE!$N17))</f>
        <v/>
      </c>
      <c r="G115" s="63" t="str">
        <f>IF(SAISIE!P17="","",SAISIE!P17)</f>
        <v/>
      </c>
      <c r="H115" s="63"/>
      <c r="I115" s="63" t="str">
        <f>IF(SAISIE!$P17="","",SAISIE!$Q17)</f>
        <v/>
      </c>
      <c r="J115" s="71" t="str">
        <f>IF(COUNTBLANK(SAISIE!$J$6:$M$6)=4,"",IF(SAISIE!P17="","",IF(SAISIE!J17&gt;0,SAISIE!$J$6,IF(SAISIE!K17&gt;0,SAISIE!$K$6,IF(SAISIE!L17&gt;0,SAISIE!$L$6,IF(SAISIE!M17&gt;0,SAISIE!$M$6,""))))))</f>
        <v/>
      </c>
      <c r="O115" s="59" t="s">
        <v>50</v>
      </c>
    </row>
    <row r="116" spans="1:15" x14ac:dyDescent="0.25">
      <c r="A116" s="63" t="str">
        <f>IF(AND(G116="",H116=""),"SUPPR",SAISIE!$B$3)</f>
        <v>SUPPR</v>
      </c>
      <c r="B116" s="63" t="str">
        <f>IF(SAISIE!G17="","",IF(LEN(SAISIE!B17)=1,CONCATENATE("0",SAISIE!B17,"/",SAISIE!$B$4,"/",SAISIE!$B$5),CONCATENATE(SAISIE!B17,"/",SAISIE!$B$4,"/",SAISIE!$B$5)))</f>
        <v/>
      </c>
      <c r="C116" s="63" t="str">
        <f>IF(SAISIE!G17="","",SAISIE!$G$8)</f>
        <v/>
      </c>
      <c r="D116" s="63" t="str">
        <f>IF(SAISIE!G17="","",SAISIE!E17)</f>
        <v/>
      </c>
      <c r="E116" s="63" t="str">
        <f>IF(SAISIE!G17="","",SAISIE!F17)</f>
        <v/>
      </c>
      <c r="F116" s="70" t="str">
        <f>IF(SAISIE!$G17="","",IF(SAISIE!$N17="","",SAISIE!$N17))</f>
        <v/>
      </c>
      <c r="G116" s="63" t="str">
        <f>IF(SAISIE!G17="","",SAISIE!G17)</f>
        <v/>
      </c>
      <c r="H116" s="63"/>
      <c r="I116" s="63" t="str">
        <f>IF(SAISIE!$G17="","",SAISIE!$Q17)</f>
        <v/>
      </c>
      <c r="J116" s="71" t="str">
        <f>IF(COUNTBLANK(SAISIE!$J$6:$M$6)=4,"",IF(SAISIE!G17="","",IF(SAISIE!J17&gt;0,SAISIE!$J$6,IF(SAISIE!K17&gt;0,SAISIE!$K$6,IF(SAISIE!L17&gt;0,SAISIE!$L$6,IF(SAISIE!M17&gt;0,SAISIE!$M$6,""))))))</f>
        <v/>
      </c>
      <c r="O116" s="59" t="s">
        <v>51</v>
      </c>
    </row>
    <row r="117" spans="1:15" x14ac:dyDescent="0.25">
      <c r="A117" s="63" t="str">
        <f>IF(AND(G117="",H117=""),"SUPPR",SAISIE!$B$3)</f>
        <v>SUPPR</v>
      </c>
      <c r="B117" s="63" t="str">
        <f>IF(SAISIE!H17="","",IF(LEN(SAISIE!B17)=1,CONCATENATE("0",SAISIE!B17,"/",SAISIE!$B$4,"/",SAISIE!$B$5),CONCATENATE(SAISIE!B17,"/",SAISIE!$B$4,"/",SAISIE!$B$5)))</f>
        <v/>
      </c>
      <c r="C117" s="63" t="str">
        <f>IF(SAISIE!H17="","",SAISIE!$H$8)</f>
        <v/>
      </c>
      <c r="D117" s="63" t="str">
        <f>IF(SAISIE!H17="","",SAISIE!E17)</f>
        <v/>
      </c>
      <c r="E117" s="63" t="str">
        <f>IF(SAISIE!H17="","",SAISIE!F17)</f>
        <v/>
      </c>
      <c r="F117" s="70" t="str">
        <f>IF(SAISIE!$H17="","",IF(SAISIE!$N17="","",SAISIE!$N17))</f>
        <v/>
      </c>
      <c r="G117" s="63" t="str">
        <f>IF(SAISIE!H17="","",SAISIE!H17)</f>
        <v/>
      </c>
      <c r="H117" s="63"/>
      <c r="I117" s="63" t="str">
        <f>IF(SAISIE!$H17="","",SAISIE!$Q17)</f>
        <v/>
      </c>
      <c r="J117" s="71" t="str">
        <f>IF(COUNTBLANK(SAISIE!$J$6:$M$6)=4,"",IF(SAISIE!H17="","",IF(SAISIE!J17&gt;0,SAISIE!$J$6,IF(SAISIE!K17&gt;0,SAISIE!$K$6,IF(SAISIE!L17&gt;0,SAISIE!$L$6,IF(SAISIE!M17&gt;0,SAISIE!$M$6,""))))))</f>
        <v/>
      </c>
      <c r="O117" s="59" t="s">
        <v>52</v>
      </c>
    </row>
    <row r="118" spans="1:15" x14ac:dyDescent="0.25">
      <c r="A118" s="63" t="str">
        <f>IF(AND(G118="",H118=""),"SUPPR",SAISIE!$B$3)</f>
        <v>SUPPR</v>
      </c>
      <c r="B118" s="63" t="str">
        <f>IF(SAISIE!I17="","",IF(LEN(SAISIE!B17)=1,CONCATENATE("0",SAISIE!B17,"/",SAISIE!$B$4,"/",SAISIE!$B$5),CONCATENATE(SAISIE!B17,"/",SAISIE!$B$4,"/",SAISIE!$B$5)))</f>
        <v/>
      </c>
      <c r="C118" s="63" t="str">
        <f>IF(SAISIE!I17="","",SAISIE!$I$8)</f>
        <v/>
      </c>
      <c r="D118" s="63" t="str">
        <f>IF(SAISIE!I17="","",SAISIE!E17)</f>
        <v/>
      </c>
      <c r="E118" s="63" t="str">
        <f>IF(SAISIE!I17="","",SAISIE!F17)</f>
        <v/>
      </c>
      <c r="F118" s="70" t="str">
        <f>IF(SAISIE!$I17="","",IF(SAISIE!$N17="","",SAISIE!$N17))</f>
        <v/>
      </c>
      <c r="G118" s="63" t="str">
        <f>IF(SAISIE!I17="","",SAISIE!I17)</f>
        <v/>
      </c>
      <c r="H118" s="63"/>
      <c r="I118" s="63" t="str">
        <f>IF(SAISIE!$I17="","",SAISIE!$Q17)</f>
        <v/>
      </c>
      <c r="J118" s="71" t="str">
        <f>IF(COUNTBLANK(SAISIE!$J$6:$M$6)=4,"",IF(SAISIE!I17="","",IF(SAISIE!J17&gt;0,SAISIE!$J$6,IF(SAISIE!K17&gt;0,SAISIE!$K$6,IF(SAISIE!L17&gt;0,SAISIE!$L$6,IF(SAISIE!M17&gt;0,SAISIE!$M$6,""))))))</f>
        <v/>
      </c>
      <c r="O118" s="59" t="s">
        <v>53</v>
      </c>
    </row>
    <row r="119" spans="1:15" x14ac:dyDescent="0.25">
      <c r="A119" s="63" t="e">
        <f>IF(AND(G119="",H119=""),"SUPPR",SAISIE!$B$3)</f>
        <v>#REF!</v>
      </c>
      <c r="B119" s="63" t="e">
        <f>IF(SAISIE!#REF!="","",IF(LEN(SAISIE!B17)=1,CONCATENATE("0",SAISIE!B17,"/",SAISIE!$B$4,"/",SAISIE!$B$5),CONCATENATE(SAISIE!B17,"/",SAISIE!$B$4,"/",SAISIE!$B$5)))</f>
        <v>#REF!</v>
      </c>
      <c r="C119" s="63" t="e">
        <f>IF(SAISIE!#REF!="","",SAISIE!#REF!)</f>
        <v>#REF!</v>
      </c>
      <c r="D119" s="63" t="e">
        <f>IF(SAISIE!#REF!="","",SAISIE!E17)</f>
        <v>#REF!</v>
      </c>
      <c r="E119" s="63" t="e">
        <f>IF(SAISIE!#REF!="","",SAISIE!F17)</f>
        <v>#REF!</v>
      </c>
      <c r="F119" s="70" t="e">
        <f>IF(SAISIE!#REF!="","",IF(SAISIE!$N17="","",SAISIE!$N17))</f>
        <v>#REF!</v>
      </c>
      <c r="G119" s="63" t="e">
        <f>IF(SAISIE!#REF!="","",SAISIE!#REF!)</f>
        <v>#REF!</v>
      </c>
      <c r="H119" s="63"/>
      <c r="I119" s="63" t="e">
        <f>IF(SAISIE!#REF!="","",SAISIE!$Q17)</f>
        <v>#REF!</v>
      </c>
      <c r="J119" s="71" t="str">
        <f>IF(COUNTBLANK(SAISIE!$J$6:$M$6)=4,"",IF(SAISIE!#REF!="","",IF(SAISIE!J17&gt;0,SAISIE!$J$6,IF(SAISIE!K17&gt;0,SAISIE!$K$6,IF(SAISIE!L17&gt;0,SAISIE!$L$6,IF(SAISIE!M17&gt;0,SAISIE!$M$6,""))))))</f>
        <v/>
      </c>
      <c r="O119" s="59" t="s">
        <v>54</v>
      </c>
    </row>
    <row r="120" spans="1:15" x14ac:dyDescent="0.25">
      <c r="A120" s="63" t="e">
        <f>IF(AND(G120="",H120=""),"SUPPR",SAISIE!$B$3)</f>
        <v>#REF!</v>
      </c>
      <c r="B120" s="63" t="e">
        <f>IF(SAISIE!#REF!="","",IF(LEN(SAISIE!B17)=1,CONCATENATE("0",SAISIE!B17,"/",SAISIE!$B$4,"/",SAISIE!$B$5),CONCATENATE(SAISIE!B17,"/",SAISIE!$B$4,"/",SAISIE!$B$5)))</f>
        <v>#REF!</v>
      </c>
      <c r="C120" s="63" t="e">
        <f>IF(SAISIE!#REF!="","",SAISIE!#REF!)</f>
        <v>#REF!</v>
      </c>
      <c r="D120" s="63" t="e">
        <f>IF(SAISIE!#REF!="","",SAISIE!E17)</f>
        <v>#REF!</v>
      </c>
      <c r="E120" s="63" t="e">
        <f>IF(SAISIE!#REF!="","",SAISIE!F17)</f>
        <v>#REF!</v>
      </c>
      <c r="F120" s="70" t="e">
        <f>IF(SAISIE!#REF!="","",IF(SAISIE!$N17="","",SAISIE!$N17))</f>
        <v>#REF!</v>
      </c>
      <c r="G120" s="63" t="e">
        <f>IF(SAISIE!#REF!="","",SAISIE!#REF!)</f>
        <v>#REF!</v>
      </c>
      <c r="H120" s="63"/>
      <c r="I120" s="63" t="e">
        <f>IF(SAISIE!#REF!="","",SAISIE!$Q17)</f>
        <v>#REF!</v>
      </c>
      <c r="J120" s="71" t="str">
        <f>IF(COUNTBLANK(SAISIE!$J$6:$M$6)=4,"",IF(SAISIE!#REF!="","",IF(SAISIE!J17&gt;0,SAISIE!$J$6,IF(SAISIE!K17&gt;0,SAISIE!$K$6,IF(SAISIE!L17&gt;0,SAISIE!$L$6,IF(SAISIE!M17&gt;0,SAISIE!$M$6,""))))))</f>
        <v/>
      </c>
      <c r="O120" s="59" t="s">
        <v>55</v>
      </c>
    </row>
    <row r="121" spans="1:15" x14ac:dyDescent="0.25">
      <c r="A121" s="63" t="e">
        <f>IF(AND(G121="",H121=""),"SUPPR",SAISIE!$B$3)</f>
        <v>#REF!</v>
      </c>
      <c r="B121" s="63" t="e">
        <f>IF(SAISIE!#REF!="","",IF(LEN(SAISIE!B17)=1,CONCATENATE("0",SAISIE!B17,"/",SAISIE!$B$4,"/",SAISIE!$B$5),CONCATENATE(SAISIE!B17,"/",SAISIE!$B$4,"/",SAISIE!$B$5)))</f>
        <v>#REF!</v>
      </c>
      <c r="C121" s="63" t="e">
        <f>IF(SAISIE!#REF!="","",SAISIE!#REF!)</f>
        <v>#REF!</v>
      </c>
      <c r="D121" s="63" t="e">
        <f>IF(SAISIE!#REF!="","",SAISIE!E17)</f>
        <v>#REF!</v>
      </c>
      <c r="E121" s="63" t="e">
        <f>IF(SAISIE!#REF!="","",SAISIE!F17)</f>
        <v>#REF!</v>
      </c>
      <c r="F121" s="70" t="e">
        <f>IF(SAISIE!#REF!="","",IF(SAISIE!$N17="","",SAISIE!$N17))</f>
        <v>#REF!</v>
      </c>
      <c r="G121" s="63" t="e">
        <f>IF(SAISIE!#REF!="","",SAISIE!#REF!)</f>
        <v>#REF!</v>
      </c>
      <c r="H121" s="63"/>
      <c r="I121" s="63" t="e">
        <f>IF(SAISIE!#REF!="","",SAISIE!$Q17)</f>
        <v>#REF!</v>
      </c>
      <c r="J121" s="71" t="str">
        <f>IF(COUNTBLANK(SAISIE!$J$6:$M$6)=4,"",IF(SAISIE!#REF!="","",IF(SAISIE!J17&gt;0,SAISIE!$J$6,IF(SAISIE!K17&gt;0,SAISIE!$K$6,IF(SAISIE!L17&gt;0,SAISIE!$L$6,IF(SAISIE!M17&gt;0,SAISIE!$M$6,""))))))</f>
        <v/>
      </c>
      <c r="O121" s="59" t="s">
        <v>56</v>
      </c>
    </row>
    <row r="122" spans="1:15" x14ac:dyDescent="0.25">
      <c r="A122" s="63" t="e">
        <f>IF(AND(G122="",H122=""),"SUPPR",SAISIE!$B$3)</f>
        <v>#REF!</v>
      </c>
      <c r="B122" s="63" t="e">
        <f>IF(SAISIE!#REF!="","",IF(LEN(SAISIE!B17)=1,CONCATENATE("0",SAISIE!B17,"/",SAISIE!$B$4,"/",SAISIE!$B$5),CONCATENATE(SAISIE!B17,"/",SAISIE!$B$4,"/",SAISIE!$B$5)))</f>
        <v>#REF!</v>
      </c>
      <c r="C122" s="63" t="e">
        <f>IF(SAISIE!#REF!="","",SAISIE!#REF!)</f>
        <v>#REF!</v>
      </c>
      <c r="D122" s="63" t="e">
        <f>IF(SAISIE!#REF!="","",SAISIE!E17)</f>
        <v>#REF!</v>
      </c>
      <c r="E122" s="63" t="e">
        <f>IF(SAISIE!#REF!="","",SAISIE!F17)</f>
        <v>#REF!</v>
      </c>
      <c r="F122" s="70" t="e">
        <f>IF(SAISIE!#REF!="","",IF(SAISIE!$N17="","",SAISIE!$N17))</f>
        <v>#REF!</v>
      </c>
      <c r="G122" s="63" t="e">
        <f>IF(SAISIE!#REF!="","",SAISIE!#REF!)</f>
        <v>#REF!</v>
      </c>
      <c r="H122" s="63"/>
      <c r="I122" s="63" t="e">
        <f>IF(SAISIE!#REF!="","",SAISIE!$Q17)</f>
        <v>#REF!</v>
      </c>
      <c r="J122" s="71" t="str">
        <f>IF(COUNTBLANK(SAISIE!$J$6:$M$6)=4,"",IF(SAISIE!#REF!="","",IF(SAISIE!J17&gt;0,SAISIE!$J$6,IF(SAISIE!K17&gt;0,SAISIE!$K$6,IF(SAISIE!L17&gt;0,SAISIE!$L$6,IF(SAISIE!M17&gt;0,SAISIE!$M$6,""))))))</f>
        <v/>
      </c>
      <c r="O122" s="59" t="s">
        <v>57</v>
      </c>
    </row>
    <row r="123" spans="1:15" x14ac:dyDescent="0.25">
      <c r="A123" s="63" t="e">
        <f>IF(AND(G123="",H123=""),"SUPPR",SAISIE!$B$3)</f>
        <v>#REF!</v>
      </c>
      <c r="B123" s="63" t="e">
        <f>IF(SAISIE!#REF!="","",IF(LEN(SAISIE!B17)=1,CONCATENATE("0",SAISIE!B17,"/",SAISIE!$B$4,"/",SAISIE!$B$5),CONCATENATE(SAISIE!B17,"/",SAISIE!$B$4,"/",SAISIE!$B$5)))</f>
        <v>#REF!</v>
      </c>
      <c r="C123" s="63" t="e">
        <f>IF(SAISIE!#REF!="","",SAISIE!#REF!)</f>
        <v>#REF!</v>
      </c>
      <c r="D123" s="63" t="e">
        <f>IF(SAISIE!#REF!="","",SAISIE!E17)</f>
        <v>#REF!</v>
      </c>
      <c r="E123" s="63" t="e">
        <f>IF(SAISIE!#REF!="","",SAISIE!F17)</f>
        <v>#REF!</v>
      </c>
      <c r="F123" s="70" t="e">
        <f>IF(SAISIE!#REF!="","",IF(SAISIE!$N17="","",SAISIE!$N17))</f>
        <v>#REF!</v>
      </c>
      <c r="G123" s="63" t="e">
        <f>IF(SAISIE!#REF!="","",SAISIE!#REF!)</f>
        <v>#REF!</v>
      </c>
      <c r="H123" s="63"/>
      <c r="I123" s="63" t="e">
        <f>IF(SAISIE!#REF!="","",SAISIE!$Q17)</f>
        <v>#REF!</v>
      </c>
      <c r="J123" s="71" t="str">
        <f>IF(COUNTBLANK(SAISIE!$J$6:$M$6)=4,"",IF(SAISIE!#REF!="","",IF(SAISIE!J17&gt;0,SAISIE!$J$6,IF(SAISIE!K17&gt;0,SAISIE!$K$6,IF(SAISIE!L17&gt;0,SAISIE!$L$6,IF(SAISIE!M17&gt;0,SAISIE!$M$6,""))))))</f>
        <v/>
      </c>
      <c r="O123" s="59" t="s">
        <v>58</v>
      </c>
    </row>
    <row r="124" spans="1:15" x14ac:dyDescent="0.25">
      <c r="A124" s="63" t="e">
        <f>IF(AND(G124="",H124=""),"SUPPR",SAISIE!$B$3)</f>
        <v>#REF!</v>
      </c>
      <c r="B124" s="63" t="e">
        <f>IF(SAISIE!#REF!="","",IF(LEN(SAISIE!B17)=1,CONCATENATE("0",SAISIE!B17,"/",SAISIE!$B$4,"/",SAISIE!$B$5),CONCATENATE(SAISIE!B17,"/",SAISIE!$B$4,"/",SAISIE!$B$5)))</f>
        <v>#REF!</v>
      </c>
      <c r="C124" s="63" t="e">
        <f>IF(SAISIE!#REF!="","",SAISIE!#REF!)</f>
        <v>#REF!</v>
      </c>
      <c r="D124" s="63" t="e">
        <f>IF(SAISIE!#REF!="","",SAISIE!E17)</f>
        <v>#REF!</v>
      </c>
      <c r="E124" s="63" t="e">
        <f>IF(SAISIE!#REF!="","",SAISIE!F17)</f>
        <v>#REF!</v>
      </c>
      <c r="F124" s="70" t="e">
        <f>IF(SAISIE!#REF!="","",IF(SAISIE!$N17="","",SAISIE!$N17))</f>
        <v>#REF!</v>
      </c>
      <c r="G124" s="63" t="e">
        <f>IF(SAISIE!#REF!="","",SAISIE!#REF!)</f>
        <v>#REF!</v>
      </c>
      <c r="H124" s="63"/>
      <c r="I124" s="63" t="e">
        <f>IF(SAISIE!#REF!="","",SAISIE!$Q17)</f>
        <v>#REF!</v>
      </c>
      <c r="J124" s="71" t="str">
        <f>IF(COUNTBLANK(SAISIE!$J$6:$M$6)=4,"",IF(SAISIE!#REF!="","",IF(SAISIE!J17&gt;0,SAISIE!$J$6,IF(SAISIE!K17&gt;0,SAISIE!$K$6,IF(SAISIE!L17&gt;0,SAISIE!$L$6,IF(SAISIE!M17&gt;0,SAISIE!$M$6,""))))))</f>
        <v/>
      </c>
      <c r="O124" s="59" t="s">
        <v>59</v>
      </c>
    </row>
    <row r="125" spans="1:15" x14ac:dyDescent="0.25">
      <c r="A125" s="63" t="e">
        <f>IF(AND(G125="",H125=""),"SUPPR",SAISIE!$B$3)</f>
        <v>#REF!</v>
      </c>
      <c r="B125" s="63" t="e">
        <f>IF(SAISIE!#REF!="","",IF(LEN(SAISIE!B17)=1,CONCATENATE("0",SAISIE!B17,"/",SAISIE!$B$4,"/",SAISIE!$B$5),CONCATENATE(SAISIE!B17,"/",SAISIE!$B$4,"/",SAISIE!$B$5)))</f>
        <v>#REF!</v>
      </c>
      <c r="C125" s="63" t="e">
        <f>IF(SAISIE!#REF!="","",SAISIE!#REF!)</f>
        <v>#REF!</v>
      </c>
      <c r="D125" s="63" t="e">
        <f>IF(SAISIE!#REF!="","",SAISIE!E17)</f>
        <v>#REF!</v>
      </c>
      <c r="E125" s="63" t="e">
        <f>IF(SAISIE!#REF!="","",SAISIE!F17)</f>
        <v>#REF!</v>
      </c>
      <c r="F125" s="70" t="e">
        <f>IF(SAISIE!#REF!="","",IF(SAISIE!$N17="","",SAISIE!$N17))</f>
        <v>#REF!</v>
      </c>
      <c r="G125" s="63" t="e">
        <f>IF(SAISIE!#REF!="","",SAISIE!#REF!)</f>
        <v>#REF!</v>
      </c>
      <c r="H125" s="63"/>
      <c r="I125" s="63" t="e">
        <f>IF(SAISIE!#REF!="","",SAISIE!$Q17)</f>
        <v>#REF!</v>
      </c>
      <c r="J125" s="71" t="str">
        <f>IF(COUNTBLANK(SAISIE!$J$6:$M$6)=4,"",IF(SAISIE!#REF!="","",IF(SAISIE!J17&gt;0,SAISIE!$J$6,IF(SAISIE!K17&gt;0,SAISIE!$K$6,IF(SAISIE!L17&gt;0,SAISIE!$L$6,IF(SAISIE!M17&gt;0,SAISIE!$M$6,""))))))</f>
        <v/>
      </c>
      <c r="O125" s="59" t="s">
        <v>60</v>
      </c>
    </row>
    <row r="126" spans="1:15" x14ac:dyDescent="0.25">
      <c r="A126" s="63" t="str">
        <f>IF(AND(G126="",H126=""),"SUPPR",SAISIE!$B$3)</f>
        <v>SUPPR</v>
      </c>
      <c r="B126" s="63" t="str">
        <f>IF(SAISIE!J17="","",IF(LEN(SAISIE!B17)=1,CONCATENATE("0",SAISIE!B17,"/",SAISIE!$B$4,"/",SAISIE!$B$5),CONCATENATE(SAISIE!B17,"/",SAISIE!$B$4,"/",SAISIE!$B$5)))</f>
        <v/>
      </c>
      <c r="C126" s="63" t="str">
        <f>IF(SAISIE!J17="","",SAISIE!$J$8)</f>
        <v/>
      </c>
      <c r="D126" s="63" t="str">
        <f>IF(SAISIE!J17="","",SAISIE!E17)</f>
        <v/>
      </c>
      <c r="E126" s="63" t="str">
        <f>IF(SAISIE!J17="","",SAISIE!F17)</f>
        <v/>
      </c>
      <c r="F126" s="70" t="str">
        <f>IF(SAISIE!$J17="","",IF(SAISIE!$N17="","",SAISIE!$N17))</f>
        <v/>
      </c>
      <c r="G126" s="63" t="str">
        <f>IF(SAISIE!J17="","",SAISIE!J17)</f>
        <v/>
      </c>
      <c r="H126" s="63"/>
      <c r="I126" s="72"/>
      <c r="J126" s="71"/>
      <c r="O126" s="73"/>
    </row>
    <row r="127" spans="1:15" x14ac:dyDescent="0.25">
      <c r="A127" s="63" t="str">
        <f>IF(AND(G127="",H127=""),"SUPPR",SAISIE!$B$3)</f>
        <v>SUPPR</v>
      </c>
      <c r="B127" s="63" t="str">
        <f>IF(SAISIE!K17="","",IF(LEN(SAISIE!B17)=1,CONCATENATE("0",SAISIE!B17,"/",SAISIE!$B$4,"/",SAISIE!$B$5),CONCATENATE(SAISIE!B17,"/",SAISIE!$B$4,"/",SAISIE!$B$5)))</f>
        <v/>
      </c>
      <c r="C127" s="63" t="str">
        <f>IF(SAISIE!K17="","",SAISIE!$K$8)</f>
        <v/>
      </c>
      <c r="D127" s="63" t="str">
        <f>IF(SAISIE!K17="","",SAISIE!E17)</f>
        <v/>
      </c>
      <c r="E127" s="63" t="str">
        <f>IF(SAISIE!K17="","",SAISIE!F17)</f>
        <v/>
      </c>
      <c r="F127" s="70" t="str">
        <f>IF(SAISIE!$K17="","",IF(SAISIE!$N17="","",SAISIE!$N17))</f>
        <v/>
      </c>
      <c r="G127" s="63" t="str">
        <f>IF(SAISIE!K17="","",SAISIE!K17)</f>
        <v/>
      </c>
      <c r="H127" s="63"/>
      <c r="I127" s="72"/>
      <c r="J127" s="71"/>
    </row>
    <row r="128" spans="1:15" x14ac:dyDescent="0.25">
      <c r="A128" s="63" t="str">
        <f>IF(AND(G128="",H128=""),"SUPPR",SAISIE!$B$3)</f>
        <v>SUPPR</v>
      </c>
      <c r="B128" s="63" t="str">
        <f>IF(SAISIE!L17="","",IF(LEN(SAISIE!B17)=1,CONCATENATE("0",SAISIE!B17,"/",SAISIE!$B$4,"/",SAISIE!$B$5),CONCATENATE(SAISIE!B17,"/",SAISIE!$B$4,"/",SAISIE!$B$5)))</f>
        <v/>
      </c>
      <c r="C128" s="63" t="str">
        <f>IF(SAISIE!L17="","",SAISIE!$L$8)</f>
        <v/>
      </c>
      <c r="D128" s="63" t="str">
        <f>IF(SAISIE!L17="","",SAISIE!E17)</f>
        <v/>
      </c>
      <c r="E128" s="63" t="str">
        <f>IF(SAISIE!L17="","",SAISIE!F17)</f>
        <v/>
      </c>
      <c r="F128" s="70" t="str">
        <f>IF(SAISIE!$L17="","",IF(SAISIE!$N17="","",SAISIE!$N17))</f>
        <v/>
      </c>
      <c r="G128" s="63" t="str">
        <f>IF(SAISIE!L17="","",SAISIE!L17)</f>
        <v/>
      </c>
      <c r="H128" s="63"/>
      <c r="I128" s="72"/>
      <c r="J128" s="71"/>
    </row>
    <row r="129" spans="1:15" x14ac:dyDescent="0.25">
      <c r="A129" s="63" t="str">
        <f>IF(AND(G129="",H129=""),"SUPPR",SAISIE!$B$3)</f>
        <v>SUPPR</v>
      </c>
      <c r="B129" s="63" t="str">
        <f>IF(SAISIE!M17="","",IF(LEN(SAISIE!B17)=1,CONCATENATE("0",SAISIE!B17,"/",SAISIE!$B$4,"/",SAISIE!$B$5),CONCATENATE(SAISIE!B17,"/",SAISIE!$B$4,"/",SAISIE!$B$5)))</f>
        <v/>
      </c>
      <c r="C129" s="74" t="str">
        <f>IF(SAISIE!M17="","",SAISIE!$M$8)</f>
        <v/>
      </c>
      <c r="D129" s="74" t="str">
        <f>IF(SAISIE!M17="","",SAISIE!E17)</f>
        <v/>
      </c>
      <c r="E129" s="74" t="str">
        <f>IF(SAISIE!M17="","",SAISIE!F17)</f>
        <v/>
      </c>
      <c r="F129" s="75" t="str">
        <f>IF(SAISIE!$M17="","",IF(SAISIE!$N17="","",SAISIE!$N17))</f>
        <v/>
      </c>
      <c r="G129" s="74" t="str">
        <f>IF(SAISIE!M17="","",SAISIE!M17)</f>
        <v/>
      </c>
      <c r="H129" s="76"/>
      <c r="I129" s="77"/>
      <c r="J129" s="78"/>
    </row>
    <row r="130" spans="1:15" x14ac:dyDescent="0.25">
      <c r="A130" s="63" t="str">
        <f>IF(AND(G130="",H130=""),"SUPPR",SAISIE!$B$3)</f>
        <v>SUPPR</v>
      </c>
      <c r="B130" s="64" t="str">
        <f>IF(SAISIE!B18="","",IF(LEN(SAISIE!B18)=1,CONCATENATE("0",SAISIE!B18,"/",SAISIE!$B$4,"/",SAISIE!$B$5),CONCATENATE(SAISIE!B18,"/",SAISIE!$B$4,"/",SAISIE!$B$5)))</f>
        <v/>
      </c>
      <c r="C130" s="64" t="str">
        <f>IF(SAISIE!B18="","",CONCATENATE($M$2,SAISIE!C18))</f>
        <v/>
      </c>
      <c r="D130" s="64" t="str">
        <f>IF(SAISIE!B18="","",SAISIE!E18)</f>
        <v/>
      </c>
      <c r="E130" s="64" t="str">
        <f>IF(SAISIE!B18="","",SAISIE!F18)</f>
        <v/>
      </c>
      <c r="F130" s="65" t="str">
        <f>IF(A130="SUPPR","",IF(SAISIE!$N18="","",SAISIE!$N18))</f>
        <v/>
      </c>
      <c r="G130" s="64"/>
      <c r="H130" s="64" t="str">
        <f>IF(SAISIE!B18="","",SAISIE!D18)</f>
        <v/>
      </c>
      <c r="I130" s="66"/>
      <c r="J130" s="67" t="str">
        <f>IF(AZ18="","","")</f>
        <v/>
      </c>
      <c r="O130" s="69">
        <f>O114+1</f>
        <v>18</v>
      </c>
    </row>
    <row r="131" spans="1:15" x14ac:dyDescent="0.25">
      <c r="A131" s="63" t="str">
        <f>IF(AND(G131="",H131=""),"SUPPR",SAISIE!$B$3)</f>
        <v>SUPPR</v>
      </c>
      <c r="B131" s="63" t="str">
        <f>IF(SAISIE!P18="","",IF(LEN(SAISIE!B18)=1,CONCATENATE("0",SAISIE!B18,"/",SAISIE!$B$4,"/",SAISIE!$B$5),CONCATENATE(SAISIE!B18,"/",SAISIE!$B$4,"/",SAISIE!$B$5)))</f>
        <v/>
      </c>
      <c r="C131" s="63" t="str">
        <f>IF(SAISIE!P18="","",SAISIE!O18)</f>
        <v/>
      </c>
      <c r="D131" s="63" t="str">
        <f>IF(SAISIE!P18="","",SAISIE!E18)</f>
        <v/>
      </c>
      <c r="E131" s="63" t="str">
        <f>IF(SAISIE!P18="","",SAISIE!F18)</f>
        <v/>
      </c>
      <c r="F131" s="70" t="str">
        <f>IF(SAISIE!$P18="","",IF(SAISIE!$N18="","",SAISIE!$N18))</f>
        <v/>
      </c>
      <c r="G131" s="63" t="str">
        <f>IF(SAISIE!P18="","",SAISIE!P18)</f>
        <v/>
      </c>
      <c r="H131" s="63"/>
      <c r="I131" s="63" t="str">
        <f>IF(SAISIE!$P18="","",SAISIE!$Q18)</f>
        <v/>
      </c>
      <c r="J131" s="71" t="str">
        <f>IF(COUNTBLANK(SAISIE!$J$6:$M$6)=4,"",IF(SAISIE!P18="","",IF(SAISIE!J18&gt;0,SAISIE!$J$6,IF(SAISIE!K18&gt;0,SAISIE!$K$6,IF(SAISIE!L18&gt;0,SAISIE!$L$6,IF(SAISIE!M18&gt;0,SAISIE!$M$6,""))))))</f>
        <v/>
      </c>
      <c r="O131" s="59" t="s">
        <v>50</v>
      </c>
    </row>
    <row r="132" spans="1:15" x14ac:dyDescent="0.25">
      <c r="A132" s="63" t="str">
        <f>IF(AND(G132="",H132=""),"SUPPR",SAISIE!$B$3)</f>
        <v>SUPPR</v>
      </c>
      <c r="B132" s="63" t="str">
        <f>IF(SAISIE!G18="","",IF(LEN(SAISIE!B18)=1,CONCATENATE("0",SAISIE!B18,"/",SAISIE!$B$4,"/",SAISIE!$B$5),CONCATENATE(SAISIE!B18,"/",SAISIE!$B$4,"/",SAISIE!$B$5)))</f>
        <v/>
      </c>
      <c r="C132" s="63" t="str">
        <f>IF(SAISIE!G18="","",SAISIE!$G$8)</f>
        <v/>
      </c>
      <c r="D132" s="63" t="str">
        <f>IF(SAISIE!G18="","",SAISIE!E18)</f>
        <v/>
      </c>
      <c r="E132" s="63" t="str">
        <f>IF(SAISIE!G18="","",SAISIE!F18)</f>
        <v/>
      </c>
      <c r="F132" s="70" t="str">
        <f>IF(SAISIE!$G18="","",IF(SAISIE!$N18="","",SAISIE!$N18))</f>
        <v/>
      </c>
      <c r="G132" s="63" t="str">
        <f>IF(SAISIE!G18="","",SAISIE!G18)</f>
        <v/>
      </c>
      <c r="H132" s="63"/>
      <c r="I132" s="63" t="str">
        <f>IF(SAISIE!$G18="","",SAISIE!$Q18)</f>
        <v/>
      </c>
      <c r="J132" s="71" t="str">
        <f>IF(COUNTBLANK(SAISIE!$J$6:$M$6)=4,"",IF(SAISIE!G18="","",IF(SAISIE!J18&gt;0,SAISIE!$J$6,IF(SAISIE!K18&gt;0,SAISIE!$K$6,IF(SAISIE!L18&gt;0,SAISIE!$L$6,IF(SAISIE!M18&gt;0,SAISIE!$M$6,""))))))</f>
        <v/>
      </c>
      <c r="O132" s="59" t="s">
        <v>51</v>
      </c>
    </row>
    <row r="133" spans="1:15" x14ac:dyDescent="0.25">
      <c r="A133" s="63" t="str">
        <f>IF(AND(G133="",H133=""),"SUPPR",SAISIE!$B$3)</f>
        <v>SUPPR</v>
      </c>
      <c r="B133" s="63" t="str">
        <f>IF(SAISIE!H18="","",IF(LEN(SAISIE!B18)=1,CONCATENATE("0",SAISIE!B18,"/",SAISIE!$B$4,"/",SAISIE!$B$5),CONCATENATE(SAISIE!B18,"/",SAISIE!$B$4,"/",SAISIE!$B$5)))</f>
        <v/>
      </c>
      <c r="C133" s="63" t="str">
        <f>IF(SAISIE!H18="","",SAISIE!$H$8)</f>
        <v/>
      </c>
      <c r="D133" s="63" t="str">
        <f>IF(SAISIE!H18="","",SAISIE!E18)</f>
        <v/>
      </c>
      <c r="E133" s="63" t="str">
        <f>IF(SAISIE!H18="","",SAISIE!F18)</f>
        <v/>
      </c>
      <c r="F133" s="70" t="str">
        <f>IF(SAISIE!$H18="","",IF(SAISIE!$N18="","",SAISIE!$N18))</f>
        <v/>
      </c>
      <c r="G133" s="63" t="str">
        <f>IF(SAISIE!H18="","",SAISIE!H18)</f>
        <v/>
      </c>
      <c r="H133" s="63"/>
      <c r="I133" s="63" t="str">
        <f>IF(SAISIE!$H18="","",SAISIE!$Q18)</f>
        <v/>
      </c>
      <c r="J133" s="71" t="str">
        <f>IF(COUNTBLANK(SAISIE!$J$6:$M$6)=4,"",IF(SAISIE!H18="","",IF(SAISIE!J18&gt;0,SAISIE!$J$6,IF(SAISIE!K18&gt;0,SAISIE!$K$6,IF(SAISIE!L18&gt;0,SAISIE!$L$6,IF(SAISIE!M18&gt;0,SAISIE!$M$6,""))))))</f>
        <v/>
      </c>
      <c r="O133" s="59" t="s">
        <v>52</v>
      </c>
    </row>
    <row r="134" spans="1:15" x14ac:dyDescent="0.25">
      <c r="A134" s="63" t="str">
        <f>IF(AND(G134="",H134=""),"SUPPR",SAISIE!$B$3)</f>
        <v>SUPPR</v>
      </c>
      <c r="B134" s="63" t="str">
        <f>IF(SAISIE!I18="","",IF(LEN(SAISIE!B18)=1,CONCATENATE("0",SAISIE!B18,"/",SAISIE!$B$4,"/",SAISIE!$B$5),CONCATENATE(SAISIE!B18,"/",SAISIE!$B$4,"/",SAISIE!$B$5)))</f>
        <v/>
      </c>
      <c r="C134" s="63" t="str">
        <f>IF(SAISIE!I18="","",SAISIE!$I$8)</f>
        <v/>
      </c>
      <c r="D134" s="63" t="str">
        <f>IF(SAISIE!I18="","",SAISIE!E18)</f>
        <v/>
      </c>
      <c r="E134" s="63" t="str">
        <f>IF(SAISIE!I18="","",SAISIE!F18)</f>
        <v/>
      </c>
      <c r="F134" s="70" t="str">
        <f>IF(SAISIE!$I18="","",IF(SAISIE!$N18="","",SAISIE!$N18))</f>
        <v/>
      </c>
      <c r="G134" s="63" t="str">
        <f>IF(SAISIE!I18="","",SAISIE!I18)</f>
        <v/>
      </c>
      <c r="H134" s="63"/>
      <c r="I134" s="63" t="str">
        <f>IF(SAISIE!$I18="","",SAISIE!$Q18)</f>
        <v/>
      </c>
      <c r="J134" s="71" t="str">
        <f>IF(COUNTBLANK(SAISIE!$J$6:$M$6)=4,"",IF(SAISIE!I18="","",IF(SAISIE!J18&gt;0,SAISIE!$J$6,IF(SAISIE!K18&gt;0,SAISIE!$K$6,IF(SAISIE!L18&gt;0,SAISIE!$L$6,IF(SAISIE!M18&gt;0,SAISIE!$M$6,""))))))</f>
        <v/>
      </c>
      <c r="O134" s="59" t="s">
        <v>53</v>
      </c>
    </row>
    <row r="135" spans="1:15" x14ac:dyDescent="0.25">
      <c r="A135" s="63" t="e">
        <f>IF(AND(G135="",H135=""),"SUPPR",SAISIE!$B$3)</f>
        <v>#REF!</v>
      </c>
      <c r="B135" s="63" t="e">
        <f>IF(SAISIE!#REF!="","",IF(LEN(SAISIE!B18)=1,CONCATENATE("0",SAISIE!B18,"/",SAISIE!$B$4,"/",SAISIE!$B$5),CONCATENATE(SAISIE!B18,"/",SAISIE!$B$4,"/",SAISIE!$B$5)))</f>
        <v>#REF!</v>
      </c>
      <c r="C135" s="63" t="e">
        <f>IF(SAISIE!#REF!="","",SAISIE!#REF!)</f>
        <v>#REF!</v>
      </c>
      <c r="D135" s="63" t="e">
        <f>IF(SAISIE!#REF!="","",SAISIE!E18)</f>
        <v>#REF!</v>
      </c>
      <c r="E135" s="63" t="e">
        <f>IF(SAISIE!#REF!="","",SAISIE!F18)</f>
        <v>#REF!</v>
      </c>
      <c r="F135" s="70" t="e">
        <f>IF(SAISIE!#REF!="","",IF(SAISIE!$N18="","",SAISIE!$N18))</f>
        <v>#REF!</v>
      </c>
      <c r="G135" s="63" t="e">
        <f>IF(SAISIE!#REF!="","",SAISIE!#REF!)</f>
        <v>#REF!</v>
      </c>
      <c r="H135" s="63"/>
      <c r="I135" s="63" t="e">
        <f>IF(SAISIE!#REF!="","",SAISIE!$Q18)</f>
        <v>#REF!</v>
      </c>
      <c r="J135" s="71" t="str">
        <f>IF(COUNTBLANK(SAISIE!$J$6:$M$6)=4,"",IF(SAISIE!#REF!="","",IF(SAISIE!J18&gt;0,SAISIE!$J$6,IF(SAISIE!K18&gt;0,SAISIE!$K$6,IF(SAISIE!L18&gt;0,SAISIE!$L$6,IF(SAISIE!M18&gt;0,SAISIE!$M$6,""))))))</f>
        <v/>
      </c>
      <c r="O135" s="59" t="s">
        <v>54</v>
      </c>
    </row>
    <row r="136" spans="1:15" x14ac:dyDescent="0.25">
      <c r="A136" s="63" t="e">
        <f>IF(AND(G136="",H136=""),"SUPPR",SAISIE!$B$3)</f>
        <v>#REF!</v>
      </c>
      <c r="B136" s="63" t="e">
        <f>IF(SAISIE!#REF!="","",IF(LEN(SAISIE!B18)=1,CONCATENATE("0",SAISIE!B18,"/",SAISIE!$B$4,"/",SAISIE!$B$5),CONCATENATE(SAISIE!B18,"/",SAISIE!$B$4,"/",SAISIE!$B$5)))</f>
        <v>#REF!</v>
      </c>
      <c r="C136" s="63" t="e">
        <f>IF(SAISIE!#REF!="","",SAISIE!#REF!)</f>
        <v>#REF!</v>
      </c>
      <c r="D136" s="63" t="e">
        <f>IF(SAISIE!#REF!="","",SAISIE!E18)</f>
        <v>#REF!</v>
      </c>
      <c r="E136" s="63" t="e">
        <f>IF(SAISIE!#REF!="","",SAISIE!F18)</f>
        <v>#REF!</v>
      </c>
      <c r="F136" s="70" t="e">
        <f>IF(SAISIE!#REF!="","",IF(SAISIE!$N18="","",SAISIE!$N18))</f>
        <v>#REF!</v>
      </c>
      <c r="G136" s="63" t="e">
        <f>IF(SAISIE!#REF!="","",SAISIE!#REF!)</f>
        <v>#REF!</v>
      </c>
      <c r="H136" s="63"/>
      <c r="I136" s="63" t="e">
        <f>IF(SAISIE!#REF!="","",SAISIE!$Q18)</f>
        <v>#REF!</v>
      </c>
      <c r="J136" s="71" t="str">
        <f>IF(COUNTBLANK(SAISIE!$J$6:$M$6)=4,"",IF(SAISIE!#REF!="","",IF(SAISIE!J18&gt;0,SAISIE!$J$6,IF(SAISIE!K18&gt;0,SAISIE!$K$6,IF(SAISIE!L18&gt;0,SAISIE!$L$6,IF(SAISIE!M18&gt;0,SAISIE!$M$6,""))))))</f>
        <v/>
      </c>
      <c r="O136" s="59" t="s">
        <v>55</v>
      </c>
    </row>
    <row r="137" spans="1:15" x14ac:dyDescent="0.25">
      <c r="A137" s="63" t="e">
        <f>IF(AND(G137="",H137=""),"SUPPR",SAISIE!$B$3)</f>
        <v>#REF!</v>
      </c>
      <c r="B137" s="63" t="e">
        <f>IF(SAISIE!#REF!="","",IF(LEN(SAISIE!B18)=1,CONCATENATE("0",SAISIE!B18,"/",SAISIE!$B$4,"/",SAISIE!$B$5),CONCATENATE(SAISIE!B18,"/",SAISIE!$B$4,"/",SAISIE!$B$5)))</f>
        <v>#REF!</v>
      </c>
      <c r="C137" s="63" t="e">
        <f>IF(SAISIE!#REF!="","",SAISIE!#REF!)</f>
        <v>#REF!</v>
      </c>
      <c r="D137" s="63" t="e">
        <f>IF(SAISIE!#REF!="","",SAISIE!E18)</f>
        <v>#REF!</v>
      </c>
      <c r="E137" s="63" t="e">
        <f>IF(SAISIE!#REF!="","",SAISIE!F18)</f>
        <v>#REF!</v>
      </c>
      <c r="F137" s="70" t="e">
        <f>IF(SAISIE!#REF!="","",IF(SAISIE!$N18="","",SAISIE!$N18))</f>
        <v>#REF!</v>
      </c>
      <c r="G137" s="63" t="e">
        <f>IF(SAISIE!#REF!="","",SAISIE!#REF!)</f>
        <v>#REF!</v>
      </c>
      <c r="H137" s="63"/>
      <c r="I137" s="63" t="e">
        <f>IF(SAISIE!#REF!="","",SAISIE!$Q18)</f>
        <v>#REF!</v>
      </c>
      <c r="J137" s="71" t="str">
        <f>IF(COUNTBLANK(SAISIE!$J$6:$M$6)=4,"",IF(SAISIE!#REF!="","",IF(SAISIE!J18&gt;0,SAISIE!$J$6,IF(SAISIE!K18&gt;0,SAISIE!$K$6,IF(SAISIE!L18&gt;0,SAISIE!$L$6,IF(SAISIE!M18&gt;0,SAISIE!$M$6,""))))))</f>
        <v/>
      </c>
      <c r="O137" s="59" t="s">
        <v>56</v>
      </c>
    </row>
    <row r="138" spans="1:15" x14ac:dyDescent="0.25">
      <c r="A138" s="63" t="e">
        <f>IF(AND(G138="",H138=""),"SUPPR",SAISIE!$B$3)</f>
        <v>#REF!</v>
      </c>
      <c r="B138" s="63" t="e">
        <f>IF(SAISIE!#REF!="","",IF(LEN(SAISIE!B18)=1,CONCATENATE("0",SAISIE!B18,"/",SAISIE!$B$4,"/",SAISIE!$B$5),CONCATENATE(SAISIE!B18,"/",SAISIE!$B$4,"/",SAISIE!$B$5)))</f>
        <v>#REF!</v>
      </c>
      <c r="C138" s="63" t="e">
        <f>IF(SAISIE!#REF!="","",SAISIE!#REF!)</f>
        <v>#REF!</v>
      </c>
      <c r="D138" s="63" t="e">
        <f>IF(SAISIE!#REF!="","",SAISIE!E18)</f>
        <v>#REF!</v>
      </c>
      <c r="E138" s="63" t="e">
        <f>IF(SAISIE!#REF!="","",SAISIE!F18)</f>
        <v>#REF!</v>
      </c>
      <c r="F138" s="70" t="e">
        <f>IF(SAISIE!#REF!="","",IF(SAISIE!$N18="","",SAISIE!$N18))</f>
        <v>#REF!</v>
      </c>
      <c r="G138" s="63" t="e">
        <f>IF(SAISIE!#REF!="","",SAISIE!#REF!)</f>
        <v>#REF!</v>
      </c>
      <c r="H138" s="63"/>
      <c r="I138" s="63" t="e">
        <f>IF(SAISIE!#REF!="","",SAISIE!$Q18)</f>
        <v>#REF!</v>
      </c>
      <c r="J138" s="71" t="str">
        <f>IF(COUNTBLANK(SAISIE!$J$6:$M$6)=4,"",IF(SAISIE!#REF!="","",IF(SAISIE!J18&gt;0,SAISIE!$J$6,IF(SAISIE!K18&gt;0,SAISIE!$K$6,IF(SAISIE!L18&gt;0,SAISIE!$L$6,IF(SAISIE!M18&gt;0,SAISIE!$M$6,""))))))</f>
        <v/>
      </c>
      <c r="O138" s="59" t="s">
        <v>57</v>
      </c>
    </row>
    <row r="139" spans="1:15" x14ac:dyDescent="0.25">
      <c r="A139" s="63" t="e">
        <f>IF(AND(G139="",H139=""),"SUPPR",SAISIE!$B$3)</f>
        <v>#REF!</v>
      </c>
      <c r="B139" s="63" t="e">
        <f>IF(SAISIE!#REF!="","",IF(LEN(SAISIE!B18)=1,CONCATENATE("0",SAISIE!B18,"/",SAISIE!$B$4,"/",SAISIE!$B$5),CONCATENATE(SAISIE!B18,"/",SAISIE!$B$4,"/",SAISIE!$B$5)))</f>
        <v>#REF!</v>
      </c>
      <c r="C139" s="63" t="e">
        <f>IF(SAISIE!#REF!="","",SAISIE!#REF!)</f>
        <v>#REF!</v>
      </c>
      <c r="D139" s="63" t="e">
        <f>IF(SAISIE!#REF!="","",SAISIE!E18)</f>
        <v>#REF!</v>
      </c>
      <c r="E139" s="63" t="e">
        <f>IF(SAISIE!#REF!="","",SAISIE!F18)</f>
        <v>#REF!</v>
      </c>
      <c r="F139" s="70" t="e">
        <f>IF(SAISIE!#REF!="","",IF(SAISIE!$N18="","",SAISIE!$N18))</f>
        <v>#REF!</v>
      </c>
      <c r="G139" s="63" t="e">
        <f>IF(SAISIE!#REF!="","",SAISIE!#REF!)</f>
        <v>#REF!</v>
      </c>
      <c r="H139" s="63"/>
      <c r="I139" s="63" t="e">
        <f>IF(SAISIE!#REF!="","",SAISIE!$Q18)</f>
        <v>#REF!</v>
      </c>
      <c r="J139" s="71" t="str">
        <f>IF(COUNTBLANK(SAISIE!$J$6:$M$6)=4,"",IF(SAISIE!#REF!="","",IF(SAISIE!J18&gt;0,SAISIE!$J$6,IF(SAISIE!K18&gt;0,SAISIE!$K$6,IF(SAISIE!L18&gt;0,SAISIE!$L$6,IF(SAISIE!M18&gt;0,SAISIE!$M$6,""))))))</f>
        <v/>
      </c>
      <c r="O139" s="59" t="s">
        <v>58</v>
      </c>
    </row>
    <row r="140" spans="1:15" x14ac:dyDescent="0.25">
      <c r="A140" s="63" t="e">
        <f>IF(AND(G140="",H140=""),"SUPPR",SAISIE!$B$3)</f>
        <v>#REF!</v>
      </c>
      <c r="B140" s="63" t="e">
        <f>IF(SAISIE!#REF!="","",IF(LEN(SAISIE!B18)=1,CONCATENATE("0",SAISIE!B18,"/",SAISIE!$B$4,"/",SAISIE!$B$5),CONCATENATE(SAISIE!B18,"/",SAISIE!$B$4,"/",SAISIE!$B$5)))</f>
        <v>#REF!</v>
      </c>
      <c r="C140" s="63" t="e">
        <f>IF(SAISIE!#REF!="","",SAISIE!#REF!)</f>
        <v>#REF!</v>
      </c>
      <c r="D140" s="63" t="e">
        <f>IF(SAISIE!#REF!="","",SAISIE!E18)</f>
        <v>#REF!</v>
      </c>
      <c r="E140" s="63" t="e">
        <f>IF(SAISIE!#REF!="","",SAISIE!F18)</f>
        <v>#REF!</v>
      </c>
      <c r="F140" s="70" t="e">
        <f>IF(SAISIE!#REF!="","",IF(SAISIE!$N18="","",SAISIE!$N18))</f>
        <v>#REF!</v>
      </c>
      <c r="G140" s="63" t="e">
        <f>IF(SAISIE!#REF!="","",SAISIE!#REF!)</f>
        <v>#REF!</v>
      </c>
      <c r="H140" s="63"/>
      <c r="I140" s="63" t="e">
        <f>IF(SAISIE!#REF!="","",SAISIE!$Q18)</f>
        <v>#REF!</v>
      </c>
      <c r="J140" s="71" t="str">
        <f>IF(COUNTBLANK(SAISIE!$J$6:$M$6)=4,"",IF(SAISIE!#REF!="","",IF(SAISIE!J18&gt;0,SAISIE!$J$6,IF(SAISIE!K18&gt;0,SAISIE!$K$6,IF(SAISIE!L18&gt;0,SAISIE!$L$6,IF(SAISIE!M18&gt;0,SAISIE!$M$6,""))))))</f>
        <v/>
      </c>
      <c r="O140" s="59" t="s">
        <v>59</v>
      </c>
    </row>
    <row r="141" spans="1:15" x14ac:dyDescent="0.25">
      <c r="A141" s="63" t="e">
        <f>IF(AND(G141="",H141=""),"SUPPR",SAISIE!$B$3)</f>
        <v>#REF!</v>
      </c>
      <c r="B141" s="63" t="e">
        <f>IF(SAISIE!#REF!="","",IF(LEN(SAISIE!B18)=1,CONCATENATE("0",SAISIE!B18,"/",SAISIE!$B$4,"/",SAISIE!$B$5),CONCATENATE(SAISIE!B18,"/",SAISIE!$B$4,"/",SAISIE!$B$5)))</f>
        <v>#REF!</v>
      </c>
      <c r="C141" s="63" t="e">
        <f>IF(SAISIE!#REF!="","",SAISIE!#REF!)</f>
        <v>#REF!</v>
      </c>
      <c r="D141" s="63" t="e">
        <f>IF(SAISIE!#REF!="","",SAISIE!E18)</f>
        <v>#REF!</v>
      </c>
      <c r="E141" s="63" t="e">
        <f>IF(SAISIE!#REF!="","",SAISIE!F18)</f>
        <v>#REF!</v>
      </c>
      <c r="F141" s="70" t="e">
        <f>IF(SAISIE!#REF!="","",IF(SAISIE!$N18="","",SAISIE!$N18))</f>
        <v>#REF!</v>
      </c>
      <c r="G141" s="63" t="e">
        <f>IF(SAISIE!#REF!="","",SAISIE!#REF!)</f>
        <v>#REF!</v>
      </c>
      <c r="H141" s="63"/>
      <c r="I141" s="63" t="e">
        <f>IF(SAISIE!#REF!="","",SAISIE!$Q18)</f>
        <v>#REF!</v>
      </c>
      <c r="J141" s="71" t="str">
        <f>IF(COUNTBLANK(SAISIE!$J$6:$M$6)=4,"",IF(SAISIE!#REF!="","",IF(SAISIE!J18&gt;0,SAISIE!$J$6,IF(SAISIE!K18&gt;0,SAISIE!$K$6,IF(SAISIE!L18&gt;0,SAISIE!$L$6,IF(SAISIE!M18&gt;0,SAISIE!$M$6,""))))))</f>
        <v/>
      </c>
      <c r="O141" s="59" t="s">
        <v>60</v>
      </c>
    </row>
    <row r="142" spans="1:15" x14ac:dyDescent="0.25">
      <c r="A142" s="63" t="str">
        <f>IF(AND(G142="",H142=""),"SUPPR",SAISIE!$B$3)</f>
        <v>SUPPR</v>
      </c>
      <c r="B142" s="63" t="str">
        <f>IF(SAISIE!J18="","",IF(LEN(SAISIE!B18)=1,CONCATENATE("0",SAISIE!B18,"/",SAISIE!$B$4,"/",SAISIE!$B$5),CONCATENATE(SAISIE!B18,"/",SAISIE!$B$4,"/",SAISIE!$B$5)))</f>
        <v/>
      </c>
      <c r="C142" s="63" t="str">
        <f>IF(SAISIE!J18="","",SAISIE!$J$8)</f>
        <v/>
      </c>
      <c r="D142" s="63" t="str">
        <f>IF(SAISIE!J18="","",SAISIE!E18)</f>
        <v/>
      </c>
      <c r="E142" s="63" t="str">
        <f>IF(SAISIE!J18="","",SAISIE!F18)</f>
        <v/>
      </c>
      <c r="F142" s="70" t="str">
        <f>IF(SAISIE!$J18="","",IF(SAISIE!$N18="","",SAISIE!$N18))</f>
        <v/>
      </c>
      <c r="G142" s="63" t="str">
        <f>IF(SAISIE!J18="","",SAISIE!J18)</f>
        <v/>
      </c>
      <c r="H142" s="63"/>
      <c r="I142" s="72"/>
      <c r="J142" s="71"/>
      <c r="O142" s="73"/>
    </row>
    <row r="143" spans="1:15" x14ac:dyDescent="0.25">
      <c r="A143" s="63" t="str">
        <f>IF(AND(G143="",H143=""),"SUPPR",SAISIE!$B$3)</f>
        <v>SUPPR</v>
      </c>
      <c r="B143" s="63" t="str">
        <f>IF(SAISIE!K18="","",IF(LEN(SAISIE!B18)=1,CONCATENATE("0",SAISIE!B18,"/",SAISIE!$B$4,"/",SAISIE!$B$5),CONCATENATE(SAISIE!B18,"/",SAISIE!$B$4,"/",SAISIE!$B$5)))</f>
        <v/>
      </c>
      <c r="C143" s="63" t="str">
        <f>IF(SAISIE!K18="","",SAISIE!$K$8)</f>
        <v/>
      </c>
      <c r="D143" s="63" t="str">
        <f>IF(SAISIE!K18="","",SAISIE!E18)</f>
        <v/>
      </c>
      <c r="E143" s="63" t="str">
        <f>IF(SAISIE!K18="","",SAISIE!F18)</f>
        <v/>
      </c>
      <c r="F143" s="70" t="str">
        <f>IF(SAISIE!$K18="","",IF(SAISIE!$N18="","",SAISIE!$N18))</f>
        <v/>
      </c>
      <c r="G143" s="63" t="str">
        <f>IF(SAISIE!K18="","",SAISIE!K18)</f>
        <v/>
      </c>
      <c r="H143" s="63"/>
      <c r="I143" s="72"/>
      <c r="J143" s="71"/>
    </row>
    <row r="144" spans="1:15" x14ac:dyDescent="0.25">
      <c r="A144" s="63" t="str">
        <f>IF(AND(G144="",H144=""),"SUPPR",SAISIE!$B$3)</f>
        <v>SUPPR</v>
      </c>
      <c r="B144" s="63" t="str">
        <f>IF(SAISIE!L18="","",IF(LEN(SAISIE!B18)=1,CONCATENATE("0",SAISIE!B18,"/",SAISIE!$B$4,"/",SAISIE!$B$5),CONCATENATE(SAISIE!B18,"/",SAISIE!$B$4,"/",SAISIE!$B$5)))</f>
        <v/>
      </c>
      <c r="C144" s="63" t="str">
        <f>IF(SAISIE!L18="","",SAISIE!$L$8)</f>
        <v/>
      </c>
      <c r="D144" s="63" t="str">
        <f>IF(SAISIE!L18="","",SAISIE!E18)</f>
        <v/>
      </c>
      <c r="E144" s="63" t="str">
        <f>IF(SAISIE!L18="","",SAISIE!F18)</f>
        <v/>
      </c>
      <c r="F144" s="70" t="str">
        <f>IF(SAISIE!$L18="","",IF(SAISIE!$N18="","",SAISIE!$N18))</f>
        <v/>
      </c>
      <c r="G144" s="63" t="str">
        <f>IF(SAISIE!L18="","",SAISIE!L18)</f>
        <v/>
      </c>
      <c r="H144" s="63"/>
      <c r="I144" s="72"/>
      <c r="J144" s="71"/>
    </row>
    <row r="145" spans="1:15" x14ac:dyDescent="0.25">
      <c r="A145" s="63" t="str">
        <f>IF(AND(G145="",H145=""),"SUPPR",SAISIE!$B$3)</f>
        <v>SUPPR</v>
      </c>
      <c r="B145" s="63" t="str">
        <f>IF(SAISIE!M18="","",IF(LEN(SAISIE!B18)=1,CONCATENATE("0",SAISIE!B18,"/",SAISIE!$B$4,"/",SAISIE!$B$5),CONCATENATE(SAISIE!B18,"/",SAISIE!$B$4,"/",SAISIE!$B$5)))</f>
        <v/>
      </c>
      <c r="C145" s="74" t="str">
        <f>IF(SAISIE!M18="","",SAISIE!$M$8)</f>
        <v/>
      </c>
      <c r="D145" s="74" t="str">
        <f>IF(SAISIE!M18="","",SAISIE!E18)</f>
        <v/>
      </c>
      <c r="E145" s="74" t="str">
        <f>IF(SAISIE!M18="","",SAISIE!F18)</f>
        <v/>
      </c>
      <c r="F145" s="75" t="str">
        <f>IF(SAISIE!$M18="","",IF(SAISIE!$N18="","",SAISIE!$N18))</f>
        <v/>
      </c>
      <c r="G145" s="74" t="str">
        <f>IF(SAISIE!M18="","",SAISIE!M18)</f>
        <v/>
      </c>
      <c r="H145" s="76"/>
      <c r="I145" s="77"/>
      <c r="J145" s="78"/>
    </row>
    <row r="146" spans="1:15" x14ac:dyDescent="0.25">
      <c r="A146" s="63" t="str">
        <f>IF(AND(G146="",H146=""),"SUPPR",SAISIE!$B$3)</f>
        <v>SUPPR</v>
      </c>
      <c r="B146" s="64" t="str">
        <f>IF(SAISIE!B19="","",IF(LEN(SAISIE!B19)=1,CONCATENATE("0",SAISIE!B19,"/",SAISIE!$B$4,"/",SAISIE!$B$5),CONCATENATE(SAISIE!B19,"/",SAISIE!$B$4,"/",SAISIE!$B$5)))</f>
        <v/>
      </c>
      <c r="C146" s="64" t="str">
        <f>IF(SAISIE!B19="","",CONCATENATE($M$2,SAISIE!C19))</f>
        <v/>
      </c>
      <c r="D146" s="64" t="str">
        <f>IF(SAISIE!B19="","",SAISIE!E19)</f>
        <v/>
      </c>
      <c r="E146" s="64" t="str">
        <f>IF(SAISIE!B19="","",SAISIE!F19)</f>
        <v/>
      </c>
      <c r="F146" s="65" t="str">
        <f>IF(A146="SUPPR","",IF(SAISIE!N19="","",SAISIE!N19))</f>
        <v/>
      </c>
      <c r="G146" s="64"/>
      <c r="H146" s="64" t="str">
        <f>IF(SAISIE!B19="","",SAISIE!D19)</f>
        <v/>
      </c>
      <c r="I146" s="66"/>
      <c r="J146" s="67" t="str">
        <f>IF(AZ19="","","")</f>
        <v/>
      </c>
      <c r="O146" s="69">
        <f>O130+1</f>
        <v>19</v>
      </c>
    </row>
    <row r="147" spans="1:15" x14ac:dyDescent="0.25">
      <c r="A147" s="63" t="str">
        <f>IF(AND(G147="",H147=""),"SUPPR",SAISIE!$B$3)</f>
        <v>SUPPR</v>
      </c>
      <c r="B147" s="63" t="str">
        <f>IF(SAISIE!P19="","",IF(LEN(SAISIE!B19)=1,CONCATENATE("0",SAISIE!B19,"/",SAISIE!$B$4,"/",SAISIE!$B$5),CONCATENATE(SAISIE!B19,"/",SAISIE!$B$4,"/",SAISIE!$B$5)))</f>
        <v/>
      </c>
      <c r="C147" s="63" t="str">
        <f>IF(SAISIE!P19="","",SAISIE!O19)</f>
        <v/>
      </c>
      <c r="D147" s="63" t="str">
        <f>IF(SAISIE!P19="","",SAISIE!E19)</f>
        <v/>
      </c>
      <c r="E147" s="63" t="str">
        <f>IF(SAISIE!P19="","",SAISIE!F19)</f>
        <v/>
      </c>
      <c r="F147" s="70" t="str">
        <f>IF(SAISIE!$P19="","",IF(SAISIE!$N19="","",SAISIE!$N19))</f>
        <v/>
      </c>
      <c r="G147" s="63" t="str">
        <f>IF(SAISIE!P19="","",SAISIE!P19)</f>
        <v/>
      </c>
      <c r="H147" s="63"/>
      <c r="I147" s="63" t="str">
        <f>IF(SAISIE!$P19="","",SAISIE!$Q19)</f>
        <v/>
      </c>
      <c r="J147" s="71" t="str">
        <f>IF(COUNTBLANK(SAISIE!$J$6:$M$6)=4,"",IF(SAISIE!P19="","",IF(SAISIE!J19&gt;0,SAISIE!$J$6,IF(SAISIE!K19&gt;0,SAISIE!$K$6,IF(SAISIE!L19&gt;0,SAISIE!$L$6,IF(SAISIE!M19&gt;0,SAISIE!$M$6,""))))))</f>
        <v/>
      </c>
      <c r="O147" s="59" t="s">
        <v>50</v>
      </c>
    </row>
    <row r="148" spans="1:15" x14ac:dyDescent="0.25">
      <c r="A148" s="63" t="str">
        <f>IF(AND(G148="",H148=""),"SUPPR",SAISIE!$B$3)</f>
        <v>SUPPR</v>
      </c>
      <c r="B148" s="63" t="str">
        <f>IF(SAISIE!G19="","",IF(LEN(SAISIE!B19)=1,CONCATENATE("0",SAISIE!B19,"/",SAISIE!$B$4,"/",SAISIE!$B$5),CONCATENATE(SAISIE!B19,"/",SAISIE!$B$4,"/",SAISIE!$B$5)))</f>
        <v/>
      </c>
      <c r="C148" s="63" t="str">
        <f>IF(SAISIE!G19="","",SAISIE!$G$8)</f>
        <v/>
      </c>
      <c r="D148" s="63" t="str">
        <f>IF(SAISIE!G19="","",SAISIE!E19)</f>
        <v/>
      </c>
      <c r="E148" s="63" t="str">
        <f>IF(SAISIE!G19="","",SAISIE!F19)</f>
        <v/>
      </c>
      <c r="F148" s="70" t="str">
        <f>IF(SAISIE!$G19="","",IF(SAISIE!$N19="","",SAISIE!$N19))</f>
        <v/>
      </c>
      <c r="G148" s="63" t="str">
        <f>IF(SAISIE!G19="","",SAISIE!G19)</f>
        <v/>
      </c>
      <c r="H148" s="63"/>
      <c r="I148" s="63" t="str">
        <f>IF(SAISIE!$G19="","",SAISIE!$Q19)</f>
        <v/>
      </c>
      <c r="J148" s="71" t="str">
        <f>IF(COUNTBLANK(SAISIE!$J$6:$M$6)=4,"",IF(SAISIE!G19="","",IF(SAISIE!J19&gt;0,SAISIE!$J$6,IF(SAISIE!K19&gt;0,SAISIE!$K$6,IF(SAISIE!L19&gt;0,SAISIE!$L$6,IF(SAISIE!M19&gt;0,SAISIE!$M$6,""))))))</f>
        <v/>
      </c>
      <c r="O148" s="59" t="s">
        <v>51</v>
      </c>
    </row>
    <row r="149" spans="1:15" x14ac:dyDescent="0.25">
      <c r="A149" s="63" t="str">
        <f>IF(AND(G149="",H149=""),"SUPPR",SAISIE!$B$3)</f>
        <v>SUPPR</v>
      </c>
      <c r="B149" s="63" t="str">
        <f>IF(SAISIE!H19="","",IF(LEN(SAISIE!B19)=1,CONCATENATE("0",SAISIE!B19,"/",SAISIE!$B$4,"/",SAISIE!$B$5),CONCATENATE(SAISIE!B19,"/",SAISIE!$B$4,"/",SAISIE!$B$5)))</f>
        <v/>
      </c>
      <c r="C149" s="63" t="str">
        <f>IF(SAISIE!H19="","",SAISIE!$H$8)</f>
        <v/>
      </c>
      <c r="D149" s="63" t="str">
        <f>IF(SAISIE!H19="","",SAISIE!E19)</f>
        <v/>
      </c>
      <c r="E149" s="63" t="str">
        <f>IF(SAISIE!H19="","",SAISIE!F19)</f>
        <v/>
      </c>
      <c r="F149" s="70" t="str">
        <f>IF(SAISIE!$H19="","",IF(SAISIE!$N19="","",SAISIE!$N19))</f>
        <v/>
      </c>
      <c r="G149" s="63" t="str">
        <f>IF(SAISIE!H19="","",SAISIE!H19)</f>
        <v/>
      </c>
      <c r="H149" s="63"/>
      <c r="I149" s="63" t="str">
        <f>IF(SAISIE!$H19="","",SAISIE!$Q19)</f>
        <v/>
      </c>
      <c r="J149" s="71" t="str">
        <f>IF(COUNTBLANK(SAISIE!$J$6:$M$6)=4,"",IF(SAISIE!H19="","",IF(SAISIE!J19&gt;0,SAISIE!$J$6,IF(SAISIE!K19&gt;0,SAISIE!$K$6,IF(SAISIE!L19&gt;0,SAISIE!$L$6,IF(SAISIE!M19&gt;0,SAISIE!$M$6,""))))))</f>
        <v/>
      </c>
      <c r="O149" s="59" t="s">
        <v>52</v>
      </c>
    </row>
    <row r="150" spans="1:15" x14ac:dyDescent="0.25">
      <c r="A150" s="63" t="str">
        <f>IF(AND(G150="",H150=""),"SUPPR",SAISIE!$B$3)</f>
        <v>SUPPR</v>
      </c>
      <c r="B150" s="63" t="str">
        <f>IF(SAISIE!I19="","",IF(LEN(SAISIE!B19)=1,CONCATENATE("0",SAISIE!B19,"/",SAISIE!$B$4,"/",SAISIE!$B$5),CONCATENATE(SAISIE!B19,"/",SAISIE!$B$4,"/",SAISIE!$B$5)))</f>
        <v/>
      </c>
      <c r="C150" s="63" t="str">
        <f>IF(SAISIE!I19="","",SAISIE!$I$8)</f>
        <v/>
      </c>
      <c r="D150" s="63" t="str">
        <f>IF(SAISIE!I19="","",SAISIE!E19)</f>
        <v/>
      </c>
      <c r="E150" s="63" t="str">
        <f>IF(SAISIE!I19="","",SAISIE!F19)</f>
        <v/>
      </c>
      <c r="F150" s="70" t="str">
        <f>IF(SAISIE!$I19="","",IF(SAISIE!$N19="","",SAISIE!$N19))</f>
        <v/>
      </c>
      <c r="G150" s="63" t="str">
        <f>IF(SAISIE!I19="","",SAISIE!I19)</f>
        <v/>
      </c>
      <c r="H150" s="63"/>
      <c r="I150" s="63" t="str">
        <f>IF(SAISIE!$I19="","",SAISIE!$Q19)</f>
        <v/>
      </c>
      <c r="J150" s="71" t="str">
        <f>IF(COUNTBLANK(SAISIE!$J$6:$M$6)=4,"",IF(SAISIE!I19="","",IF(SAISIE!J19&gt;0,SAISIE!$J$6,IF(SAISIE!K19&gt;0,SAISIE!$K$6,IF(SAISIE!L19&gt;0,SAISIE!$L$6,IF(SAISIE!M19&gt;0,SAISIE!$M$6,""))))))</f>
        <v/>
      </c>
      <c r="O150" s="59" t="s">
        <v>53</v>
      </c>
    </row>
    <row r="151" spans="1:15" x14ac:dyDescent="0.25">
      <c r="A151" s="63" t="e">
        <f>IF(AND(G151="",H151=""),"SUPPR",SAISIE!$B$3)</f>
        <v>#REF!</v>
      </c>
      <c r="B151" s="63" t="e">
        <f>IF(SAISIE!#REF!="","",IF(LEN(SAISIE!B19)=1,CONCATENATE("0",SAISIE!B19,"/",SAISIE!$B$4,"/",SAISIE!$B$5),CONCATENATE(SAISIE!B19,"/",SAISIE!$B$4,"/",SAISIE!$B$5)))</f>
        <v>#REF!</v>
      </c>
      <c r="C151" s="63" t="e">
        <f>IF(SAISIE!#REF!="","",SAISIE!#REF!)</f>
        <v>#REF!</v>
      </c>
      <c r="D151" s="63" t="e">
        <f>IF(SAISIE!#REF!="","",SAISIE!E19)</f>
        <v>#REF!</v>
      </c>
      <c r="E151" s="63" t="e">
        <f>IF(SAISIE!#REF!="","",SAISIE!F19)</f>
        <v>#REF!</v>
      </c>
      <c r="F151" s="70" t="e">
        <f>IF(SAISIE!#REF!="","",IF(SAISIE!$N19="","",SAISIE!$N19))</f>
        <v>#REF!</v>
      </c>
      <c r="G151" s="63" t="e">
        <f>IF(SAISIE!#REF!="","",SAISIE!#REF!)</f>
        <v>#REF!</v>
      </c>
      <c r="H151" s="63"/>
      <c r="I151" s="63" t="e">
        <f>IF(SAISIE!#REF!="","",SAISIE!$Q19)</f>
        <v>#REF!</v>
      </c>
      <c r="J151" s="71" t="str">
        <f>IF(COUNTBLANK(SAISIE!$J$6:$M$6)=4,"",IF(SAISIE!#REF!="","",IF(SAISIE!J19&gt;0,SAISIE!$J$6,IF(SAISIE!K19&gt;0,SAISIE!$K$6,IF(SAISIE!L19&gt;0,SAISIE!$L$6,IF(SAISIE!M19&gt;0,SAISIE!$M$6,""))))))</f>
        <v/>
      </c>
      <c r="O151" s="59" t="s">
        <v>54</v>
      </c>
    </row>
    <row r="152" spans="1:15" x14ac:dyDescent="0.25">
      <c r="A152" s="63" t="e">
        <f>IF(AND(G152="",H152=""),"SUPPR",SAISIE!$B$3)</f>
        <v>#REF!</v>
      </c>
      <c r="B152" s="63" t="e">
        <f>IF(SAISIE!#REF!="","",IF(LEN(SAISIE!B19)=1,CONCATENATE("0",SAISIE!B19,"/",SAISIE!$B$4,"/",SAISIE!$B$5),CONCATENATE(SAISIE!B19,"/",SAISIE!$B$4,"/",SAISIE!$B$5)))</f>
        <v>#REF!</v>
      </c>
      <c r="C152" s="63" t="e">
        <f>IF(SAISIE!#REF!="","",SAISIE!#REF!)</f>
        <v>#REF!</v>
      </c>
      <c r="D152" s="63" t="e">
        <f>IF(SAISIE!#REF!="","",SAISIE!E19)</f>
        <v>#REF!</v>
      </c>
      <c r="E152" s="63" t="e">
        <f>IF(SAISIE!#REF!="","",SAISIE!F19)</f>
        <v>#REF!</v>
      </c>
      <c r="F152" s="70" t="e">
        <f>IF(SAISIE!#REF!="","",IF(SAISIE!$N19="","",SAISIE!$N19))</f>
        <v>#REF!</v>
      </c>
      <c r="G152" s="63" t="e">
        <f>IF(SAISIE!#REF!="","",SAISIE!#REF!)</f>
        <v>#REF!</v>
      </c>
      <c r="H152" s="63"/>
      <c r="I152" s="63" t="e">
        <f>IF(SAISIE!#REF!="","",SAISIE!$Q19)</f>
        <v>#REF!</v>
      </c>
      <c r="J152" s="71" t="str">
        <f>IF(COUNTBLANK(SAISIE!$J$6:$M$6)=4,"",IF(SAISIE!#REF!="","",IF(SAISIE!J19&gt;0,SAISIE!$J$6,IF(SAISIE!K19&gt;0,SAISIE!$K$6,IF(SAISIE!L19&gt;0,SAISIE!$L$6,IF(SAISIE!M19&gt;0,SAISIE!$M$6,""))))))</f>
        <v/>
      </c>
      <c r="O152" s="59" t="s">
        <v>55</v>
      </c>
    </row>
    <row r="153" spans="1:15" x14ac:dyDescent="0.25">
      <c r="A153" s="63" t="e">
        <f>IF(AND(G153="",H153=""),"SUPPR",SAISIE!$B$3)</f>
        <v>#REF!</v>
      </c>
      <c r="B153" s="63" t="e">
        <f>IF(SAISIE!#REF!="","",IF(LEN(SAISIE!B19)=1,CONCATENATE("0",SAISIE!B19,"/",SAISIE!$B$4,"/",SAISIE!$B$5),CONCATENATE(SAISIE!B19,"/",SAISIE!$B$4,"/",SAISIE!$B$5)))</f>
        <v>#REF!</v>
      </c>
      <c r="C153" s="63" t="e">
        <f>IF(SAISIE!#REF!="","",SAISIE!#REF!)</f>
        <v>#REF!</v>
      </c>
      <c r="D153" s="63" t="e">
        <f>IF(SAISIE!#REF!="","",SAISIE!E19)</f>
        <v>#REF!</v>
      </c>
      <c r="E153" s="63" t="e">
        <f>IF(SAISIE!#REF!="","",SAISIE!F19)</f>
        <v>#REF!</v>
      </c>
      <c r="F153" s="70" t="e">
        <f>IF(SAISIE!#REF!="","",IF(SAISIE!$N19="","",SAISIE!$N19))</f>
        <v>#REF!</v>
      </c>
      <c r="G153" s="63" t="e">
        <f>IF(SAISIE!#REF!="","",SAISIE!#REF!)</f>
        <v>#REF!</v>
      </c>
      <c r="H153" s="63"/>
      <c r="I153" s="63" t="e">
        <f>IF(SAISIE!#REF!="","",SAISIE!$Q19)</f>
        <v>#REF!</v>
      </c>
      <c r="J153" s="71" t="str">
        <f>IF(COUNTBLANK(SAISIE!$J$6:$M$6)=4,"",IF(SAISIE!#REF!="","",IF(SAISIE!J19&gt;0,SAISIE!$J$6,IF(SAISIE!K19&gt;0,SAISIE!$K$6,IF(SAISIE!L19&gt;0,SAISIE!$L$6,IF(SAISIE!M19&gt;0,SAISIE!$M$6,""))))))</f>
        <v/>
      </c>
      <c r="O153" s="59" t="s">
        <v>56</v>
      </c>
    </row>
    <row r="154" spans="1:15" x14ac:dyDescent="0.25">
      <c r="A154" s="63" t="e">
        <f>IF(AND(G154="",H154=""),"SUPPR",SAISIE!$B$3)</f>
        <v>#REF!</v>
      </c>
      <c r="B154" s="63" t="e">
        <f>IF(SAISIE!#REF!="","",IF(LEN(SAISIE!B19)=1,CONCATENATE("0",SAISIE!B19,"/",SAISIE!$B$4,"/",SAISIE!$B$5),CONCATENATE(SAISIE!B19,"/",SAISIE!$B$4,"/",SAISIE!$B$5)))</f>
        <v>#REF!</v>
      </c>
      <c r="C154" s="63" t="e">
        <f>IF(SAISIE!#REF!="","",SAISIE!#REF!)</f>
        <v>#REF!</v>
      </c>
      <c r="D154" s="63" t="e">
        <f>IF(SAISIE!#REF!="","",SAISIE!E19)</f>
        <v>#REF!</v>
      </c>
      <c r="E154" s="63" t="e">
        <f>IF(SAISIE!#REF!="","",SAISIE!F19)</f>
        <v>#REF!</v>
      </c>
      <c r="F154" s="70" t="e">
        <f>IF(SAISIE!#REF!="","",IF(SAISIE!$N19="","",SAISIE!$N19))</f>
        <v>#REF!</v>
      </c>
      <c r="G154" s="63" t="e">
        <f>IF(SAISIE!#REF!="","",SAISIE!#REF!)</f>
        <v>#REF!</v>
      </c>
      <c r="H154" s="63"/>
      <c r="I154" s="63" t="e">
        <f>IF(SAISIE!#REF!="","",SAISIE!$Q19)</f>
        <v>#REF!</v>
      </c>
      <c r="J154" s="71" t="str">
        <f>IF(COUNTBLANK(SAISIE!$J$6:$M$6)=4,"",IF(SAISIE!#REF!="","",IF(SAISIE!J19&gt;0,SAISIE!$J$6,IF(SAISIE!K19&gt;0,SAISIE!$K$6,IF(SAISIE!L19&gt;0,SAISIE!$L$6,IF(SAISIE!M19&gt;0,SAISIE!$M$6,""))))))</f>
        <v/>
      </c>
      <c r="O154" s="59" t="s">
        <v>57</v>
      </c>
    </row>
    <row r="155" spans="1:15" x14ac:dyDescent="0.25">
      <c r="A155" s="63" t="e">
        <f>IF(AND(G155="",H155=""),"SUPPR",SAISIE!$B$3)</f>
        <v>#REF!</v>
      </c>
      <c r="B155" s="63" t="e">
        <f>IF(SAISIE!#REF!="","",IF(LEN(SAISIE!B19)=1,CONCATENATE("0",SAISIE!B19,"/",SAISIE!$B$4,"/",SAISIE!$B$5),CONCATENATE(SAISIE!B19,"/",SAISIE!$B$4,"/",SAISIE!$B$5)))</f>
        <v>#REF!</v>
      </c>
      <c r="C155" s="63" t="e">
        <f>IF(SAISIE!#REF!="","",SAISIE!#REF!)</f>
        <v>#REF!</v>
      </c>
      <c r="D155" s="63" t="e">
        <f>IF(SAISIE!#REF!="","",SAISIE!E19)</f>
        <v>#REF!</v>
      </c>
      <c r="E155" s="63" t="e">
        <f>IF(SAISIE!#REF!="","",SAISIE!F19)</f>
        <v>#REF!</v>
      </c>
      <c r="F155" s="70" t="e">
        <f>IF(SAISIE!#REF!="","",IF(SAISIE!$N19="","",SAISIE!$N19))</f>
        <v>#REF!</v>
      </c>
      <c r="G155" s="63" t="e">
        <f>IF(SAISIE!#REF!="","",SAISIE!#REF!)</f>
        <v>#REF!</v>
      </c>
      <c r="H155" s="63"/>
      <c r="I155" s="63" t="e">
        <f>IF(SAISIE!#REF!="","",SAISIE!$Q19)</f>
        <v>#REF!</v>
      </c>
      <c r="J155" s="71" t="str">
        <f>IF(COUNTBLANK(SAISIE!$J$6:$M$6)=4,"",IF(SAISIE!#REF!="","",IF(SAISIE!J19&gt;0,SAISIE!$J$6,IF(SAISIE!K19&gt;0,SAISIE!$K$6,IF(SAISIE!L19&gt;0,SAISIE!$L$6,IF(SAISIE!M19&gt;0,SAISIE!$M$6,""))))))</f>
        <v/>
      </c>
      <c r="O155" s="59" t="s">
        <v>58</v>
      </c>
    </row>
    <row r="156" spans="1:15" x14ac:dyDescent="0.25">
      <c r="A156" s="63" t="e">
        <f>IF(AND(G156="",H156=""),"SUPPR",SAISIE!$B$3)</f>
        <v>#REF!</v>
      </c>
      <c r="B156" s="63" t="e">
        <f>IF(SAISIE!#REF!="","",IF(LEN(SAISIE!B19)=1,CONCATENATE("0",SAISIE!B19,"/",SAISIE!$B$4,"/",SAISIE!$B$5),CONCATENATE(SAISIE!B19,"/",SAISIE!$B$4,"/",SAISIE!$B$5)))</f>
        <v>#REF!</v>
      </c>
      <c r="C156" s="63" t="e">
        <f>IF(SAISIE!#REF!="","",SAISIE!#REF!)</f>
        <v>#REF!</v>
      </c>
      <c r="D156" s="63" t="e">
        <f>IF(SAISIE!#REF!="","",SAISIE!E19)</f>
        <v>#REF!</v>
      </c>
      <c r="E156" s="63" t="e">
        <f>IF(SAISIE!#REF!="","",SAISIE!F19)</f>
        <v>#REF!</v>
      </c>
      <c r="F156" s="70" t="e">
        <f>IF(SAISIE!#REF!="","",IF(SAISIE!$N19="","",SAISIE!$N19))</f>
        <v>#REF!</v>
      </c>
      <c r="G156" s="63" t="e">
        <f>IF(SAISIE!#REF!="","",SAISIE!#REF!)</f>
        <v>#REF!</v>
      </c>
      <c r="H156" s="63"/>
      <c r="I156" s="63" t="e">
        <f>IF(SAISIE!#REF!="","",SAISIE!$Q19)</f>
        <v>#REF!</v>
      </c>
      <c r="J156" s="71" t="str">
        <f>IF(COUNTBLANK(SAISIE!$J$6:$M$6)=4,"",IF(SAISIE!#REF!="","",IF(SAISIE!J19&gt;0,SAISIE!$J$6,IF(SAISIE!K19&gt;0,SAISIE!$K$6,IF(SAISIE!L19&gt;0,SAISIE!$L$6,IF(SAISIE!M19&gt;0,SAISIE!$M$6,""))))))</f>
        <v/>
      </c>
      <c r="O156" s="59" t="s">
        <v>59</v>
      </c>
    </row>
    <row r="157" spans="1:15" x14ac:dyDescent="0.25">
      <c r="A157" s="63" t="e">
        <f>IF(AND(G157="",H157=""),"SUPPR",SAISIE!$B$3)</f>
        <v>#REF!</v>
      </c>
      <c r="B157" s="63" t="e">
        <f>IF(SAISIE!#REF!="","",IF(LEN(SAISIE!B19)=1,CONCATENATE("0",SAISIE!B19,"/",SAISIE!$B$4,"/",SAISIE!$B$5),CONCATENATE(SAISIE!B19,"/",SAISIE!$B$4,"/",SAISIE!$B$5)))</f>
        <v>#REF!</v>
      </c>
      <c r="C157" s="63" t="e">
        <f>IF(SAISIE!#REF!="","",SAISIE!#REF!)</f>
        <v>#REF!</v>
      </c>
      <c r="D157" s="63" t="e">
        <f>IF(SAISIE!#REF!="","",SAISIE!E19)</f>
        <v>#REF!</v>
      </c>
      <c r="E157" s="63" t="e">
        <f>IF(SAISIE!#REF!="","",SAISIE!F19)</f>
        <v>#REF!</v>
      </c>
      <c r="F157" s="70" t="e">
        <f>IF(SAISIE!#REF!="","",IF(SAISIE!$N19="","",SAISIE!$N19))</f>
        <v>#REF!</v>
      </c>
      <c r="G157" s="63" t="e">
        <f>IF(SAISIE!#REF!="","",SAISIE!#REF!)</f>
        <v>#REF!</v>
      </c>
      <c r="H157" s="63"/>
      <c r="I157" s="63" t="e">
        <f>IF(SAISIE!#REF!="","",SAISIE!$Q19)</f>
        <v>#REF!</v>
      </c>
      <c r="J157" s="71" t="str">
        <f>IF(COUNTBLANK(SAISIE!$J$6:$M$6)=4,"",IF(SAISIE!#REF!="","",IF(SAISIE!J19&gt;0,SAISIE!$J$6,IF(SAISIE!K19&gt;0,SAISIE!$K$6,IF(SAISIE!L19&gt;0,SAISIE!$L$6,IF(SAISIE!M19&gt;0,SAISIE!$M$6,""))))))</f>
        <v/>
      </c>
      <c r="O157" s="59" t="s">
        <v>60</v>
      </c>
    </row>
    <row r="158" spans="1:15" x14ac:dyDescent="0.25">
      <c r="A158" s="63" t="str">
        <f>IF(AND(G158="",H158=""),"SUPPR",SAISIE!$B$3)</f>
        <v>SUPPR</v>
      </c>
      <c r="B158" s="63" t="str">
        <f>IF(SAISIE!J19="","",IF(LEN(SAISIE!B19)=1,CONCATENATE("0",SAISIE!B19,"/",SAISIE!$B$4,"/",SAISIE!$B$5),CONCATENATE(SAISIE!B19,"/",SAISIE!$B$4,"/",SAISIE!$B$5)))</f>
        <v/>
      </c>
      <c r="C158" s="63" t="str">
        <f>IF(SAISIE!J19="","",SAISIE!$J$8)</f>
        <v/>
      </c>
      <c r="D158" s="63" t="str">
        <f>IF(SAISIE!J19="","",SAISIE!E19)</f>
        <v/>
      </c>
      <c r="E158" s="63" t="str">
        <f>IF(SAISIE!J19="","",SAISIE!F19)</f>
        <v/>
      </c>
      <c r="F158" s="70" t="str">
        <f>IF(SAISIE!$J19="","",IF(SAISIE!$N19="","",SAISIE!$N19))</f>
        <v/>
      </c>
      <c r="G158" s="63" t="str">
        <f>IF(SAISIE!J19="","",SAISIE!J19)</f>
        <v/>
      </c>
      <c r="H158" s="63"/>
      <c r="I158" s="72"/>
      <c r="J158" s="71"/>
      <c r="O158" s="73"/>
    </row>
    <row r="159" spans="1:15" x14ac:dyDescent="0.25">
      <c r="A159" s="63" t="str">
        <f>IF(AND(G159="",H159=""),"SUPPR",SAISIE!$B$3)</f>
        <v>SUPPR</v>
      </c>
      <c r="B159" s="63" t="str">
        <f>IF(SAISIE!K19="","",IF(LEN(SAISIE!B19)=1,CONCATENATE("0",SAISIE!B19,"/",SAISIE!$B$4,"/",SAISIE!$B$5),CONCATENATE(SAISIE!B19,"/",SAISIE!$B$4,"/",SAISIE!$B$5)))</f>
        <v/>
      </c>
      <c r="C159" s="63" t="str">
        <f>IF(SAISIE!K19="","",SAISIE!$K$8)</f>
        <v/>
      </c>
      <c r="D159" s="63" t="str">
        <f>IF(SAISIE!K19="","",SAISIE!E19)</f>
        <v/>
      </c>
      <c r="E159" s="63" t="str">
        <f>IF(SAISIE!K19="","",SAISIE!F19)</f>
        <v/>
      </c>
      <c r="F159" s="70" t="str">
        <f>IF(SAISIE!$K19="","",IF(SAISIE!$N19="","",SAISIE!$N19))</f>
        <v/>
      </c>
      <c r="G159" s="63" t="str">
        <f>IF(SAISIE!K19="","",SAISIE!K19)</f>
        <v/>
      </c>
      <c r="H159" s="63"/>
      <c r="I159" s="72"/>
      <c r="J159" s="71"/>
    </row>
    <row r="160" spans="1:15" x14ac:dyDescent="0.25">
      <c r="A160" s="63" t="str">
        <f>IF(AND(G160="",H160=""),"SUPPR",SAISIE!$B$3)</f>
        <v>SUPPR</v>
      </c>
      <c r="B160" s="63" t="str">
        <f>IF(SAISIE!L19="","",IF(LEN(SAISIE!B19)=1,CONCATENATE("0",SAISIE!B19,"/",SAISIE!$B$4,"/",SAISIE!$B$5),CONCATENATE(SAISIE!B19,"/",SAISIE!$B$4,"/",SAISIE!$B$5)))</f>
        <v/>
      </c>
      <c r="C160" s="63" t="str">
        <f>IF(SAISIE!L19="","",SAISIE!$L$8)</f>
        <v/>
      </c>
      <c r="D160" s="63" t="str">
        <f>IF(SAISIE!L19="","",SAISIE!E19)</f>
        <v/>
      </c>
      <c r="E160" s="63" t="str">
        <f>IF(SAISIE!L19="","",SAISIE!F19)</f>
        <v/>
      </c>
      <c r="F160" s="70" t="str">
        <f>IF(SAISIE!$L19="","",IF(SAISIE!$N19="","",SAISIE!$N19))</f>
        <v/>
      </c>
      <c r="G160" s="63" t="str">
        <f>IF(SAISIE!L19="","",SAISIE!L19)</f>
        <v/>
      </c>
      <c r="H160" s="63"/>
      <c r="I160" s="72"/>
      <c r="J160" s="71"/>
    </row>
    <row r="161" spans="1:15" x14ac:dyDescent="0.25">
      <c r="A161" s="63" t="str">
        <f>IF(AND(G161="",H161=""),"SUPPR",SAISIE!$B$3)</f>
        <v>SUPPR</v>
      </c>
      <c r="B161" s="63" t="str">
        <f>IF(SAISIE!M19="","",IF(LEN(SAISIE!B19)=1,CONCATENATE("0",SAISIE!B19,"/",SAISIE!$B$4,"/",SAISIE!$B$5),CONCATENATE(SAISIE!B19,"/",SAISIE!$B$4,"/",SAISIE!$B$5)))</f>
        <v/>
      </c>
      <c r="C161" s="74" t="str">
        <f>IF(SAISIE!M19="","",SAISIE!$M$8)</f>
        <v/>
      </c>
      <c r="D161" s="74" t="str">
        <f>IF(SAISIE!M19="","",SAISIE!E19)</f>
        <v/>
      </c>
      <c r="E161" s="74" t="str">
        <f>IF(SAISIE!M19="","",SAISIE!F19)</f>
        <v/>
      </c>
      <c r="F161" s="75" t="str">
        <f>IF(SAISIE!$M19="","",IF(SAISIE!$N19="","",SAISIE!$N19))</f>
        <v/>
      </c>
      <c r="G161" s="74" t="str">
        <f>IF(SAISIE!M19="","",SAISIE!M19)</f>
        <v/>
      </c>
      <c r="H161" s="76"/>
      <c r="I161" s="77"/>
      <c r="J161" s="78"/>
    </row>
    <row r="162" spans="1:15" x14ac:dyDescent="0.25">
      <c r="A162" s="63" t="str">
        <f>IF(AND(G162="",H162=""),"SUPPR",SAISIE!$B$3)</f>
        <v>SUPPR</v>
      </c>
      <c r="B162" s="64" t="str">
        <f>IF(SAISIE!B20="","",IF(LEN(SAISIE!B20)=1,CONCATENATE("0",SAISIE!B20,"/",SAISIE!$B$4,"/",SAISIE!$B$5),CONCATENATE(SAISIE!B20,"/",SAISIE!$B$4,"/",SAISIE!$B$5)))</f>
        <v/>
      </c>
      <c r="C162" s="64" t="str">
        <f>IF(SAISIE!B20="","",CONCATENATE($M$2,SAISIE!C20))</f>
        <v/>
      </c>
      <c r="D162" s="64" t="str">
        <f>IF(SAISIE!B20="","",SAISIE!E20)</f>
        <v/>
      </c>
      <c r="E162" s="64" t="str">
        <f>IF(SAISIE!B20="","",SAISIE!F20)</f>
        <v/>
      </c>
      <c r="F162" s="65" t="str">
        <f>IF(A162="SUPPR","",IF(SAISIE!$N20="","",SAISIE!$N20))</f>
        <v/>
      </c>
      <c r="G162" s="64"/>
      <c r="H162" s="64" t="str">
        <f>IF(SAISIE!B20="","",SAISIE!D20)</f>
        <v/>
      </c>
      <c r="I162" s="66"/>
      <c r="J162" s="67" t="str">
        <f>IF(AZ20="","","")</f>
        <v/>
      </c>
      <c r="O162" s="69">
        <f>O146+1</f>
        <v>20</v>
      </c>
    </row>
    <row r="163" spans="1:15" x14ac:dyDescent="0.25">
      <c r="A163" s="63" t="str">
        <f>IF(AND(G163="",H163=""),"SUPPR",SAISIE!$B$3)</f>
        <v>SUPPR</v>
      </c>
      <c r="B163" s="63" t="str">
        <f>IF(SAISIE!P20="","",IF(LEN(SAISIE!B20)=1,CONCATENATE("0",SAISIE!B20,"/",SAISIE!$B$4,"/",SAISIE!$B$5),CONCATENATE(SAISIE!B20,"/",SAISIE!$B$4,"/",SAISIE!$B$5)))</f>
        <v/>
      </c>
      <c r="C163" s="63" t="str">
        <f>IF(SAISIE!P20="","",SAISIE!O20)</f>
        <v/>
      </c>
      <c r="D163" s="63" t="str">
        <f>IF(SAISIE!P20="","",SAISIE!E20)</f>
        <v/>
      </c>
      <c r="E163" s="63" t="str">
        <f>IF(SAISIE!P20="","",SAISIE!F20)</f>
        <v/>
      </c>
      <c r="F163" s="70" t="str">
        <f>IF(SAISIE!$P20="","",IF(SAISIE!$N20="","",SAISIE!$N20))</f>
        <v/>
      </c>
      <c r="G163" s="63" t="str">
        <f>IF(SAISIE!P20="","",SAISIE!P20)</f>
        <v/>
      </c>
      <c r="H163" s="63"/>
      <c r="I163" s="63" t="str">
        <f>IF(SAISIE!$P20="","",SAISIE!$Q20)</f>
        <v/>
      </c>
      <c r="J163" s="71" t="str">
        <f>IF(COUNTBLANK(SAISIE!$J$6:$M$6)=4,"",IF(SAISIE!P20="","",IF(SAISIE!J20&gt;0,SAISIE!$J$6,IF(SAISIE!K20&gt;0,SAISIE!$K$6,IF(SAISIE!L20&gt;0,SAISIE!$L$6,IF(SAISIE!M20&gt;0,SAISIE!$M$6,""))))))</f>
        <v/>
      </c>
      <c r="O163" s="59" t="s">
        <v>50</v>
      </c>
    </row>
    <row r="164" spans="1:15" x14ac:dyDescent="0.25">
      <c r="A164" s="63" t="str">
        <f>IF(AND(G164="",H164=""),"SUPPR",SAISIE!$B$3)</f>
        <v>SUPPR</v>
      </c>
      <c r="B164" s="63" t="str">
        <f>IF(SAISIE!G20="","",IF(LEN(SAISIE!B20)=1,CONCATENATE("0",SAISIE!B20,"/",SAISIE!$B$4,"/",SAISIE!$B$5),CONCATENATE(SAISIE!B20,"/",SAISIE!$B$4,"/",SAISIE!$B$5)))</f>
        <v/>
      </c>
      <c r="C164" s="63" t="str">
        <f>IF(SAISIE!G20="","",SAISIE!$G$8)</f>
        <v/>
      </c>
      <c r="D164" s="63" t="str">
        <f>IF(SAISIE!G20="","",SAISIE!E20)</f>
        <v/>
      </c>
      <c r="E164" s="63" t="str">
        <f>IF(SAISIE!G20="","",SAISIE!F20)</f>
        <v/>
      </c>
      <c r="F164" s="70" t="str">
        <f>IF(SAISIE!$G20="","",IF(SAISIE!$N20="","",SAISIE!$N20))</f>
        <v/>
      </c>
      <c r="G164" s="63" t="str">
        <f>IF(SAISIE!G20="","",SAISIE!G20)</f>
        <v/>
      </c>
      <c r="H164" s="63"/>
      <c r="I164" s="63" t="str">
        <f>IF(SAISIE!$G20="","",SAISIE!$Q20)</f>
        <v/>
      </c>
      <c r="J164" s="71" t="str">
        <f>IF(COUNTBLANK(SAISIE!$J$6:$M$6)=4,"",IF(SAISIE!G20="","",IF(SAISIE!J20&gt;0,SAISIE!$J$6,IF(SAISIE!K20&gt;0,SAISIE!$K$6,IF(SAISIE!L20&gt;0,SAISIE!$L$6,IF(SAISIE!M20&gt;0,SAISIE!$M$6,""))))))</f>
        <v/>
      </c>
      <c r="O164" s="59" t="s">
        <v>51</v>
      </c>
    </row>
    <row r="165" spans="1:15" x14ac:dyDescent="0.25">
      <c r="A165" s="63" t="str">
        <f>IF(AND(G165="",H165=""),"SUPPR",SAISIE!$B$3)</f>
        <v>SUPPR</v>
      </c>
      <c r="B165" s="63" t="str">
        <f>IF(SAISIE!H20="","",IF(LEN(SAISIE!B20)=1,CONCATENATE("0",SAISIE!B20,"/",SAISIE!$B$4,"/",SAISIE!$B$5),CONCATENATE(SAISIE!B20,"/",SAISIE!$B$4,"/",SAISIE!$B$5)))</f>
        <v/>
      </c>
      <c r="C165" s="63" t="str">
        <f>IF(SAISIE!H20="","",SAISIE!$H$8)</f>
        <v/>
      </c>
      <c r="D165" s="63" t="str">
        <f>IF(SAISIE!H20="","",SAISIE!E20)</f>
        <v/>
      </c>
      <c r="E165" s="63" t="str">
        <f>IF(SAISIE!H20="","",SAISIE!F20)</f>
        <v/>
      </c>
      <c r="F165" s="70" t="str">
        <f>IF(SAISIE!$H20="","",IF(SAISIE!$N20="","",SAISIE!$N20))</f>
        <v/>
      </c>
      <c r="G165" s="63" t="str">
        <f>IF(SAISIE!H20="","",SAISIE!H20)</f>
        <v/>
      </c>
      <c r="H165" s="63"/>
      <c r="I165" s="63" t="str">
        <f>IF(SAISIE!$H20="","",SAISIE!$Q20)</f>
        <v/>
      </c>
      <c r="J165" s="71" t="str">
        <f>IF(COUNTBLANK(SAISIE!$J$6:$M$6)=4,"",IF(SAISIE!H20="","",IF(SAISIE!J20&gt;0,SAISIE!$J$6,IF(SAISIE!K20&gt;0,SAISIE!$K$6,IF(SAISIE!L20&gt;0,SAISIE!$L$6,IF(SAISIE!M20&gt;0,SAISIE!$M$6,""))))))</f>
        <v/>
      </c>
      <c r="O165" s="59" t="s">
        <v>52</v>
      </c>
    </row>
    <row r="166" spans="1:15" x14ac:dyDescent="0.25">
      <c r="A166" s="63" t="str">
        <f>IF(AND(G166="",H166=""),"SUPPR",SAISIE!$B$3)</f>
        <v>SUPPR</v>
      </c>
      <c r="B166" s="63" t="str">
        <f>IF(SAISIE!I20="","",IF(LEN(SAISIE!B20)=1,CONCATENATE("0",SAISIE!B20,"/",SAISIE!$B$4,"/",SAISIE!$B$5),CONCATENATE(SAISIE!B20,"/",SAISIE!$B$4,"/",SAISIE!$B$5)))</f>
        <v/>
      </c>
      <c r="C166" s="63" t="str">
        <f>IF(SAISIE!I20="","",SAISIE!$I$8)</f>
        <v/>
      </c>
      <c r="D166" s="63" t="str">
        <f>IF(SAISIE!I20="","",SAISIE!E20)</f>
        <v/>
      </c>
      <c r="E166" s="63" t="str">
        <f>IF(SAISIE!I20="","",SAISIE!F20)</f>
        <v/>
      </c>
      <c r="F166" s="70" t="str">
        <f>IF(SAISIE!$I20="","",IF(SAISIE!$N20="","",SAISIE!$N20))</f>
        <v/>
      </c>
      <c r="G166" s="63" t="str">
        <f>IF(SAISIE!I20="","",SAISIE!I20)</f>
        <v/>
      </c>
      <c r="H166" s="63"/>
      <c r="I166" s="63" t="str">
        <f>IF(SAISIE!$I20="","",SAISIE!$Q20)</f>
        <v/>
      </c>
      <c r="J166" s="71" t="str">
        <f>IF(COUNTBLANK(SAISIE!$J$6:$M$6)=4,"",IF(SAISIE!I20="","",IF(SAISIE!J20&gt;0,SAISIE!$J$6,IF(SAISIE!K20&gt;0,SAISIE!$K$6,IF(SAISIE!L20&gt;0,SAISIE!$L$6,IF(SAISIE!M20&gt;0,SAISIE!$M$6,""))))))</f>
        <v/>
      </c>
      <c r="O166" s="59" t="s">
        <v>53</v>
      </c>
    </row>
    <row r="167" spans="1:15" x14ac:dyDescent="0.25">
      <c r="A167" s="63" t="e">
        <f>IF(AND(G167="",H167=""),"SUPPR",SAISIE!$B$3)</f>
        <v>#REF!</v>
      </c>
      <c r="B167" s="63" t="e">
        <f>IF(SAISIE!#REF!="","",IF(LEN(SAISIE!B20)=1,CONCATENATE("0",SAISIE!B20,"/",SAISIE!$B$4,"/",SAISIE!$B$5),CONCATENATE(SAISIE!B20,"/",SAISIE!$B$4,"/",SAISIE!$B$5)))</f>
        <v>#REF!</v>
      </c>
      <c r="C167" s="63" t="e">
        <f>IF(SAISIE!#REF!="","",SAISIE!#REF!)</f>
        <v>#REF!</v>
      </c>
      <c r="D167" s="63" t="e">
        <f>IF(SAISIE!#REF!="","",SAISIE!E20)</f>
        <v>#REF!</v>
      </c>
      <c r="E167" s="63" t="e">
        <f>IF(SAISIE!#REF!="","",SAISIE!F20)</f>
        <v>#REF!</v>
      </c>
      <c r="F167" s="70" t="e">
        <f>IF(SAISIE!#REF!="","",IF(SAISIE!$N20="","",SAISIE!$N20))</f>
        <v>#REF!</v>
      </c>
      <c r="G167" s="63" t="e">
        <f>IF(SAISIE!#REF!="","",SAISIE!#REF!)</f>
        <v>#REF!</v>
      </c>
      <c r="H167" s="63"/>
      <c r="I167" s="63" t="e">
        <f>IF(SAISIE!#REF!="","",SAISIE!$Q20)</f>
        <v>#REF!</v>
      </c>
      <c r="J167" s="71" t="str">
        <f>IF(COUNTBLANK(SAISIE!$J$6:$M$6)=4,"",IF(SAISIE!#REF!="","",IF(SAISIE!J20&gt;0,SAISIE!$J$6,IF(SAISIE!K20&gt;0,SAISIE!$K$6,IF(SAISIE!L20&gt;0,SAISIE!$L$6,IF(SAISIE!M20&gt;0,SAISIE!$M$6,""))))))</f>
        <v/>
      </c>
      <c r="O167" s="59" t="s">
        <v>54</v>
      </c>
    </row>
    <row r="168" spans="1:15" x14ac:dyDescent="0.25">
      <c r="A168" s="63" t="e">
        <f>IF(AND(G168="",H168=""),"SUPPR",SAISIE!$B$3)</f>
        <v>#REF!</v>
      </c>
      <c r="B168" s="63" t="e">
        <f>IF(SAISIE!#REF!="","",IF(LEN(SAISIE!B20)=1,CONCATENATE("0",SAISIE!B20,"/",SAISIE!$B$4,"/",SAISIE!$B$5),CONCATENATE(SAISIE!B20,"/",SAISIE!$B$4,"/",SAISIE!$B$5)))</f>
        <v>#REF!</v>
      </c>
      <c r="C168" s="63" t="e">
        <f>IF(SAISIE!#REF!="","",SAISIE!#REF!)</f>
        <v>#REF!</v>
      </c>
      <c r="D168" s="63" t="e">
        <f>IF(SAISIE!#REF!="","",SAISIE!E20)</f>
        <v>#REF!</v>
      </c>
      <c r="E168" s="63" t="e">
        <f>IF(SAISIE!#REF!="","",SAISIE!F20)</f>
        <v>#REF!</v>
      </c>
      <c r="F168" s="70" t="e">
        <f>IF(SAISIE!#REF!="","",IF(SAISIE!$N20="","",SAISIE!$N20))</f>
        <v>#REF!</v>
      </c>
      <c r="G168" s="63" t="e">
        <f>IF(SAISIE!#REF!="","",SAISIE!#REF!)</f>
        <v>#REF!</v>
      </c>
      <c r="H168" s="63"/>
      <c r="I168" s="63" t="e">
        <f>IF(SAISIE!#REF!="","",SAISIE!$Q20)</f>
        <v>#REF!</v>
      </c>
      <c r="J168" s="71" t="str">
        <f>IF(COUNTBLANK(SAISIE!$J$6:$M$6)=4,"",IF(SAISIE!#REF!="","",IF(SAISIE!J20&gt;0,SAISIE!$J$6,IF(SAISIE!K20&gt;0,SAISIE!$K$6,IF(SAISIE!L20&gt;0,SAISIE!$L$6,IF(SAISIE!M20&gt;0,SAISIE!$M$6,""))))))</f>
        <v/>
      </c>
      <c r="O168" s="59" t="s">
        <v>55</v>
      </c>
    </row>
    <row r="169" spans="1:15" x14ac:dyDescent="0.25">
      <c r="A169" s="63" t="e">
        <f>IF(AND(G169="",H169=""),"SUPPR",SAISIE!$B$3)</f>
        <v>#REF!</v>
      </c>
      <c r="B169" s="63" t="e">
        <f>IF(SAISIE!#REF!="","",IF(LEN(SAISIE!B20)=1,CONCATENATE("0",SAISIE!B20,"/",SAISIE!$B$4,"/",SAISIE!$B$5),CONCATENATE(SAISIE!B20,"/",SAISIE!$B$4,"/",SAISIE!$B$5)))</f>
        <v>#REF!</v>
      </c>
      <c r="C169" s="63" t="e">
        <f>IF(SAISIE!#REF!="","",SAISIE!#REF!)</f>
        <v>#REF!</v>
      </c>
      <c r="D169" s="63" t="e">
        <f>IF(SAISIE!#REF!="","",SAISIE!E20)</f>
        <v>#REF!</v>
      </c>
      <c r="E169" s="63" t="e">
        <f>IF(SAISIE!#REF!="","",SAISIE!F20)</f>
        <v>#REF!</v>
      </c>
      <c r="F169" s="70" t="e">
        <f>IF(SAISIE!#REF!="","",IF(SAISIE!$N20="","",SAISIE!$N20))</f>
        <v>#REF!</v>
      </c>
      <c r="G169" s="63" t="e">
        <f>IF(SAISIE!#REF!="","",SAISIE!#REF!)</f>
        <v>#REF!</v>
      </c>
      <c r="H169" s="63"/>
      <c r="I169" s="63" t="e">
        <f>IF(SAISIE!#REF!="","",SAISIE!$Q20)</f>
        <v>#REF!</v>
      </c>
      <c r="J169" s="71" t="str">
        <f>IF(COUNTBLANK(SAISIE!$J$6:$M$6)=4,"",IF(SAISIE!#REF!="","",IF(SAISIE!J20&gt;0,SAISIE!$J$6,IF(SAISIE!K20&gt;0,SAISIE!$K$6,IF(SAISIE!L20&gt;0,SAISIE!$L$6,IF(SAISIE!M20&gt;0,SAISIE!$M$6,""))))))</f>
        <v/>
      </c>
      <c r="O169" s="59" t="s">
        <v>56</v>
      </c>
    </row>
    <row r="170" spans="1:15" x14ac:dyDescent="0.25">
      <c r="A170" s="63" t="e">
        <f>IF(AND(G170="",H170=""),"SUPPR",SAISIE!$B$3)</f>
        <v>#REF!</v>
      </c>
      <c r="B170" s="63" t="e">
        <f>IF(SAISIE!#REF!="","",IF(LEN(SAISIE!B20)=1,CONCATENATE("0",SAISIE!B20,"/",SAISIE!$B$4,"/",SAISIE!$B$5),CONCATENATE(SAISIE!B20,"/",SAISIE!$B$4,"/",SAISIE!$B$5)))</f>
        <v>#REF!</v>
      </c>
      <c r="C170" s="63" t="e">
        <f>IF(SAISIE!#REF!="","",SAISIE!#REF!)</f>
        <v>#REF!</v>
      </c>
      <c r="D170" s="63" t="e">
        <f>IF(SAISIE!#REF!="","",SAISIE!E20)</f>
        <v>#REF!</v>
      </c>
      <c r="E170" s="63" t="e">
        <f>IF(SAISIE!#REF!="","",SAISIE!F20)</f>
        <v>#REF!</v>
      </c>
      <c r="F170" s="70" t="e">
        <f>IF(SAISIE!#REF!="","",IF(SAISIE!$N20="","",SAISIE!$N20))</f>
        <v>#REF!</v>
      </c>
      <c r="G170" s="63" t="e">
        <f>IF(SAISIE!#REF!="","",SAISIE!#REF!)</f>
        <v>#REF!</v>
      </c>
      <c r="H170" s="63"/>
      <c r="I170" s="63" t="e">
        <f>IF(SAISIE!#REF!="","",SAISIE!$Q20)</f>
        <v>#REF!</v>
      </c>
      <c r="J170" s="71" t="str">
        <f>IF(COUNTBLANK(SAISIE!$J$6:$M$6)=4,"",IF(SAISIE!#REF!="","",IF(SAISIE!J20&gt;0,SAISIE!$J$6,IF(SAISIE!K20&gt;0,SAISIE!$K$6,IF(SAISIE!L20&gt;0,SAISIE!$L$6,IF(SAISIE!M20&gt;0,SAISIE!$M$6,""))))))</f>
        <v/>
      </c>
      <c r="O170" s="59" t="s">
        <v>57</v>
      </c>
    </row>
    <row r="171" spans="1:15" x14ac:dyDescent="0.25">
      <c r="A171" s="63" t="e">
        <f>IF(AND(G171="",H171=""),"SUPPR",SAISIE!$B$3)</f>
        <v>#REF!</v>
      </c>
      <c r="B171" s="63" t="e">
        <f>IF(SAISIE!#REF!="","",IF(LEN(SAISIE!B20)=1,CONCATENATE("0",SAISIE!B20,"/",SAISIE!$B$4,"/",SAISIE!$B$5),CONCATENATE(SAISIE!B20,"/",SAISIE!$B$4,"/",SAISIE!$B$5)))</f>
        <v>#REF!</v>
      </c>
      <c r="C171" s="63" t="e">
        <f>IF(SAISIE!#REF!="","",SAISIE!#REF!)</f>
        <v>#REF!</v>
      </c>
      <c r="D171" s="63" t="e">
        <f>IF(SAISIE!#REF!="","",SAISIE!E20)</f>
        <v>#REF!</v>
      </c>
      <c r="E171" s="63" t="e">
        <f>IF(SAISIE!#REF!="","",SAISIE!F20)</f>
        <v>#REF!</v>
      </c>
      <c r="F171" s="70" t="e">
        <f>IF(SAISIE!#REF!="","",IF(SAISIE!$N20="","",SAISIE!$N20))</f>
        <v>#REF!</v>
      </c>
      <c r="G171" s="63" t="e">
        <f>IF(SAISIE!#REF!="","",SAISIE!#REF!)</f>
        <v>#REF!</v>
      </c>
      <c r="H171" s="63"/>
      <c r="I171" s="63" t="e">
        <f>IF(SAISIE!#REF!="","",SAISIE!$Q20)</f>
        <v>#REF!</v>
      </c>
      <c r="J171" s="71" t="str">
        <f>IF(COUNTBLANK(SAISIE!$J$6:$M$6)=4,"",IF(SAISIE!#REF!="","",IF(SAISIE!J20&gt;0,SAISIE!$J$6,IF(SAISIE!K20&gt;0,SAISIE!$K$6,IF(SAISIE!L20&gt;0,SAISIE!$L$6,IF(SAISIE!M20&gt;0,SAISIE!$M$6,""))))))</f>
        <v/>
      </c>
      <c r="O171" s="59" t="s">
        <v>58</v>
      </c>
    </row>
    <row r="172" spans="1:15" x14ac:dyDescent="0.25">
      <c r="A172" s="63" t="e">
        <f>IF(AND(G172="",H172=""),"SUPPR",SAISIE!$B$3)</f>
        <v>#REF!</v>
      </c>
      <c r="B172" s="63" t="e">
        <f>IF(SAISIE!#REF!="","",IF(LEN(SAISIE!B20)=1,CONCATENATE("0",SAISIE!B20,"/",SAISIE!$B$4,"/",SAISIE!$B$5),CONCATENATE(SAISIE!B20,"/",SAISIE!$B$4,"/",SAISIE!$B$5)))</f>
        <v>#REF!</v>
      </c>
      <c r="C172" s="63" t="e">
        <f>IF(SAISIE!#REF!="","",SAISIE!#REF!)</f>
        <v>#REF!</v>
      </c>
      <c r="D172" s="63" t="e">
        <f>IF(SAISIE!#REF!="","",SAISIE!E20)</f>
        <v>#REF!</v>
      </c>
      <c r="E172" s="63" t="e">
        <f>IF(SAISIE!#REF!="","",SAISIE!F20)</f>
        <v>#REF!</v>
      </c>
      <c r="F172" s="70" t="e">
        <f>IF(SAISIE!#REF!="","",IF(SAISIE!$N20="","",SAISIE!$N20))</f>
        <v>#REF!</v>
      </c>
      <c r="G172" s="63" t="e">
        <f>IF(SAISIE!#REF!="","",SAISIE!#REF!)</f>
        <v>#REF!</v>
      </c>
      <c r="H172" s="63"/>
      <c r="I172" s="63" t="e">
        <f>IF(SAISIE!#REF!="","",SAISIE!$Q20)</f>
        <v>#REF!</v>
      </c>
      <c r="J172" s="71" t="str">
        <f>IF(COUNTBLANK(SAISIE!$J$6:$M$6)=4,"",IF(SAISIE!#REF!="","",IF(SAISIE!J20&gt;0,SAISIE!$J$6,IF(SAISIE!K20&gt;0,SAISIE!$K$6,IF(SAISIE!L20&gt;0,SAISIE!$L$6,IF(SAISIE!M20&gt;0,SAISIE!$M$6,""))))))</f>
        <v/>
      </c>
      <c r="O172" s="59" t="s">
        <v>59</v>
      </c>
    </row>
    <row r="173" spans="1:15" x14ac:dyDescent="0.25">
      <c r="A173" s="63" t="e">
        <f>IF(AND(G173="",H173=""),"SUPPR",SAISIE!$B$3)</f>
        <v>#REF!</v>
      </c>
      <c r="B173" s="63" t="e">
        <f>IF(SAISIE!#REF!="","",IF(LEN(SAISIE!B20)=1,CONCATENATE("0",SAISIE!B20,"/",SAISIE!$B$4,"/",SAISIE!$B$5),CONCATENATE(SAISIE!B20,"/",SAISIE!$B$4,"/",SAISIE!$B$5)))</f>
        <v>#REF!</v>
      </c>
      <c r="C173" s="63" t="e">
        <f>IF(SAISIE!#REF!="","",SAISIE!#REF!)</f>
        <v>#REF!</v>
      </c>
      <c r="D173" s="63" t="e">
        <f>IF(SAISIE!#REF!="","",SAISIE!E20)</f>
        <v>#REF!</v>
      </c>
      <c r="E173" s="63" t="e">
        <f>IF(SAISIE!#REF!="","",SAISIE!F20)</f>
        <v>#REF!</v>
      </c>
      <c r="F173" s="70" t="e">
        <f>IF(SAISIE!#REF!="","",IF(SAISIE!$N20="","",SAISIE!$N20))</f>
        <v>#REF!</v>
      </c>
      <c r="G173" s="63" t="e">
        <f>IF(SAISIE!#REF!="","",SAISIE!#REF!)</f>
        <v>#REF!</v>
      </c>
      <c r="H173" s="63"/>
      <c r="I173" s="63" t="e">
        <f>IF(SAISIE!#REF!="","",SAISIE!$Q20)</f>
        <v>#REF!</v>
      </c>
      <c r="J173" s="71" t="str">
        <f>IF(COUNTBLANK(SAISIE!$J$6:$M$6)=4,"",IF(SAISIE!#REF!="","",IF(SAISIE!J20&gt;0,SAISIE!$J$6,IF(SAISIE!K20&gt;0,SAISIE!$K$6,IF(SAISIE!L20&gt;0,SAISIE!$L$6,IF(SAISIE!M20&gt;0,SAISIE!$M$6,""))))))</f>
        <v/>
      </c>
      <c r="O173" s="59" t="s">
        <v>60</v>
      </c>
    </row>
    <row r="174" spans="1:15" x14ac:dyDescent="0.25">
      <c r="A174" s="63" t="str">
        <f>IF(AND(G174="",H174=""),"SUPPR",SAISIE!$B$3)</f>
        <v>SUPPR</v>
      </c>
      <c r="B174" s="63" t="str">
        <f>IF(SAISIE!J20="","",IF(LEN(SAISIE!B20)=1,CONCATENATE("0",SAISIE!B20,"/",SAISIE!$B$4,"/",SAISIE!$B$5),CONCATENATE(SAISIE!B20,"/",SAISIE!$B$4,"/",SAISIE!$B$5)))</f>
        <v/>
      </c>
      <c r="C174" s="63" t="str">
        <f>IF(SAISIE!J20="","",SAISIE!$J$8)</f>
        <v/>
      </c>
      <c r="D174" s="63" t="str">
        <f>IF(SAISIE!J20="","",SAISIE!E20)</f>
        <v/>
      </c>
      <c r="E174" s="63" t="str">
        <f>IF(SAISIE!J20="","",SAISIE!F20)</f>
        <v/>
      </c>
      <c r="F174" s="70" t="str">
        <f>IF(SAISIE!$J20="","",IF(SAISIE!$N20="","",SAISIE!$N20))</f>
        <v/>
      </c>
      <c r="G174" s="63" t="str">
        <f>IF(SAISIE!J20="","",SAISIE!J20)</f>
        <v/>
      </c>
      <c r="H174" s="63"/>
      <c r="I174" s="72"/>
      <c r="J174" s="71"/>
      <c r="O174" s="73"/>
    </row>
    <row r="175" spans="1:15" x14ac:dyDescent="0.25">
      <c r="A175" s="63" t="str">
        <f>IF(AND(G175="",H175=""),"SUPPR",SAISIE!$B$3)</f>
        <v>SUPPR</v>
      </c>
      <c r="B175" s="63" t="str">
        <f>IF(SAISIE!K20="","",IF(LEN(SAISIE!B20)=1,CONCATENATE("0",SAISIE!B20,"/",SAISIE!$B$4,"/",SAISIE!$B$5),CONCATENATE(SAISIE!B20,"/",SAISIE!$B$4,"/",SAISIE!$B$5)))</f>
        <v/>
      </c>
      <c r="C175" s="63" t="str">
        <f>IF(SAISIE!K20="","",SAISIE!$K$8)</f>
        <v/>
      </c>
      <c r="D175" s="63" t="str">
        <f>IF(SAISIE!K20="","",SAISIE!E20)</f>
        <v/>
      </c>
      <c r="E175" s="63" t="str">
        <f>IF(SAISIE!K20="","",SAISIE!F20)</f>
        <v/>
      </c>
      <c r="F175" s="70" t="str">
        <f>IF(SAISIE!$K20="","",IF(SAISIE!$N20="","",SAISIE!$N20))</f>
        <v/>
      </c>
      <c r="G175" s="63" t="str">
        <f>IF(SAISIE!K20="","",SAISIE!K20)</f>
        <v/>
      </c>
      <c r="H175" s="63"/>
      <c r="I175" s="72"/>
      <c r="J175" s="71"/>
    </row>
    <row r="176" spans="1:15" x14ac:dyDescent="0.25">
      <c r="A176" s="63" t="str">
        <f>IF(AND(G176="",H176=""),"SUPPR",SAISIE!$B$3)</f>
        <v>SUPPR</v>
      </c>
      <c r="B176" s="63" t="str">
        <f>IF(SAISIE!L20="","",IF(LEN(SAISIE!B20)=1,CONCATENATE("0",SAISIE!B20,"/",SAISIE!$B$4,"/",SAISIE!$B$5),CONCATENATE(SAISIE!B20,"/",SAISIE!$B$4,"/",SAISIE!$B$5)))</f>
        <v/>
      </c>
      <c r="C176" s="63" t="str">
        <f>IF(SAISIE!L20="","",SAISIE!$L$8)</f>
        <v/>
      </c>
      <c r="D176" s="63" t="str">
        <f>IF(SAISIE!L20="","",SAISIE!E20)</f>
        <v/>
      </c>
      <c r="E176" s="63" t="str">
        <f>IF(SAISIE!L20="","",SAISIE!F20)</f>
        <v/>
      </c>
      <c r="F176" s="70" t="str">
        <f>IF(SAISIE!$L20="","",IF(SAISIE!$N20="","",SAISIE!$N20))</f>
        <v/>
      </c>
      <c r="G176" s="63" t="str">
        <f>IF(SAISIE!L20="","",SAISIE!L20)</f>
        <v/>
      </c>
      <c r="H176" s="63"/>
      <c r="I176" s="72"/>
      <c r="J176" s="71"/>
    </row>
    <row r="177" spans="1:15" x14ac:dyDescent="0.25">
      <c r="A177" s="63" t="str">
        <f>IF(AND(G177="",H177=""),"SUPPR",SAISIE!$B$3)</f>
        <v>SUPPR</v>
      </c>
      <c r="B177" s="63" t="str">
        <f>IF(SAISIE!M20="","",IF(LEN(SAISIE!B20)=1,CONCATENATE("0",SAISIE!B20,"/",SAISIE!$B$4,"/",SAISIE!$B$5),CONCATENATE(SAISIE!B20,"/",SAISIE!$B$4,"/",SAISIE!$B$5)))</f>
        <v/>
      </c>
      <c r="C177" s="74" t="str">
        <f>IF(SAISIE!M20="","",SAISIE!$M$8)</f>
        <v/>
      </c>
      <c r="D177" s="74" t="str">
        <f>IF(SAISIE!M20="","",SAISIE!E20)</f>
        <v/>
      </c>
      <c r="E177" s="74" t="str">
        <f>IF(SAISIE!M20="","",SAISIE!F20)</f>
        <v/>
      </c>
      <c r="F177" s="75" t="str">
        <f>IF(SAISIE!$M20="","",IF(SAISIE!$N20="","",SAISIE!$N20))</f>
        <v/>
      </c>
      <c r="G177" s="74" t="str">
        <f>IF(SAISIE!M20="","",SAISIE!M20)</f>
        <v/>
      </c>
      <c r="H177" s="76"/>
      <c r="I177" s="77"/>
      <c r="J177" s="78"/>
    </row>
    <row r="178" spans="1:15" x14ac:dyDescent="0.25">
      <c r="A178" s="63" t="str">
        <f>IF(AND(G178="",H178=""),"SUPPR",SAISIE!$B$3)</f>
        <v>SUPPR</v>
      </c>
      <c r="B178" s="64" t="str">
        <f>IF(SAISIE!B21="","",IF(LEN(SAISIE!B21)=1,CONCATENATE("0",SAISIE!B21,"/",SAISIE!$B$4,"/",SAISIE!$B$5),CONCATENATE(SAISIE!B21,"/",SAISIE!$B$4,"/",SAISIE!$B$5)))</f>
        <v/>
      </c>
      <c r="C178" s="64" t="str">
        <f>IF(SAISIE!B21="","",CONCATENATE($M$2,SAISIE!C21))</f>
        <v/>
      </c>
      <c r="D178" s="64" t="str">
        <f>IF(SAISIE!B21="","",SAISIE!E21)</f>
        <v/>
      </c>
      <c r="E178" s="64" t="str">
        <f>IF(SAISIE!B21="","",SAISIE!F21)</f>
        <v/>
      </c>
      <c r="F178" s="65" t="str">
        <f>IF(A178="SUPPR","",IF(SAISIE!$N21="","",SAISIE!$N21))</f>
        <v/>
      </c>
      <c r="G178" s="64"/>
      <c r="H178" s="64" t="str">
        <f>IF(SAISIE!B21="","",SAISIE!D21)</f>
        <v/>
      </c>
      <c r="I178" s="66"/>
      <c r="J178" s="67" t="str">
        <f>IF(AZ21="","","")</f>
        <v/>
      </c>
      <c r="O178" s="69">
        <f>O162+1</f>
        <v>21</v>
      </c>
    </row>
    <row r="179" spans="1:15" x14ac:dyDescent="0.25">
      <c r="A179" s="63" t="str">
        <f>IF(AND(G179="",H179=""),"SUPPR",SAISIE!$B$3)</f>
        <v>SUPPR</v>
      </c>
      <c r="B179" s="63" t="str">
        <f>IF(SAISIE!P21="","",IF(LEN(SAISIE!B21)=1,CONCATENATE("0",SAISIE!B21,"/",SAISIE!$B$4,"/",SAISIE!$B$5),CONCATENATE(SAISIE!B21,"/",SAISIE!$B$4,"/",SAISIE!$B$5)))</f>
        <v/>
      </c>
      <c r="C179" s="63" t="str">
        <f>IF(SAISIE!P21="","",SAISIE!O21)</f>
        <v/>
      </c>
      <c r="D179" s="63" t="str">
        <f>IF(SAISIE!P21="","",SAISIE!E21)</f>
        <v/>
      </c>
      <c r="E179" s="63" t="str">
        <f>IF(SAISIE!P21="","",SAISIE!F21)</f>
        <v/>
      </c>
      <c r="F179" s="70" t="str">
        <f>IF(SAISIE!$P21="","",IF(SAISIE!$N21="","",SAISIE!$N21))</f>
        <v/>
      </c>
      <c r="G179" s="63" t="str">
        <f>IF(SAISIE!P21="","",SAISIE!P21)</f>
        <v/>
      </c>
      <c r="H179" s="63"/>
      <c r="I179" s="63" t="str">
        <f>IF(SAISIE!$P21="","",SAISIE!$Q21)</f>
        <v/>
      </c>
      <c r="J179" s="71" t="str">
        <f>IF(COUNTBLANK(SAISIE!$J$6:$M$6)=4,"",IF(SAISIE!P21="","",IF(SAISIE!J21&gt;0,SAISIE!$J$6,IF(SAISIE!K21&gt;0,SAISIE!$K$6,IF(SAISIE!L21&gt;0,SAISIE!$L$6,IF(SAISIE!M21&gt;0,SAISIE!$M$6,""))))))</f>
        <v/>
      </c>
      <c r="O179" s="59" t="s">
        <v>50</v>
      </c>
    </row>
    <row r="180" spans="1:15" x14ac:dyDescent="0.25">
      <c r="A180" s="63" t="str">
        <f>IF(AND(G180="",H180=""),"SUPPR",SAISIE!$B$3)</f>
        <v>SUPPR</v>
      </c>
      <c r="B180" s="63" t="str">
        <f>IF(SAISIE!G21="","",IF(LEN(SAISIE!B21)=1,CONCATENATE("0",SAISIE!B21,"/",SAISIE!$B$4,"/",SAISIE!$B$5),CONCATENATE(SAISIE!B21,"/",SAISIE!$B$4,"/",SAISIE!$B$5)))</f>
        <v/>
      </c>
      <c r="C180" s="63" t="str">
        <f>IF(SAISIE!G21="","",SAISIE!$G$8)</f>
        <v/>
      </c>
      <c r="D180" s="63" t="str">
        <f>IF(SAISIE!G21="","",SAISIE!E21)</f>
        <v/>
      </c>
      <c r="E180" s="63" t="str">
        <f>IF(SAISIE!G21="","",SAISIE!F21)</f>
        <v/>
      </c>
      <c r="F180" s="70" t="str">
        <f>IF(SAISIE!$G21="","",IF(SAISIE!$N21="","",SAISIE!$N21))</f>
        <v/>
      </c>
      <c r="G180" s="63" t="str">
        <f>IF(SAISIE!G21="","",SAISIE!G21)</f>
        <v/>
      </c>
      <c r="H180" s="63"/>
      <c r="I180" s="63" t="str">
        <f>IF(SAISIE!$G21="","",SAISIE!$Q21)</f>
        <v/>
      </c>
      <c r="J180" s="71" t="str">
        <f>IF(COUNTBLANK(SAISIE!$J$6:$M$6)=4,"",IF(SAISIE!G21="","",IF(SAISIE!J21&gt;0,SAISIE!$J$6,IF(SAISIE!K21&gt;0,SAISIE!$K$6,IF(SAISIE!L21&gt;0,SAISIE!$L$6,IF(SAISIE!M21&gt;0,SAISIE!$M$6,""))))))</f>
        <v/>
      </c>
      <c r="O180" s="59" t="s">
        <v>51</v>
      </c>
    </row>
    <row r="181" spans="1:15" x14ac:dyDescent="0.25">
      <c r="A181" s="63" t="str">
        <f>IF(AND(G181="",H181=""),"SUPPR",SAISIE!$B$3)</f>
        <v>SUPPR</v>
      </c>
      <c r="B181" s="63" t="str">
        <f>IF(SAISIE!H21="","",IF(LEN(SAISIE!B21)=1,CONCATENATE("0",SAISIE!B21,"/",SAISIE!$B$4,"/",SAISIE!$B$5),CONCATENATE(SAISIE!B21,"/",SAISIE!$B$4,"/",SAISIE!$B$5)))</f>
        <v/>
      </c>
      <c r="C181" s="63" t="str">
        <f>IF(SAISIE!H21="","",SAISIE!$H$8)</f>
        <v/>
      </c>
      <c r="D181" s="63" t="str">
        <f>IF(SAISIE!H21="","",SAISIE!E21)</f>
        <v/>
      </c>
      <c r="E181" s="63" t="str">
        <f>IF(SAISIE!H21="","",SAISIE!F21)</f>
        <v/>
      </c>
      <c r="F181" s="70" t="str">
        <f>IF(SAISIE!$H21="","",IF(SAISIE!$N21="","",SAISIE!$N21))</f>
        <v/>
      </c>
      <c r="G181" s="63" t="str">
        <f>IF(SAISIE!H21="","",SAISIE!H21)</f>
        <v/>
      </c>
      <c r="H181" s="63"/>
      <c r="I181" s="63" t="str">
        <f>IF(SAISIE!$H21="","",SAISIE!$Q21)</f>
        <v/>
      </c>
      <c r="J181" s="71" t="str">
        <f>IF(COUNTBLANK(SAISIE!$J$6:$M$6)=4,"",IF(SAISIE!H21="","",IF(SAISIE!J21&gt;0,SAISIE!$J$6,IF(SAISIE!K21&gt;0,SAISIE!$K$6,IF(SAISIE!L21&gt;0,SAISIE!$L$6,IF(SAISIE!M21&gt;0,SAISIE!$M$6,""))))))</f>
        <v/>
      </c>
      <c r="O181" s="59" t="s">
        <v>52</v>
      </c>
    </row>
    <row r="182" spans="1:15" x14ac:dyDescent="0.25">
      <c r="A182" s="63" t="str">
        <f>IF(AND(G182="",H182=""),"SUPPR",SAISIE!$B$3)</f>
        <v>SUPPR</v>
      </c>
      <c r="B182" s="63" t="str">
        <f>IF(SAISIE!I21="","",IF(LEN(SAISIE!B21)=1,CONCATENATE("0",SAISIE!B21,"/",SAISIE!$B$4,"/",SAISIE!$B$5),CONCATENATE(SAISIE!B21,"/",SAISIE!$B$4,"/",SAISIE!$B$5)))</f>
        <v/>
      </c>
      <c r="C182" s="63" t="str">
        <f>IF(SAISIE!I21="","",SAISIE!$I$8)</f>
        <v/>
      </c>
      <c r="D182" s="63" t="str">
        <f>IF(SAISIE!I21="","",SAISIE!E21)</f>
        <v/>
      </c>
      <c r="E182" s="63" t="str">
        <f>IF(SAISIE!I21="","",SAISIE!F21)</f>
        <v/>
      </c>
      <c r="F182" s="70" t="str">
        <f>IF(SAISIE!$I21="","",IF(SAISIE!$N21="","",SAISIE!$N21))</f>
        <v/>
      </c>
      <c r="G182" s="63" t="str">
        <f>IF(SAISIE!I21="","",SAISIE!I21)</f>
        <v/>
      </c>
      <c r="H182" s="63"/>
      <c r="I182" s="63" t="str">
        <f>IF(SAISIE!$I21="","",SAISIE!$Q21)</f>
        <v/>
      </c>
      <c r="J182" s="71" t="str">
        <f>IF(COUNTBLANK(SAISIE!$J$6:$M$6)=4,"",IF(SAISIE!I21="","",IF(SAISIE!J21&gt;0,SAISIE!$J$6,IF(SAISIE!K21&gt;0,SAISIE!$K$6,IF(SAISIE!L21&gt;0,SAISIE!$L$6,IF(SAISIE!M21&gt;0,SAISIE!$M$6,""))))))</f>
        <v/>
      </c>
      <c r="O182" s="59" t="s">
        <v>53</v>
      </c>
    </row>
    <row r="183" spans="1:15" x14ac:dyDescent="0.25">
      <c r="A183" s="63" t="e">
        <f>IF(AND(G183="",H183=""),"SUPPR",SAISIE!$B$3)</f>
        <v>#REF!</v>
      </c>
      <c r="B183" s="63" t="e">
        <f>IF(SAISIE!#REF!="","",IF(LEN(SAISIE!B21)=1,CONCATENATE("0",SAISIE!B21,"/",SAISIE!$B$4,"/",SAISIE!$B$5),CONCATENATE(SAISIE!B21,"/",SAISIE!$B$4,"/",SAISIE!$B$5)))</f>
        <v>#REF!</v>
      </c>
      <c r="C183" s="63" t="e">
        <f>IF(SAISIE!#REF!="","",SAISIE!#REF!)</f>
        <v>#REF!</v>
      </c>
      <c r="D183" s="63" t="e">
        <f>IF(SAISIE!#REF!="","",SAISIE!E21)</f>
        <v>#REF!</v>
      </c>
      <c r="E183" s="63" t="e">
        <f>IF(SAISIE!#REF!="","",SAISIE!F21)</f>
        <v>#REF!</v>
      </c>
      <c r="F183" s="70" t="e">
        <f>IF(SAISIE!#REF!="","",IF(SAISIE!$N21="","",SAISIE!$N21))</f>
        <v>#REF!</v>
      </c>
      <c r="G183" s="63" t="e">
        <f>IF(SAISIE!#REF!="","",SAISIE!#REF!)</f>
        <v>#REF!</v>
      </c>
      <c r="H183" s="63"/>
      <c r="I183" s="63" t="e">
        <f>IF(SAISIE!#REF!="","",SAISIE!$Q21)</f>
        <v>#REF!</v>
      </c>
      <c r="J183" s="71" t="str">
        <f>IF(COUNTBLANK(SAISIE!$J$6:$M$6)=4,"",IF(SAISIE!#REF!="","",IF(SAISIE!J21&gt;0,SAISIE!$J$6,IF(SAISIE!K21&gt;0,SAISIE!$K$6,IF(SAISIE!L21&gt;0,SAISIE!$L$6,IF(SAISIE!M21&gt;0,SAISIE!$M$6,""))))))</f>
        <v/>
      </c>
      <c r="O183" s="59" t="s">
        <v>54</v>
      </c>
    </row>
    <row r="184" spans="1:15" x14ac:dyDescent="0.25">
      <c r="A184" s="63" t="e">
        <f>IF(AND(G184="",H184=""),"SUPPR",SAISIE!$B$3)</f>
        <v>#REF!</v>
      </c>
      <c r="B184" s="63" t="e">
        <f>IF(SAISIE!#REF!="","",IF(LEN(SAISIE!B21)=1,CONCATENATE("0",SAISIE!B21,"/",SAISIE!$B$4,"/",SAISIE!$B$5),CONCATENATE(SAISIE!B21,"/",SAISIE!$B$4,"/",SAISIE!$B$5)))</f>
        <v>#REF!</v>
      </c>
      <c r="C184" s="63" t="e">
        <f>IF(SAISIE!#REF!="","",SAISIE!#REF!)</f>
        <v>#REF!</v>
      </c>
      <c r="D184" s="63" t="e">
        <f>IF(SAISIE!#REF!="","",SAISIE!E21)</f>
        <v>#REF!</v>
      </c>
      <c r="E184" s="63" t="e">
        <f>IF(SAISIE!#REF!="","",SAISIE!F21)</f>
        <v>#REF!</v>
      </c>
      <c r="F184" s="70" t="e">
        <f>IF(SAISIE!#REF!="","",IF(SAISIE!$N21="","",SAISIE!$N21))</f>
        <v>#REF!</v>
      </c>
      <c r="G184" s="63" t="e">
        <f>IF(SAISIE!#REF!="","",SAISIE!#REF!)</f>
        <v>#REF!</v>
      </c>
      <c r="H184" s="63"/>
      <c r="I184" s="63" t="e">
        <f>IF(SAISIE!#REF!="","",SAISIE!$Q21)</f>
        <v>#REF!</v>
      </c>
      <c r="J184" s="71" t="str">
        <f>IF(COUNTBLANK(SAISIE!$J$6:$M$6)=4,"",IF(SAISIE!#REF!="","",IF(SAISIE!J21&gt;0,SAISIE!$J$6,IF(SAISIE!K21&gt;0,SAISIE!$K$6,IF(SAISIE!L21&gt;0,SAISIE!$L$6,IF(SAISIE!M21&gt;0,SAISIE!$M$6,""))))))</f>
        <v/>
      </c>
      <c r="O184" s="59" t="s">
        <v>55</v>
      </c>
    </row>
    <row r="185" spans="1:15" x14ac:dyDescent="0.25">
      <c r="A185" s="63" t="e">
        <f>IF(AND(G185="",H185=""),"SUPPR",SAISIE!$B$3)</f>
        <v>#REF!</v>
      </c>
      <c r="B185" s="63" t="e">
        <f>IF(SAISIE!#REF!="","",IF(LEN(SAISIE!B21)=1,CONCATENATE("0",SAISIE!B21,"/",SAISIE!$B$4,"/",SAISIE!$B$5),CONCATENATE(SAISIE!B21,"/",SAISIE!$B$4,"/",SAISIE!$B$5)))</f>
        <v>#REF!</v>
      </c>
      <c r="C185" s="63" t="e">
        <f>IF(SAISIE!#REF!="","",SAISIE!#REF!)</f>
        <v>#REF!</v>
      </c>
      <c r="D185" s="63" t="e">
        <f>IF(SAISIE!#REF!="","",SAISIE!E21)</f>
        <v>#REF!</v>
      </c>
      <c r="E185" s="63" t="e">
        <f>IF(SAISIE!#REF!="","",SAISIE!F21)</f>
        <v>#REF!</v>
      </c>
      <c r="F185" s="70" t="e">
        <f>IF(SAISIE!#REF!="","",IF(SAISIE!$N21="","",SAISIE!$N21))</f>
        <v>#REF!</v>
      </c>
      <c r="G185" s="63" t="e">
        <f>IF(SAISIE!#REF!="","",SAISIE!#REF!)</f>
        <v>#REF!</v>
      </c>
      <c r="H185" s="63"/>
      <c r="I185" s="63" t="e">
        <f>IF(SAISIE!#REF!="","",SAISIE!$Q21)</f>
        <v>#REF!</v>
      </c>
      <c r="J185" s="71" t="str">
        <f>IF(COUNTBLANK(SAISIE!$J$6:$M$6)=4,"",IF(SAISIE!#REF!="","",IF(SAISIE!J21&gt;0,SAISIE!$J$6,IF(SAISIE!K21&gt;0,SAISIE!$K$6,IF(SAISIE!L21&gt;0,SAISIE!$L$6,IF(SAISIE!M21&gt;0,SAISIE!$M$6,""))))))</f>
        <v/>
      </c>
      <c r="O185" s="59" t="s">
        <v>56</v>
      </c>
    </row>
    <row r="186" spans="1:15" x14ac:dyDescent="0.25">
      <c r="A186" s="63" t="e">
        <f>IF(AND(G186="",H186=""),"SUPPR",SAISIE!$B$3)</f>
        <v>#REF!</v>
      </c>
      <c r="B186" s="63" t="e">
        <f>IF(SAISIE!#REF!="","",IF(LEN(SAISIE!B21)=1,CONCATENATE("0",SAISIE!B21,"/",SAISIE!$B$4,"/",SAISIE!$B$5),CONCATENATE(SAISIE!B21,"/",SAISIE!$B$4,"/",SAISIE!$B$5)))</f>
        <v>#REF!</v>
      </c>
      <c r="C186" s="63" t="e">
        <f>IF(SAISIE!#REF!="","",SAISIE!#REF!)</f>
        <v>#REF!</v>
      </c>
      <c r="D186" s="63" t="e">
        <f>IF(SAISIE!#REF!="","",SAISIE!E21)</f>
        <v>#REF!</v>
      </c>
      <c r="E186" s="63" t="e">
        <f>IF(SAISIE!#REF!="","",SAISIE!F21)</f>
        <v>#REF!</v>
      </c>
      <c r="F186" s="70" t="e">
        <f>IF(SAISIE!#REF!="","",IF(SAISIE!$N21="","",SAISIE!$N21))</f>
        <v>#REF!</v>
      </c>
      <c r="G186" s="63" t="e">
        <f>IF(SAISIE!#REF!="","",SAISIE!#REF!)</f>
        <v>#REF!</v>
      </c>
      <c r="H186" s="63"/>
      <c r="I186" s="63" t="e">
        <f>IF(SAISIE!#REF!="","",SAISIE!$Q21)</f>
        <v>#REF!</v>
      </c>
      <c r="J186" s="71" t="str">
        <f>IF(COUNTBLANK(SAISIE!$J$6:$M$6)=4,"",IF(SAISIE!#REF!="","",IF(SAISIE!J21&gt;0,SAISIE!$J$6,IF(SAISIE!K21&gt;0,SAISIE!$K$6,IF(SAISIE!L21&gt;0,SAISIE!$L$6,IF(SAISIE!M21&gt;0,SAISIE!$M$6,""))))))</f>
        <v/>
      </c>
      <c r="O186" s="59" t="s">
        <v>57</v>
      </c>
    </row>
    <row r="187" spans="1:15" x14ac:dyDescent="0.25">
      <c r="A187" s="63" t="e">
        <f>IF(AND(G187="",H187=""),"SUPPR",SAISIE!$B$3)</f>
        <v>#REF!</v>
      </c>
      <c r="B187" s="63" t="e">
        <f>IF(SAISIE!#REF!="","",IF(LEN(SAISIE!B21)=1,CONCATENATE("0",SAISIE!B21,"/",SAISIE!$B$4,"/",SAISIE!$B$5),CONCATENATE(SAISIE!B21,"/",SAISIE!$B$4,"/",SAISIE!$B$5)))</f>
        <v>#REF!</v>
      </c>
      <c r="C187" s="63" t="e">
        <f>IF(SAISIE!#REF!="","",SAISIE!#REF!)</f>
        <v>#REF!</v>
      </c>
      <c r="D187" s="63" t="e">
        <f>IF(SAISIE!#REF!="","",SAISIE!E21)</f>
        <v>#REF!</v>
      </c>
      <c r="E187" s="63" t="e">
        <f>IF(SAISIE!#REF!="","",SAISIE!F21)</f>
        <v>#REF!</v>
      </c>
      <c r="F187" s="70" t="e">
        <f>IF(SAISIE!#REF!="","",IF(SAISIE!$N21="","",SAISIE!$N21))</f>
        <v>#REF!</v>
      </c>
      <c r="G187" s="63" t="e">
        <f>IF(SAISIE!#REF!="","",SAISIE!#REF!)</f>
        <v>#REF!</v>
      </c>
      <c r="H187" s="63"/>
      <c r="I187" s="63" t="e">
        <f>IF(SAISIE!#REF!="","",SAISIE!$Q21)</f>
        <v>#REF!</v>
      </c>
      <c r="J187" s="71" t="str">
        <f>IF(COUNTBLANK(SAISIE!$J$6:$M$6)=4,"",IF(SAISIE!#REF!="","",IF(SAISIE!J21&gt;0,SAISIE!$J$6,IF(SAISIE!K21&gt;0,SAISIE!$K$6,IF(SAISIE!L21&gt;0,SAISIE!$L$6,IF(SAISIE!M21&gt;0,SAISIE!$M$6,""))))))</f>
        <v/>
      </c>
      <c r="O187" s="59" t="s">
        <v>58</v>
      </c>
    </row>
    <row r="188" spans="1:15" x14ac:dyDescent="0.25">
      <c r="A188" s="63" t="e">
        <f>IF(AND(G188="",H188=""),"SUPPR",SAISIE!$B$3)</f>
        <v>#REF!</v>
      </c>
      <c r="B188" s="63" t="e">
        <f>IF(SAISIE!#REF!="","",IF(LEN(SAISIE!B21)=1,CONCATENATE("0",SAISIE!B21,"/",SAISIE!$B$4,"/",SAISIE!$B$5),CONCATENATE(SAISIE!B21,"/",SAISIE!$B$4,"/",SAISIE!$B$5)))</f>
        <v>#REF!</v>
      </c>
      <c r="C188" s="63" t="e">
        <f>IF(SAISIE!#REF!="","",SAISIE!#REF!)</f>
        <v>#REF!</v>
      </c>
      <c r="D188" s="63" t="e">
        <f>IF(SAISIE!#REF!="","",SAISIE!E21)</f>
        <v>#REF!</v>
      </c>
      <c r="E188" s="63" t="e">
        <f>IF(SAISIE!#REF!="","",SAISIE!F21)</f>
        <v>#REF!</v>
      </c>
      <c r="F188" s="70" t="e">
        <f>IF(SAISIE!#REF!="","",IF(SAISIE!$N21="","",SAISIE!$N21))</f>
        <v>#REF!</v>
      </c>
      <c r="G188" s="63" t="e">
        <f>IF(SAISIE!#REF!="","",SAISIE!#REF!)</f>
        <v>#REF!</v>
      </c>
      <c r="H188" s="63"/>
      <c r="I188" s="63" t="e">
        <f>IF(SAISIE!#REF!="","",SAISIE!$Q21)</f>
        <v>#REF!</v>
      </c>
      <c r="J188" s="71" t="str">
        <f>IF(COUNTBLANK(SAISIE!$J$6:$M$6)=4,"",IF(SAISIE!#REF!="","",IF(SAISIE!J21&gt;0,SAISIE!$J$6,IF(SAISIE!K21&gt;0,SAISIE!$K$6,IF(SAISIE!L21&gt;0,SAISIE!$L$6,IF(SAISIE!M21&gt;0,SAISIE!$M$6,""))))))</f>
        <v/>
      </c>
      <c r="O188" s="59" t="s">
        <v>59</v>
      </c>
    </row>
    <row r="189" spans="1:15" x14ac:dyDescent="0.25">
      <c r="A189" s="63" t="e">
        <f>IF(AND(G189="",H189=""),"SUPPR",SAISIE!$B$3)</f>
        <v>#REF!</v>
      </c>
      <c r="B189" s="63" t="e">
        <f>IF(SAISIE!#REF!="","",IF(LEN(SAISIE!B21)=1,CONCATENATE("0",SAISIE!B21,"/",SAISIE!$B$4,"/",SAISIE!$B$5),CONCATENATE(SAISIE!B21,"/",SAISIE!$B$4,"/",SAISIE!$B$5)))</f>
        <v>#REF!</v>
      </c>
      <c r="C189" s="63" t="e">
        <f>IF(SAISIE!#REF!="","",SAISIE!#REF!)</f>
        <v>#REF!</v>
      </c>
      <c r="D189" s="63" t="e">
        <f>IF(SAISIE!#REF!="","",SAISIE!E21)</f>
        <v>#REF!</v>
      </c>
      <c r="E189" s="63" t="e">
        <f>IF(SAISIE!#REF!="","",SAISIE!F21)</f>
        <v>#REF!</v>
      </c>
      <c r="F189" s="70" t="e">
        <f>IF(SAISIE!#REF!="","",IF(SAISIE!$N21="","",SAISIE!$N21))</f>
        <v>#REF!</v>
      </c>
      <c r="G189" s="63" t="e">
        <f>IF(SAISIE!#REF!="","",SAISIE!#REF!)</f>
        <v>#REF!</v>
      </c>
      <c r="H189" s="63"/>
      <c r="I189" s="63" t="e">
        <f>IF(SAISIE!#REF!="","",SAISIE!$Q21)</f>
        <v>#REF!</v>
      </c>
      <c r="J189" s="71" t="str">
        <f>IF(COUNTBLANK(SAISIE!$J$6:$M$6)=4,"",IF(SAISIE!#REF!="","",IF(SAISIE!J21&gt;0,SAISIE!$J$6,IF(SAISIE!K21&gt;0,SAISIE!$K$6,IF(SAISIE!L21&gt;0,SAISIE!$L$6,IF(SAISIE!M21&gt;0,SAISIE!$M$6,""))))))</f>
        <v/>
      </c>
      <c r="O189" s="59" t="s">
        <v>60</v>
      </c>
    </row>
    <row r="190" spans="1:15" x14ac:dyDescent="0.25">
      <c r="A190" s="63" t="str">
        <f>IF(AND(G190="",H190=""),"SUPPR",SAISIE!$B$3)</f>
        <v>SUPPR</v>
      </c>
      <c r="B190" s="63" t="str">
        <f>IF(SAISIE!J21="","",IF(LEN(SAISIE!B21)=1,CONCATENATE("0",SAISIE!B21,"/",SAISIE!$B$4,"/",SAISIE!$B$5),CONCATENATE(SAISIE!B21,"/",SAISIE!$B$4,"/",SAISIE!$B$5)))</f>
        <v/>
      </c>
      <c r="C190" s="63" t="str">
        <f>IF(SAISIE!J21="","",SAISIE!$J$8)</f>
        <v/>
      </c>
      <c r="D190" s="63" t="str">
        <f>IF(SAISIE!J21="","",SAISIE!E21)</f>
        <v/>
      </c>
      <c r="E190" s="63" t="str">
        <f>IF(SAISIE!J21="","",SAISIE!F21)</f>
        <v/>
      </c>
      <c r="F190" s="70" t="str">
        <f>IF(SAISIE!$J21="","",IF(SAISIE!$N21="","",SAISIE!$N21))</f>
        <v/>
      </c>
      <c r="G190" s="63" t="str">
        <f>IF(SAISIE!J21="","",SAISIE!J21)</f>
        <v/>
      </c>
      <c r="H190" s="63"/>
      <c r="I190" s="72"/>
      <c r="J190" s="71"/>
      <c r="O190" s="73"/>
    </row>
    <row r="191" spans="1:15" x14ac:dyDescent="0.25">
      <c r="A191" s="63" t="str">
        <f>IF(AND(G191="",H191=""),"SUPPR",SAISIE!$B$3)</f>
        <v>SUPPR</v>
      </c>
      <c r="B191" s="63" t="str">
        <f>IF(SAISIE!K21="","",IF(LEN(SAISIE!B21)=1,CONCATENATE("0",SAISIE!B21,"/",SAISIE!$B$4,"/",SAISIE!$B$5),CONCATENATE(SAISIE!B21,"/",SAISIE!$B$4,"/",SAISIE!$B$5)))</f>
        <v/>
      </c>
      <c r="C191" s="63" t="str">
        <f>IF(SAISIE!K21="","",SAISIE!$K$8)</f>
        <v/>
      </c>
      <c r="D191" s="63" t="str">
        <f>IF(SAISIE!K21="","",SAISIE!E21)</f>
        <v/>
      </c>
      <c r="E191" s="63" t="str">
        <f>IF(SAISIE!K21="","",SAISIE!F21)</f>
        <v/>
      </c>
      <c r="F191" s="70" t="str">
        <f>IF(SAISIE!$K21="","",IF(SAISIE!$N21="","",SAISIE!$N21))</f>
        <v/>
      </c>
      <c r="G191" s="63" t="str">
        <f>IF(SAISIE!K21="","",SAISIE!K21)</f>
        <v/>
      </c>
      <c r="H191" s="63"/>
      <c r="I191" s="72"/>
      <c r="J191" s="71"/>
    </row>
    <row r="192" spans="1:15" x14ac:dyDescent="0.25">
      <c r="A192" s="63" t="str">
        <f>IF(AND(G192="",H192=""),"SUPPR",SAISIE!$B$3)</f>
        <v>SUPPR</v>
      </c>
      <c r="B192" s="63" t="str">
        <f>IF(SAISIE!L21="","",IF(LEN(SAISIE!B21)=1,CONCATENATE("0",SAISIE!B21,"/",SAISIE!$B$4,"/",SAISIE!$B$5),CONCATENATE(SAISIE!B21,"/",SAISIE!$B$4,"/",SAISIE!$B$5)))</f>
        <v/>
      </c>
      <c r="C192" s="63" t="str">
        <f>IF(SAISIE!L21="","",SAISIE!$L$8)</f>
        <v/>
      </c>
      <c r="D192" s="63" t="str">
        <f>IF(SAISIE!L21="","",SAISIE!E21)</f>
        <v/>
      </c>
      <c r="E192" s="63" t="str">
        <f>IF(SAISIE!L21="","",SAISIE!F21)</f>
        <v/>
      </c>
      <c r="F192" s="70" t="str">
        <f>IF(SAISIE!$L21="","",IF(SAISIE!$N21="","",SAISIE!$N21))</f>
        <v/>
      </c>
      <c r="G192" s="63" t="str">
        <f>IF(SAISIE!L21="","",SAISIE!L21)</f>
        <v/>
      </c>
      <c r="H192" s="63"/>
      <c r="I192" s="72"/>
      <c r="J192" s="71"/>
    </row>
    <row r="193" spans="1:15" x14ac:dyDescent="0.25">
      <c r="A193" s="63" t="str">
        <f>IF(AND(G193="",H193=""),"SUPPR",SAISIE!$B$3)</f>
        <v>SUPPR</v>
      </c>
      <c r="B193" s="63" t="str">
        <f>IF(SAISIE!M21="","",IF(LEN(SAISIE!B21)=1,CONCATENATE("0",SAISIE!B21,"/",SAISIE!$B$4,"/",SAISIE!$B$5),CONCATENATE(SAISIE!B21,"/",SAISIE!$B$4,"/",SAISIE!$B$5)))</f>
        <v/>
      </c>
      <c r="C193" s="74" t="str">
        <f>IF(SAISIE!M21="","",SAISIE!$M$8)</f>
        <v/>
      </c>
      <c r="D193" s="74" t="str">
        <f>IF(SAISIE!M21="","",SAISIE!E21)</f>
        <v/>
      </c>
      <c r="E193" s="74" t="str">
        <f>IF(SAISIE!M21="","",SAISIE!F21)</f>
        <v/>
      </c>
      <c r="F193" s="75" t="str">
        <f>IF(SAISIE!$M21="","",IF(SAISIE!$N21="","",SAISIE!$N21))</f>
        <v/>
      </c>
      <c r="G193" s="74" t="str">
        <f>IF(SAISIE!M21="","",SAISIE!M21)</f>
        <v/>
      </c>
      <c r="H193" s="76"/>
      <c r="I193" s="77"/>
      <c r="J193" s="78"/>
    </row>
    <row r="194" spans="1:15" x14ac:dyDescent="0.25">
      <c r="A194" s="63" t="str">
        <f>IF(AND(G194="",H194=""),"SUPPR",SAISIE!$B$3)</f>
        <v>SUPPR</v>
      </c>
      <c r="B194" s="64" t="str">
        <f>IF(SAISIE!B22="","",IF(LEN(SAISIE!B22)=1,CONCATENATE("0",SAISIE!B22,"/",SAISIE!$B$4,"/",SAISIE!$B$5),CONCATENATE(SAISIE!B22,"/",SAISIE!$B$4,"/",SAISIE!$B$5)))</f>
        <v/>
      </c>
      <c r="C194" s="64" t="str">
        <f>IF(SAISIE!B22="","",CONCATENATE($M$2,SAISIE!C22))</f>
        <v/>
      </c>
      <c r="D194" s="64" t="str">
        <f>IF(SAISIE!B22="","",SAISIE!E22)</f>
        <v/>
      </c>
      <c r="E194" s="64" t="str">
        <f>IF(SAISIE!B22="","",SAISIE!F22)</f>
        <v/>
      </c>
      <c r="F194" s="65" t="str">
        <f>IF(A194="SUPPR","",IF(SAISIE!$N22="","",SAISIE!$N22))</f>
        <v/>
      </c>
      <c r="G194" s="64"/>
      <c r="H194" s="64" t="str">
        <f>IF(SAISIE!B22="","",SAISIE!D22)</f>
        <v/>
      </c>
      <c r="I194" s="66"/>
      <c r="J194" s="67" t="str">
        <f>IF(AZ22="","","")</f>
        <v/>
      </c>
      <c r="O194" s="69">
        <f>O178+1</f>
        <v>22</v>
      </c>
    </row>
    <row r="195" spans="1:15" x14ac:dyDescent="0.25">
      <c r="A195" s="63" t="str">
        <f>IF(AND(G195="",H195=""),"SUPPR",SAISIE!$B$3)</f>
        <v>SUPPR</v>
      </c>
      <c r="B195" s="63" t="str">
        <f>IF(SAISIE!P22="","",IF(LEN(SAISIE!B22)=1,CONCATENATE("0",SAISIE!B22,"/",SAISIE!$B$4,"/",SAISIE!$B$5),CONCATENATE(SAISIE!B22,"/",SAISIE!$B$4,"/",SAISIE!$B$5)))</f>
        <v/>
      </c>
      <c r="C195" s="63" t="str">
        <f>IF(SAISIE!P22="","",SAISIE!O22)</f>
        <v/>
      </c>
      <c r="D195" s="63" t="str">
        <f>IF(SAISIE!P22="","",SAISIE!E22)</f>
        <v/>
      </c>
      <c r="E195" s="63" t="str">
        <f>IF(SAISIE!P22="","",SAISIE!F22)</f>
        <v/>
      </c>
      <c r="F195" s="70" t="str">
        <f>IF(SAISIE!$P22="","",IF(SAISIE!$N22="","",SAISIE!$N22))</f>
        <v/>
      </c>
      <c r="G195" s="63" t="str">
        <f>IF(SAISIE!P22="","",SAISIE!P22)</f>
        <v/>
      </c>
      <c r="H195" s="63"/>
      <c r="I195" s="63" t="str">
        <f>IF(SAISIE!$P22="","",SAISIE!$Q22)</f>
        <v/>
      </c>
      <c r="J195" s="71" t="str">
        <f>IF(COUNTBLANK(SAISIE!$J$6:$M$6)=4,"",IF(SAISIE!P22="","",IF(SAISIE!J22&gt;0,SAISIE!$J$6,IF(SAISIE!K22&gt;0,SAISIE!$K$6,IF(SAISIE!L22&gt;0,SAISIE!$L$6,IF(SAISIE!M22&gt;0,SAISIE!$M$6,""))))))</f>
        <v/>
      </c>
      <c r="O195" s="59" t="s">
        <v>50</v>
      </c>
    </row>
    <row r="196" spans="1:15" x14ac:dyDescent="0.25">
      <c r="A196" s="63" t="str">
        <f>IF(AND(G196="",H196=""),"SUPPR",SAISIE!$B$3)</f>
        <v>SUPPR</v>
      </c>
      <c r="B196" s="63" t="str">
        <f>IF(SAISIE!G22="","",IF(LEN(SAISIE!B22)=1,CONCATENATE("0",SAISIE!B22,"/",SAISIE!$B$4,"/",SAISIE!$B$5),CONCATENATE(SAISIE!B22,"/",SAISIE!$B$4,"/",SAISIE!$B$5)))</f>
        <v/>
      </c>
      <c r="C196" s="63" t="str">
        <f>IF(SAISIE!G22="","",SAISIE!$G$8)</f>
        <v/>
      </c>
      <c r="D196" s="63" t="str">
        <f>IF(SAISIE!G22="","",SAISIE!E22)</f>
        <v/>
      </c>
      <c r="E196" s="63" t="str">
        <f>IF(SAISIE!G22="","",SAISIE!F22)</f>
        <v/>
      </c>
      <c r="F196" s="70" t="str">
        <f>IF(SAISIE!$G22="","",IF(SAISIE!$N22="","",SAISIE!$N22))</f>
        <v/>
      </c>
      <c r="G196" s="63" t="str">
        <f>IF(SAISIE!G22="","",SAISIE!G22)</f>
        <v/>
      </c>
      <c r="H196" s="63"/>
      <c r="I196" s="63" t="str">
        <f>IF(SAISIE!$G22="","",SAISIE!$Q22)</f>
        <v/>
      </c>
      <c r="J196" s="71" t="str">
        <f>IF(COUNTBLANK(SAISIE!$J$6:$M$6)=4,"",IF(SAISIE!G22="","",IF(SAISIE!J22&gt;0,SAISIE!$J$6,IF(SAISIE!K22&gt;0,SAISIE!$K$6,IF(SAISIE!L22&gt;0,SAISIE!$L$6,IF(SAISIE!M22&gt;0,SAISIE!$M$6,""))))))</f>
        <v/>
      </c>
      <c r="O196" s="59" t="s">
        <v>51</v>
      </c>
    </row>
    <row r="197" spans="1:15" x14ac:dyDescent="0.25">
      <c r="A197" s="63" t="str">
        <f>IF(AND(G197="",H197=""),"SUPPR",SAISIE!$B$3)</f>
        <v>SUPPR</v>
      </c>
      <c r="B197" s="63" t="str">
        <f>IF(SAISIE!H22="","",IF(LEN(SAISIE!B22)=1,CONCATENATE("0",SAISIE!B22,"/",SAISIE!$B$4,"/",SAISIE!$B$5),CONCATENATE(SAISIE!B22,"/",SAISIE!$B$4,"/",SAISIE!$B$5)))</f>
        <v/>
      </c>
      <c r="C197" s="63" t="str">
        <f>IF(SAISIE!H22="","",SAISIE!$H$8)</f>
        <v/>
      </c>
      <c r="D197" s="63" t="str">
        <f>IF(SAISIE!H22="","",SAISIE!E22)</f>
        <v/>
      </c>
      <c r="E197" s="63" t="str">
        <f>IF(SAISIE!H22="","",SAISIE!F22)</f>
        <v/>
      </c>
      <c r="F197" s="70" t="str">
        <f>IF(SAISIE!$H22="","",IF(SAISIE!$N22="","",SAISIE!$N22))</f>
        <v/>
      </c>
      <c r="G197" s="63" t="str">
        <f>IF(SAISIE!H22="","",SAISIE!H22)</f>
        <v/>
      </c>
      <c r="H197" s="63"/>
      <c r="I197" s="63" t="str">
        <f>IF(SAISIE!$H22="","",SAISIE!$Q22)</f>
        <v/>
      </c>
      <c r="J197" s="71" t="str">
        <f>IF(COUNTBLANK(SAISIE!$J$6:$M$6)=4,"",IF(SAISIE!H22="","",IF(SAISIE!J22&gt;0,SAISIE!$J$6,IF(SAISIE!K22&gt;0,SAISIE!$K$6,IF(SAISIE!L22&gt;0,SAISIE!$L$6,IF(SAISIE!M22&gt;0,SAISIE!$M$6,""))))))</f>
        <v/>
      </c>
      <c r="O197" s="59" t="s">
        <v>52</v>
      </c>
    </row>
    <row r="198" spans="1:15" x14ac:dyDescent="0.25">
      <c r="A198" s="63" t="str">
        <f>IF(AND(G198="",H198=""),"SUPPR",SAISIE!$B$3)</f>
        <v>SUPPR</v>
      </c>
      <c r="B198" s="63" t="str">
        <f>IF(SAISIE!I22="","",IF(LEN(SAISIE!B22)=1,CONCATENATE("0",SAISIE!B22,"/",SAISIE!$B$4,"/",SAISIE!$B$5),CONCATENATE(SAISIE!B22,"/",SAISIE!$B$4,"/",SAISIE!$B$5)))</f>
        <v/>
      </c>
      <c r="C198" s="63" t="str">
        <f>IF(SAISIE!I22="","",SAISIE!$I$8)</f>
        <v/>
      </c>
      <c r="D198" s="63" t="str">
        <f>IF(SAISIE!I22="","",SAISIE!E22)</f>
        <v/>
      </c>
      <c r="E198" s="63" t="str">
        <f>IF(SAISIE!I22="","",SAISIE!F22)</f>
        <v/>
      </c>
      <c r="F198" s="70" t="str">
        <f>IF(SAISIE!$I22="","",IF(SAISIE!$N22="","",SAISIE!$N22))</f>
        <v/>
      </c>
      <c r="G198" s="63" t="str">
        <f>IF(SAISIE!I22="","",SAISIE!I22)</f>
        <v/>
      </c>
      <c r="H198" s="63"/>
      <c r="I198" s="63" t="str">
        <f>IF(SAISIE!$I22="","",SAISIE!$Q22)</f>
        <v/>
      </c>
      <c r="J198" s="71" t="str">
        <f>IF(COUNTBLANK(SAISIE!$J$6:$M$6)=4,"",IF(SAISIE!I22="","",IF(SAISIE!J22&gt;0,SAISIE!$J$6,IF(SAISIE!K22&gt;0,SAISIE!$K$6,IF(SAISIE!L22&gt;0,SAISIE!$L$6,IF(SAISIE!M22&gt;0,SAISIE!$M$6,""))))))</f>
        <v/>
      </c>
      <c r="O198" s="59" t="s">
        <v>53</v>
      </c>
    </row>
    <row r="199" spans="1:15" x14ac:dyDescent="0.25">
      <c r="A199" s="63" t="e">
        <f>IF(AND(G199="",H199=""),"SUPPR",SAISIE!$B$3)</f>
        <v>#REF!</v>
      </c>
      <c r="B199" s="63" t="e">
        <f>IF(SAISIE!#REF!="","",IF(LEN(SAISIE!B22)=1,CONCATENATE("0",SAISIE!B22,"/",SAISIE!$B$4,"/",SAISIE!$B$5),CONCATENATE(SAISIE!B22,"/",SAISIE!$B$4,"/",SAISIE!$B$5)))</f>
        <v>#REF!</v>
      </c>
      <c r="C199" s="63" t="e">
        <f>IF(SAISIE!#REF!="","",SAISIE!#REF!)</f>
        <v>#REF!</v>
      </c>
      <c r="D199" s="63" t="e">
        <f>IF(SAISIE!#REF!="","",SAISIE!E22)</f>
        <v>#REF!</v>
      </c>
      <c r="E199" s="63" t="e">
        <f>IF(SAISIE!#REF!="","",SAISIE!F22)</f>
        <v>#REF!</v>
      </c>
      <c r="F199" s="70" t="e">
        <f>IF(SAISIE!#REF!="","",IF(SAISIE!$N22="","",SAISIE!$N22))</f>
        <v>#REF!</v>
      </c>
      <c r="G199" s="63" t="e">
        <f>IF(SAISIE!#REF!="","",SAISIE!#REF!)</f>
        <v>#REF!</v>
      </c>
      <c r="H199" s="63"/>
      <c r="I199" s="63" t="e">
        <f>IF(SAISIE!#REF!="","",SAISIE!$Q22)</f>
        <v>#REF!</v>
      </c>
      <c r="J199" s="71" t="str">
        <f>IF(COUNTBLANK(SAISIE!$J$6:$M$6)=4,"",IF(SAISIE!#REF!="","",IF(SAISIE!J22&gt;0,SAISIE!$J$6,IF(SAISIE!K22&gt;0,SAISIE!$K$6,IF(SAISIE!L22&gt;0,SAISIE!$L$6,IF(SAISIE!M22&gt;0,SAISIE!$M$6,""))))))</f>
        <v/>
      </c>
      <c r="O199" s="59" t="s">
        <v>54</v>
      </c>
    </row>
    <row r="200" spans="1:15" x14ac:dyDescent="0.25">
      <c r="A200" s="63" t="e">
        <f>IF(AND(G200="",H200=""),"SUPPR",SAISIE!$B$3)</f>
        <v>#REF!</v>
      </c>
      <c r="B200" s="63" t="e">
        <f>IF(SAISIE!#REF!="","",IF(LEN(SAISIE!B22)=1,CONCATENATE("0",SAISIE!B22,"/",SAISIE!$B$4,"/",SAISIE!$B$5),CONCATENATE(SAISIE!B22,"/",SAISIE!$B$4,"/",SAISIE!$B$5)))</f>
        <v>#REF!</v>
      </c>
      <c r="C200" s="63" t="e">
        <f>IF(SAISIE!#REF!="","",SAISIE!#REF!)</f>
        <v>#REF!</v>
      </c>
      <c r="D200" s="63" t="e">
        <f>IF(SAISIE!#REF!="","",SAISIE!E22)</f>
        <v>#REF!</v>
      </c>
      <c r="E200" s="63" t="e">
        <f>IF(SAISIE!#REF!="","",SAISIE!F22)</f>
        <v>#REF!</v>
      </c>
      <c r="F200" s="70" t="e">
        <f>IF(SAISIE!#REF!="","",IF(SAISIE!$N22="","",SAISIE!$N22))</f>
        <v>#REF!</v>
      </c>
      <c r="G200" s="63" t="e">
        <f>IF(SAISIE!#REF!="","",SAISIE!#REF!)</f>
        <v>#REF!</v>
      </c>
      <c r="H200" s="63"/>
      <c r="I200" s="63" t="e">
        <f>IF(SAISIE!#REF!="","",SAISIE!$Q22)</f>
        <v>#REF!</v>
      </c>
      <c r="J200" s="71" t="str">
        <f>IF(COUNTBLANK(SAISIE!$J$6:$M$6)=4,"",IF(SAISIE!#REF!="","",IF(SAISIE!J22&gt;0,SAISIE!$J$6,IF(SAISIE!K22&gt;0,SAISIE!$K$6,IF(SAISIE!L22&gt;0,SAISIE!$L$6,IF(SAISIE!M22&gt;0,SAISIE!$M$6,""))))))</f>
        <v/>
      </c>
      <c r="O200" s="59" t="s">
        <v>55</v>
      </c>
    </row>
    <row r="201" spans="1:15" x14ac:dyDescent="0.25">
      <c r="A201" s="63" t="e">
        <f>IF(AND(G201="",H201=""),"SUPPR",SAISIE!$B$3)</f>
        <v>#REF!</v>
      </c>
      <c r="B201" s="63" t="e">
        <f>IF(SAISIE!#REF!="","",IF(LEN(SAISIE!B22)=1,CONCATENATE("0",SAISIE!B22,"/",SAISIE!$B$4,"/",SAISIE!$B$5),CONCATENATE(SAISIE!B22,"/",SAISIE!$B$4,"/",SAISIE!$B$5)))</f>
        <v>#REF!</v>
      </c>
      <c r="C201" s="63" t="e">
        <f>IF(SAISIE!#REF!="","",SAISIE!#REF!)</f>
        <v>#REF!</v>
      </c>
      <c r="D201" s="63" t="e">
        <f>IF(SAISIE!#REF!="","",SAISIE!E22)</f>
        <v>#REF!</v>
      </c>
      <c r="E201" s="63" t="e">
        <f>IF(SAISIE!#REF!="","",SAISIE!F22)</f>
        <v>#REF!</v>
      </c>
      <c r="F201" s="70" t="e">
        <f>IF(SAISIE!#REF!="","",IF(SAISIE!$N22="","",SAISIE!$N22))</f>
        <v>#REF!</v>
      </c>
      <c r="G201" s="63" t="e">
        <f>IF(SAISIE!#REF!="","",SAISIE!#REF!)</f>
        <v>#REF!</v>
      </c>
      <c r="H201" s="63"/>
      <c r="I201" s="63" t="e">
        <f>IF(SAISIE!#REF!="","",SAISIE!$Q22)</f>
        <v>#REF!</v>
      </c>
      <c r="J201" s="71" t="str">
        <f>IF(COUNTBLANK(SAISIE!$J$6:$M$6)=4,"",IF(SAISIE!#REF!="","",IF(SAISIE!J22&gt;0,SAISIE!$J$6,IF(SAISIE!K22&gt;0,SAISIE!$K$6,IF(SAISIE!L22&gt;0,SAISIE!$L$6,IF(SAISIE!M22&gt;0,SAISIE!$M$6,""))))))</f>
        <v/>
      </c>
      <c r="O201" s="59" t="s">
        <v>56</v>
      </c>
    </row>
    <row r="202" spans="1:15" x14ac:dyDescent="0.25">
      <c r="A202" s="63" t="e">
        <f>IF(AND(G202="",H202=""),"SUPPR",SAISIE!$B$3)</f>
        <v>#REF!</v>
      </c>
      <c r="B202" s="63" t="e">
        <f>IF(SAISIE!#REF!="","",IF(LEN(SAISIE!B22)=1,CONCATENATE("0",SAISIE!B22,"/",SAISIE!$B$4,"/",SAISIE!$B$5),CONCATENATE(SAISIE!B22,"/",SAISIE!$B$4,"/",SAISIE!$B$5)))</f>
        <v>#REF!</v>
      </c>
      <c r="C202" s="63" t="e">
        <f>IF(SAISIE!#REF!="","",SAISIE!#REF!)</f>
        <v>#REF!</v>
      </c>
      <c r="D202" s="63" t="e">
        <f>IF(SAISIE!#REF!="","",SAISIE!E22)</f>
        <v>#REF!</v>
      </c>
      <c r="E202" s="63" t="e">
        <f>IF(SAISIE!#REF!="","",SAISIE!F22)</f>
        <v>#REF!</v>
      </c>
      <c r="F202" s="70" t="e">
        <f>IF(SAISIE!#REF!="","",IF(SAISIE!$N22="","",SAISIE!$N22))</f>
        <v>#REF!</v>
      </c>
      <c r="G202" s="63" t="e">
        <f>IF(SAISIE!#REF!="","",SAISIE!#REF!)</f>
        <v>#REF!</v>
      </c>
      <c r="H202" s="63"/>
      <c r="I202" s="63" t="e">
        <f>IF(SAISIE!#REF!="","",SAISIE!$Q22)</f>
        <v>#REF!</v>
      </c>
      <c r="J202" s="71" t="str">
        <f>IF(COUNTBLANK(SAISIE!$J$6:$M$6)=4,"",IF(SAISIE!#REF!="","",IF(SAISIE!J22&gt;0,SAISIE!$J$6,IF(SAISIE!K22&gt;0,SAISIE!$K$6,IF(SAISIE!L22&gt;0,SAISIE!$L$6,IF(SAISIE!M22&gt;0,SAISIE!$M$6,""))))))</f>
        <v/>
      </c>
      <c r="O202" s="59" t="s">
        <v>57</v>
      </c>
    </row>
    <row r="203" spans="1:15" x14ac:dyDescent="0.25">
      <c r="A203" s="63" t="e">
        <f>IF(AND(G203="",H203=""),"SUPPR",SAISIE!$B$3)</f>
        <v>#REF!</v>
      </c>
      <c r="B203" s="63" t="e">
        <f>IF(SAISIE!#REF!="","",IF(LEN(SAISIE!B22)=1,CONCATENATE("0",SAISIE!B22,"/",SAISIE!$B$4,"/",SAISIE!$B$5),CONCATENATE(SAISIE!B22,"/",SAISIE!$B$4,"/",SAISIE!$B$5)))</f>
        <v>#REF!</v>
      </c>
      <c r="C203" s="63" t="e">
        <f>IF(SAISIE!#REF!="","",SAISIE!#REF!)</f>
        <v>#REF!</v>
      </c>
      <c r="D203" s="63" t="e">
        <f>IF(SAISIE!#REF!="","",SAISIE!E22)</f>
        <v>#REF!</v>
      </c>
      <c r="E203" s="63" t="e">
        <f>IF(SAISIE!#REF!="","",SAISIE!F22)</f>
        <v>#REF!</v>
      </c>
      <c r="F203" s="70" t="e">
        <f>IF(SAISIE!#REF!="","",IF(SAISIE!$N22="","",SAISIE!$N22))</f>
        <v>#REF!</v>
      </c>
      <c r="G203" s="63" t="e">
        <f>IF(SAISIE!#REF!="","",SAISIE!#REF!)</f>
        <v>#REF!</v>
      </c>
      <c r="H203" s="63"/>
      <c r="I203" s="63" t="e">
        <f>IF(SAISIE!#REF!="","",SAISIE!$Q22)</f>
        <v>#REF!</v>
      </c>
      <c r="J203" s="71" t="str">
        <f>IF(COUNTBLANK(SAISIE!$J$6:$M$6)=4,"",IF(SAISIE!#REF!="","",IF(SAISIE!J22&gt;0,SAISIE!$J$6,IF(SAISIE!K22&gt;0,SAISIE!$K$6,IF(SAISIE!L22&gt;0,SAISIE!$L$6,IF(SAISIE!M22&gt;0,SAISIE!$M$6,""))))))</f>
        <v/>
      </c>
      <c r="O203" s="59" t="s">
        <v>58</v>
      </c>
    </row>
    <row r="204" spans="1:15" x14ac:dyDescent="0.25">
      <c r="A204" s="63" t="e">
        <f>IF(AND(G204="",H204=""),"SUPPR",SAISIE!$B$3)</f>
        <v>#REF!</v>
      </c>
      <c r="B204" s="63" t="e">
        <f>IF(SAISIE!#REF!="","",IF(LEN(SAISIE!B22)=1,CONCATENATE("0",SAISIE!B22,"/",SAISIE!$B$4,"/",SAISIE!$B$5),CONCATENATE(SAISIE!B22,"/",SAISIE!$B$4,"/",SAISIE!$B$5)))</f>
        <v>#REF!</v>
      </c>
      <c r="C204" s="63" t="e">
        <f>IF(SAISIE!#REF!="","",SAISIE!#REF!)</f>
        <v>#REF!</v>
      </c>
      <c r="D204" s="63" t="e">
        <f>IF(SAISIE!#REF!="","",SAISIE!E22)</f>
        <v>#REF!</v>
      </c>
      <c r="E204" s="63" t="e">
        <f>IF(SAISIE!#REF!="","",SAISIE!F22)</f>
        <v>#REF!</v>
      </c>
      <c r="F204" s="70" t="e">
        <f>IF(SAISIE!#REF!="","",IF(SAISIE!$N22="","",SAISIE!$N22))</f>
        <v>#REF!</v>
      </c>
      <c r="G204" s="63" t="e">
        <f>IF(SAISIE!#REF!="","",SAISIE!#REF!)</f>
        <v>#REF!</v>
      </c>
      <c r="H204" s="63"/>
      <c r="I204" s="63" t="e">
        <f>IF(SAISIE!#REF!="","",SAISIE!$Q22)</f>
        <v>#REF!</v>
      </c>
      <c r="J204" s="71" t="str">
        <f>IF(COUNTBLANK(SAISIE!$J$6:$M$6)=4,"",IF(SAISIE!#REF!="","",IF(SAISIE!J22&gt;0,SAISIE!$J$6,IF(SAISIE!K22&gt;0,SAISIE!$K$6,IF(SAISIE!L22&gt;0,SAISIE!$L$6,IF(SAISIE!M22&gt;0,SAISIE!$M$6,""))))))</f>
        <v/>
      </c>
      <c r="O204" s="59" t="s">
        <v>59</v>
      </c>
    </row>
    <row r="205" spans="1:15" x14ac:dyDescent="0.25">
      <c r="A205" s="63" t="e">
        <f>IF(AND(G205="",H205=""),"SUPPR",SAISIE!$B$3)</f>
        <v>#REF!</v>
      </c>
      <c r="B205" s="63" t="e">
        <f>IF(SAISIE!#REF!="","",IF(LEN(SAISIE!B22)=1,CONCATENATE("0",SAISIE!B22,"/",SAISIE!$B$4,"/",SAISIE!$B$5),CONCATENATE(SAISIE!B22,"/",SAISIE!$B$4,"/",SAISIE!$B$5)))</f>
        <v>#REF!</v>
      </c>
      <c r="C205" s="63" t="e">
        <f>IF(SAISIE!#REF!="","",SAISIE!#REF!)</f>
        <v>#REF!</v>
      </c>
      <c r="D205" s="63" t="e">
        <f>IF(SAISIE!#REF!="","",SAISIE!E22)</f>
        <v>#REF!</v>
      </c>
      <c r="E205" s="63" t="e">
        <f>IF(SAISIE!#REF!="","",SAISIE!F22)</f>
        <v>#REF!</v>
      </c>
      <c r="F205" s="70" t="e">
        <f>IF(SAISIE!#REF!="","",IF(SAISIE!$N22="","",SAISIE!$N22))</f>
        <v>#REF!</v>
      </c>
      <c r="G205" s="63" t="e">
        <f>IF(SAISIE!#REF!="","",SAISIE!#REF!)</f>
        <v>#REF!</v>
      </c>
      <c r="H205" s="63"/>
      <c r="I205" s="63" t="e">
        <f>IF(SAISIE!#REF!="","",SAISIE!$Q22)</f>
        <v>#REF!</v>
      </c>
      <c r="J205" s="71" t="str">
        <f>IF(COUNTBLANK(SAISIE!$J$6:$M$6)=4,"",IF(SAISIE!#REF!="","",IF(SAISIE!J22&gt;0,SAISIE!$J$6,IF(SAISIE!K22&gt;0,SAISIE!$K$6,IF(SAISIE!L22&gt;0,SAISIE!$L$6,IF(SAISIE!M22&gt;0,SAISIE!$M$6,""))))))</f>
        <v/>
      </c>
      <c r="O205" s="59" t="s">
        <v>60</v>
      </c>
    </row>
    <row r="206" spans="1:15" x14ac:dyDescent="0.25">
      <c r="A206" s="63" t="str">
        <f>IF(AND(G206="",H206=""),"SUPPR",SAISIE!$B$3)</f>
        <v>SUPPR</v>
      </c>
      <c r="B206" s="63" t="str">
        <f>IF(SAISIE!J22="","",IF(LEN(SAISIE!B22)=1,CONCATENATE("0",SAISIE!B22,"/",SAISIE!$B$4,"/",SAISIE!$B$5),CONCATENATE(SAISIE!B22,"/",SAISIE!$B$4,"/",SAISIE!$B$5)))</f>
        <v/>
      </c>
      <c r="C206" s="63" t="str">
        <f>IF(SAISIE!J22="","",SAISIE!$J$8)</f>
        <v/>
      </c>
      <c r="D206" s="63" t="str">
        <f>IF(SAISIE!J22="","",SAISIE!E22)</f>
        <v/>
      </c>
      <c r="E206" s="63" t="str">
        <f>IF(SAISIE!J22="","",SAISIE!F22)</f>
        <v/>
      </c>
      <c r="F206" s="70" t="str">
        <f>IF(SAISIE!$J22="","",IF(SAISIE!$N22="","",SAISIE!$N22))</f>
        <v/>
      </c>
      <c r="G206" s="63" t="str">
        <f>IF(SAISIE!J22="","",SAISIE!J22)</f>
        <v/>
      </c>
      <c r="H206" s="63"/>
      <c r="I206" s="72"/>
      <c r="J206" s="71"/>
      <c r="O206" s="73"/>
    </row>
    <row r="207" spans="1:15" x14ac:dyDescent="0.25">
      <c r="A207" s="63" t="str">
        <f>IF(AND(G207="",H207=""),"SUPPR",SAISIE!$B$3)</f>
        <v>SUPPR</v>
      </c>
      <c r="B207" s="63" t="str">
        <f>IF(SAISIE!K22="","",IF(LEN(SAISIE!B22)=1,CONCATENATE("0",SAISIE!B22,"/",SAISIE!$B$4,"/",SAISIE!$B$5),CONCATENATE(SAISIE!B22,"/",SAISIE!$B$4,"/",SAISIE!$B$5)))</f>
        <v/>
      </c>
      <c r="C207" s="63" t="str">
        <f>IF(SAISIE!K22="","",SAISIE!$K$8)</f>
        <v/>
      </c>
      <c r="D207" s="63" t="str">
        <f>IF(SAISIE!K22="","",SAISIE!E22)</f>
        <v/>
      </c>
      <c r="E207" s="63" t="str">
        <f>IF(SAISIE!K22="","",SAISIE!F22)</f>
        <v/>
      </c>
      <c r="F207" s="70" t="str">
        <f>IF(SAISIE!$K22="","",IF(SAISIE!$N22="","",SAISIE!$N22))</f>
        <v/>
      </c>
      <c r="G207" s="63" t="str">
        <f>IF(SAISIE!K22="","",SAISIE!K22)</f>
        <v/>
      </c>
      <c r="H207" s="63"/>
      <c r="I207" s="72"/>
      <c r="J207" s="71"/>
    </row>
    <row r="208" spans="1:15" x14ac:dyDescent="0.25">
      <c r="A208" s="63" t="str">
        <f>IF(AND(G208="",H208=""),"SUPPR",SAISIE!$B$3)</f>
        <v>SUPPR</v>
      </c>
      <c r="B208" s="63" t="str">
        <f>IF(SAISIE!L22="","",IF(LEN(SAISIE!B22)=1,CONCATENATE("0",SAISIE!B22,"/",SAISIE!$B$4,"/",SAISIE!$B$5),CONCATENATE(SAISIE!B22,"/",SAISIE!$B$4,"/",SAISIE!$B$5)))</f>
        <v/>
      </c>
      <c r="C208" s="63" t="str">
        <f>IF(SAISIE!L22="","",SAISIE!$L$8)</f>
        <v/>
      </c>
      <c r="D208" s="63" t="str">
        <f>IF(SAISIE!L22="","",SAISIE!E22)</f>
        <v/>
      </c>
      <c r="E208" s="63" t="str">
        <f>IF(SAISIE!L22="","",SAISIE!F22)</f>
        <v/>
      </c>
      <c r="F208" s="70" t="str">
        <f>IF(SAISIE!$L22="","",IF(SAISIE!$N22="","",SAISIE!$N22))</f>
        <v/>
      </c>
      <c r="G208" s="63" t="str">
        <f>IF(SAISIE!L22="","",SAISIE!L22)</f>
        <v/>
      </c>
      <c r="H208" s="63"/>
      <c r="I208" s="72"/>
      <c r="J208" s="71"/>
    </row>
    <row r="209" spans="1:15" x14ac:dyDescent="0.25">
      <c r="A209" s="63" t="str">
        <f>IF(AND(G209="",H209=""),"SUPPR",SAISIE!$B$3)</f>
        <v>SUPPR</v>
      </c>
      <c r="B209" s="63" t="str">
        <f>IF(SAISIE!M22="","",IF(LEN(SAISIE!B22)=1,CONCATENATE("0",SAISIE!B22,"/",SAISIE!$B$4,"/",SAISIE!$B$5),CONCATENATE(SAISIE!B22,"/",SAISIE!$B$4,"/",SAISIE!$B$5)))</f>
        <v/>
      </c>
      <c r="C209" s="74" t="str">
        <f>IF(SAISIE!M22="","",SAISIE!$M$8)</f>
        <v/>
      </c>
      <c r="D209" s="74" t="str">
        <f>IF(SAISIE!M22="","",SAISIE!E22)</f>
        <v/>
      </c>
      <c r="E209" s="74" t="str">
        <f>IF(SAISIE!M22="","",SAISIE!F22)</f>
        <v/>
      </c>
      <c r="F209" s="75" t="str">
        <f>IF(SAISIE!$M22="","",IF(SAISIE!$N22="","",SAISIE!$N22))</f>
        <v/>
      </c>
      <c r="G209" s="74" t="str">
        <f>IF(SAISIE!M22="","",SAISIE!M22)</f>
        <v/>
      </c>
      <c r="H209" s="76"/>
      <c r="I209" s="77"/>
      <c r="J209" s="78"/>
    </row>
    <row r="210" spans="1:15" x14ac:dyDescent="0.25">
      <c r="A210" s="63" t="str">
        <f>IF(AND(G210="",H210=""),"SUPPR",SAISIE!$B$3)</f>
        <v>SUPPR</v>
      </c>
      <c r="B210" s="64" t="str">
        <f>IF(SAISIE!B23="","",IF(LEN(SAISIE!B23)=1,CONCATENATE("0",SAISIE!B23,"/",SAISIE!$B$4,"/",SAISIE!$B$5),CONCATENATE(SAISIE!B23,"/",SAISIE!$B$4,"/",SAISIE!$B$5)))</f>
        <v/>
      </c>
      <c r="C210" s="64" t="str">
        <f>IF(SAISIE!B23="","",CONCATENATE($M$2,SAISIE!C23))</f>
        <v/>
      </c>
      <c r="D210" s="64" t="str">
        <f>IF(SAISIE!B23="","",SAISIE!E23)</f>
        <v/>
      </c>
      <c r="E210" s="64" t="str">
        <f>IF(SAISIE!B23="","",SAISIE!F23)</f>
        <v/>
      </c>
      <c r="F210" s="65" t="str">
        <f>IF(A210="SUPPR","",IF(SAISIE!N23="","",SAISIE!N23))</f>
        <v/>
      </c>
      <c r="G210" s="64"/>
      <c r="H210" s="64" t="str">
        <f>IF(SAISIE!B23="","",SAISIE!D23)</f>
        <v/>
      </c>
      <c r="I210" s="66"/>
      <c r="J210" s="67" t="str">
        <f>IF(AZ23="","","")</f>
        <v/>
      </c>
      <c r="O210" s="69">
        <f>O194+1</f>
        <v>23</v>
      </c>
    </row>
    <row r="211" spans="1:15" x14ac:dyDescent="0.25">
      <c r="A211" s="63" t="str">
        <f>IF(AND(G211="",H211=""),"SUPPR",SAISIE!$B$3)</f>
        <v>SUPPR</v>
      </c>
      <c r="B211" s="63" t="str">
        <f>IF(SAISIE!P23="","",IF(LEN(SAISIE!B23)=1,CONCATENATE("0",SAISIE!B23,"/",SAISIE!$B$4,"/",SAISIE!$B$5),CONCATENATE(SAISIE!B23,"/",SAISIE!$B$4,"/",SAISIE!$B$5)))</f>
        <v/>
      </c>
      <c r="C211" s="63" t="str">
        <f>IF(SAISIE!P23="","",SAISIE!O23)</f>
        <v/>
      </c>
      <c r="D211" s="63" t="str">
        <f>IF(SAISIE!P23="","",SAISIE!E23)</f>
        <v/>
      </c>
      <c r="E211" s="63" t="str">
        <f>IF(SAISIE!P23="","",SAISIE!F23)</f>
        <v/>
      </c>
      <c r="F211" s="70" t="str">
        <f>IF(SAISIE!$P23="","",IF(SAISIE!$N23="","",SAISIE!$N23))</f>
        <v/>
      </c>
      <c r="G211" s="63" t="str">
        <f>IF(SAISIE!P23="","",SAISIE!P23)</f>
        <v/>
      </c>
      <c r="H211" s="63"/>
      <c r="I211" s="63" t="str">
        <f>IF(SAISIE!$P23="","",SAISIE!$Q23)</f>
        <v/>
      </c>
      <c r="J211" s="71" t="str">
        <f>IF(COUNTBLANK(SAISIE!$J$6:$M$6)=4,"",IF(SAISIE!P23="","",IF(SAISIE!J23&gt;0,SAISIE!$J$6,IF(SAISIE!K23&gt;0,SAISIE!$K$6,IF(SAISIE!L23&gt;0,SAISIE!$L$6,IF(SAISIE!M23&gt;0,SAISIE!$M$6,""))))))</f>
        <v/>
      </c>
      <c r="O211" s="59" t="s">
        <v>50</v>
      </c>
    </row>
    <row r="212" spans="1:15" x14ac:dyDescent="0.25">
      <c r="A212" s="63" t="str">
        <f>IF(AND(G212="",H212=""),"SUPPR",SAISIE!$B$3)</f>
        <v>SUPPR</v>
      </c>
      <c r="B212" s="63" t="str">
        <f>IF(SAISIE!G23="","",IF(LEN(SAISIE!B23)=1,CONCATENATE("0",SAISIE!B23,"/",SAISIE!$B$4,"/",SAISIE!$B$5),CONCATENATE(SAISIE!B23,"/",SAISIE!$B$4,"/",SAISIE!$B$5)))</f>
        <v/>
      </c>
      <c r="C212" s="63" t="str">
        <f>IF(SAISIE!G23="","",SAISIE!$G$8)</f>
        <v/>
      </c>
      <c r="D212" s="63" t="str">
        <f>IF(SAISIE!G23="","",SAISIE!E23)</f>
        <v/>
      </c>
      <c r="E212" s="63" t="str">
        <f>IF(SAISIE!G23="","",SAISIE!F23)</f>
        <v/>
      </c>
      <c r="F212" s="70" t="str">
        <f>IF(SAISIE!$G23="","",IF(SAISIE!$N23="","",SAISIE!$N23))</f>
        <v/>
      </c>
      <c r="G212" s="63" t="str">
        <f>IF(SAISIE!G23="","",SAISIE!G23)</f>
        <v/>
      </c>
      <c r="H212" s="63"/>
      <c r="I212" s="63" t="str">
        <f>IF(SAISIE!$G23="","",SAISIE!$Q23)</f>
        <v/>
      </c>
      <c r="J212" s="71" t="str">
        <f>IF(COUNTBLANK(SAISIE!$J$6:$M$6)=4,"",IF(SAISIE!G23="","",IF(SAISIE!J23&gt;0,SAISIE!$J$6,IF(SAISIE!K23&gt;0,SAISIE!$K$6,IF(SAISIE!L23&gt;0,SAISIE!$L$6,IF(SAISIE!M23&gt;0,SAISIE!$M$6,""))))))</f>
        <v/>
      </c>
      <c r="O212" s="59" t="s">
        <v>51</v>
      </c>
    </row>
    <row r="213" spans="1:15" x14ac:dyDescent="0.25">
      <c r="A213" s="63" t="str">
        <f>IF(AND(G213="",H213=""),"SUPPR",SAISIE!$B$3)</f>
        <v>SUPPR</v>
      </c>
      <c r="B213" s="63" t="str">
        <f>IF(SAISIE!H23="","",IF(LEN(SAISIE!B23)=1,CONCATENATE("0",SAISIE!B23,"/",SAISIE!$B$4,"/",SAISIE!$B$5),CONCATENATE(SAISIE!B23,"/",SAISIE!$B$4,"/",SAISIE!$B$5)))</f>
        <v/>
      </c>
      <c r="C213" s="63" t="str">
        <f>IF(SAISIE!H23="","",SAISIE!$H$8)</f>
        <v/>
      </c>
      <c r="D213" s="63" t="str">
        <f>IF(SAISIE!H23="","",SAISIE!E23)</f>
        <v/>
      </c>
      <c r="E213" s="63" t="str">
        <f>IF(SAISIE!H23="","",SAISIE!F23)</f>
        <v/>
      </c>
      <c r="F213" s="70" t="str">
        <f>IF(SAISIE!$H23="","",IF(SAISIE!$N23="","",SAISIE!$N23))</f>
        <v/>
      </c>
      <c r="G213" s="63" t="str">
        <f>IF(SAISIE!H23="","",SAISIE!H23)</f>
        <v/>
      </c>
      <c r="H213" s="63"/>
      <c r="I213" s="63" t="str">
        <f>IF(SAISIE!$H23="","",SAISIE!$Q23)</f>
        <v/>
      </c>
      <c r="J213" s="71" t="str">
        <f>IF(COUNTBLANK(SAISIE!$J$6:$M$6)=4,"",IF(SAISIE!H23="","",IF(SAISIE!J23&gt;0,SAISIE!$J$6,IF(SAISIE!K23&gt;0,SAISIE!$K$6,IF(SAISIE!L23&gt;0,SAISIE!$L$6,IF(SAISIE!M23&gt;0,SAISIE!$M$6,""))))))</f>
        <v/>
      </c>
      <c r="O213" s="59" t="s">
        <v>52</v>
      </c>
    </row>
    <row r="214" spans="1:15" x14ac:dyDescent="0.25">
      <c r="A214" s="63" t="str">
        <f>IF(AND(G214="",H214=""),"SUPPR",SAISIE!$B$3)</f>
        <v>SUPPR</v>
      </c>
      <c r="B214" s="63" t="str">
        <f>IF(SAISIE!I23="","",IF(LEN(SAISIE!B23)=1,CONCATENATE("0",SAISIE!B23,"/",SAISIE!$B$4,"/",SAISIE!$B$5),CONCATENATE(SAISIE!B23,"/",SAISIE!$B$4,"/",SAISIE!$B$5)))</f>
        <v/>
      </c>
      <c r="C214" s="63" t="str">
        <f>IF(SAISIE!I23="","",SAISIE!$I$8)</f>
        <v/>
      </c>
      <c r="D214" s="63" t="str">
        <f>IF(SAISIE!I23="","",SAISIE!E23)</f>
        <v/>
      </c>
      <c r="E214" s="63" t="str">
        <f>IF(SAISIE!I23="","",SAISIE!F23)</f>
        <v/>
      </c>
      <c r="F214" s="70" t="str">
        <f>IF(SAISIE!$I23="","",IF(SAISIE!$N23="","",SAISIE!$N23))</f>
        <v/>
      </c>
      <c r="G214" s="63" t="str">
        <f>IF(SAISIE!I23="","",SAISIE!I23)</f>
        <v/>
      </c>
      <c r="H214" s="63"/>
      <c r="I214" s="63" t="str">
        <f>IF(SAISIE!$I23="","",SAISIE!$Q23)</f>
        <v/>
      </c>
      <c r="J214" s="71" t="str">
        <f>IF(COUNTBLANK(SAISIE!$J$6:$M$6)=4,"",IF(SAISIE!I23="","",IF(SAISIE!J23&gt;0,SAISIE!$J$6,IF(SAISIE!K23&gt;0,SAISIE!$K$6,IF(SAISIE!L23&gt;0,SAISIE!$L$6,IF(SAISIE!M23&gt;0,SAISIE!$M$6,""))))))</f>
        <v/>
      </c>
      <c r="O214" s="59" t="s">
        <v>53</v>
      </c>
    </row>
    <row r="215" spans="1:15" x14ac:dyDescent="0.25">
      <c r="A215" s="63" t="e">
        <f>IF(AND(G215="",H215=""),"SUPPR",SAISIE!$B$3)</f>
        <v>#REF!</v>
      </c>
      <c r="B215" s="63" t="e">
        <f>IF(SAISIE!#REF!="","",IF(LEN(SAISIE!B23)=1,CONCATENATE("0",SAISIE!B23,"/",SAISIE!$B$4,"/",SAISIE!$B$5),CONCATENATE(SAISIE!B23,"/",SAISIE!$B$4,"/",SAISIE!$B$5)))</f>
        <v>#REF!</v>
      </c>
      <c r="C215" s="63" t="e">
        <f>IF(SAISIE!#REF!="","",SAISIE!#REF!)</f>
        <v>#REF!</v>
      </c>
      <c r="D215" s="63" t="e">
        <f>IF(SAISIE!#REF!="","",SAISIE!E23)</f>
        <v>#REF!</v>
      </c>
      <c r="E215" s="63" t="e">
        <f>IF(SAISIE!#REF!="","",SAISIE!F23)</f>
        <v>#REF!</v>
      </c>
      <c r="F215" s="70" t="e">
        <f>IF(SAISIE!#REF!="","",IF(SAISIE!$N23="","",SAISIE!$N23))</f>
        <v>#REF!</v>
      </c>
      <c r="G215" s="63" t="e">
        <f>IF(SAISIE!#REF!="","",SAISIE!#REF!)</f>
        <v>#REF!</v>
      </c>
      <c r="H215" s="63"/>
      <c r="I215" s="63" t="e">
        <f>IF(SAISIE!#REF!="","",SAISIE!$Q23)</f>
        <v>#REF!</v>
      </c>
      <c r="J215" s="71" t="str">
        <f>IF(COUNTBLANK(SAISIE!$J$6:$M$6)=4,"",IF(SAISIE!#REF!="","",IF(SAISIE!J23&gt;0,SAISIE!$J$6,IF(SAISIE!K23&gt;0,SAISIE!$K$6,IF(SAISIE!L23&gt;0,SAISIE!$L$6,IF(SAISIE!M23&gt;0,SAISIE!$M$6,""))))))</f>
        <v/>
      </c>
      <c r="O215" s="59" t="s">
        <v>54</v>
      </c>
    </row>
    <row r="216" spans="1:15" x14ac:dyDescent="0.25">
      <c r="A216" s="63" t="e">
        <f>IF(AND(G216="",H216=""),"SUPPR",SAISIE!$B$3)</f>
        <v>#REF!</v>
      </c>
      <c r="B216" s="63" t="e">
        <f>IF(SAISIE!#REF!="","",IF(LEN(SAISIE!B23)=1,CONCATENATE("0",SAISIE!B23,"/",SAISIE!$B$4,"/",SAISIE!$B$5),CONCATENATE(SAISIE!B23,"/",SAISIE!$B$4,"/",SAISIE!$B$5)))</f>
        <v>#REF!</v>
      </c>
      <c r="C216" s="63" t="e">
        <f>IF(SAISIE!#REF!="","",SAISIE!#REF!)</f>
        <v>#REF!</v>
      </c>
      <c r="D216" s="63" t="e">
        <f>IF(SAISIE!#REF!="","",SAISIE!E23)</f>
        <v>#REF!</v>
      </c>
      <c r="E216" s="63" t="e">
        <f>IF(SAISIE!#REF!="","",SAISIE!F23)</f>
        <v>#REF!</v>
      </c>
      <c r="F216" s="70" t="e">
        <f>IF(SAISIE!#REF!="","",IF(SAISIE!$N23="","",SAISIE!$N23))</f>
        <v>#REF!</v>
      </c>
      <c r="G216" s="63" t="e">
        <f>IF(SAISIE!#REF!="","",SAISIE!#REF!)</f>
        <v>#REF!</v>
      </c>
      <c r="H216" s="63"/>
      <c r="I216" s="63" t="e">
        <f>IF(SAISIE!#REF!="","",SAISIE!$Q23)</f>
        <v>#REF!</v>
      </c>
      <c r="J216" s="71" t="str">
        <f>IF(COUNTBLANK(SAISIE!$J$6:$M$6)=4,"",IF(SAISIE!#REF!="","",IF(SAISIE!J23&gt;0,SAISIE!$J$6,IF(SAISIE!K23&gt;0,SAISIE!$K$6,IF(SAISIE!L23&gt;0,SAISIE!$L$6,IF(SAISIE!M23&gt;0,SAISIE!$M$6,""))))))</f>
        <v/>
      </c>
      <c r="O216" s="59" t="s">
        <v>55</v>
      </c>
    </row>
    <row r="217" spans="1:15" x14ac:dyDescent="0.25">
      <c r="A217" s="63" t="e">
        <f>IF(AND(G217="",H217=""),"SUPPR",SAISIE!$B$3)</f>
        <v>#REF!</v>
      </c>
      <c r="B217" s="63" t="e">
        <f>IF(SAISIE!#REF!="","",IF(LEN(SAISIE!B23)=1,CONCATENATE("0",SAISIE!B23,"/",SAISIE!$B$4,"/",SAISIE!$B$5),CONCATENATE(SAISIE!B23,"/",SAISIE!$B$4,"/",SAISIE!$B$5)))</f>
        <v>#REF!</v>
      </c>
      <c r="C217" s="63" t="e">
        <f>IF(SAISIE!#REF!="","",SAISIE!#REF!)</f>
        <v>#REF!</v>
      </c>
      <c r="D217" s="63" t="e">
        <f>IF(SAISIE!#REF!="","",SAISIE!E23)</f>
        <v>#REF!</v>
      </c>
      <c r="E217" s="63" t="e">
        <f>IF(SAISIE!#REF!="","",SAISIE!F23)</f>
        <v>#REF!</v>
      </c>
      <c r="F217" s="70" t="e">
        <f>IF(SAISIE!#REF!="","",IF(SAISIE!$N23="","",SAISIE!$N23))</f>
        <v>#REF!</v>
      </c>
      <c r="G217" s="63" t="e">
        <f>IF(SAISIE!#REF!="","",SAISIE!#REF!)</f>
        <v>#REF!</v>
      </c>
      <c r="H217" s="63"/>
      <c r="I217" s="63" t="e">
        <f>IF(SAISIE!#REF!="","",SAISIE!$Q23)</f>
        <v>#REF!</v>
      </c>
      <c r="J217" s="71" t="str">
        <f>IF(COUNTBLANK(SAISIE!$J$6:$M$6)=4,"",IF(SAISIE!#REF!="","",IF(SAISIE!J23&gt;0,SAISIE!$J$6,IF(SAISIE!K23&gt;0,SAISIE!$K$6,IF(SAISIE!L23&gt;0,SAISIE!$L$6,IF(SAISIE!M23&gt;0,SAISIE!$M$6,""))))))</f>
        <v/>
      </c>
      <c r="O217" s="59" t="s">
        <v>56</v>
      </c>
    </row>
    <row r="218" spans="1:15" x14ac:dyDescent="0.25">
      <c r="A218" s="63" t="e">
        <f>IF(AND(G218="",H218=""),"SUPPR",SAISIE!$B$3)</f>
        <v>#REF!</v>
      </c>
      <c r="B218" s="63" t="e">
        <f>IF(SAISIE!#REF!="","",IF(LEN(SAISIE!B23)=1,CONCATENATE("0",SAISIE!B23,"/",SAISIE!$B$4,"/",SAISIE!$B$5),CONCATENATE(SAISIE!B23,"/",SAISIE!$B$4,"/",SAISIE!$B$5)))</f>
        <v>#REF!</v>
      </c>
      <c r="C218" s="63" t="e">
        <f>IF(SAISIE!#REF!="","",SAISIE!#REF!)</f>
        <v>#REF!</v>
      </c>
      <c r="D218" s="63" t="e">
        <f>IF(SAISIE!#REF!="","",SAISIE!E23)</f>
        <v>#REF!</v>
      </c>
      <c r="E218" s="63" t="e">
        <f>IF(SAISIE!#REF!="","",SAISIE!F23)</f>
        <v>#REF!</v>
      </c>
      <c r="F218" s="70" t="e">
        <f>IF(SAISIE!#REF!="","",IF(SAISIE!$N23="","",SAISIE!$N23))</f>
        <v>#REF!</v>
      </c>
      <c r="G218" s="63" t="e">
        <f>IF(SAISIE!#REF!="","",SAISIE!#REF!)</f>
        <v>#REF!</v>
      </c>
      <c r="H218" s="63"/>
      <c r="I218" s="63" t="e">
        <f>IF(SAISIE!#REF!="","",SAISIE!$Q23)</f>
        <v>#REF!</v>
      </c>
      <c r="J218" s="71" t="str">
        <f>IF(COUNTBLANK(SAISIE!$J$6:$M$6)=4,"",IF(SAISIE!#REF!="","",IF(SAISIE!J23&gt;0,SAISIE!$J$6,IF(SAISIE!K23&gt;0,SAISIE!$K$6,IF(SAISIE!L23&gt;0,SAISIE!$L$6,IF(SAISIE!M23&gt;0,SAISIE!$M$6,""))))))</f>
        <v/>
      </c>
      <c r="O218" s="59" t="s">
        <v>57</v>
      </c>
    </row>
    <row r="219" spans="1:15" x14ac:dyDescent="0.25">
      <c r="A219" s="63" t="e">
        <f>IF(AND(G219="",H219=""),"SUPPR",SAISIE!$B$3)</f>
        <v>#REF!</v>
      </c>
      <c r="B219" s="63" t="e">
        <f>IF(SAISIE!#REF!="","",IF(LEN(SAISIE!B23)=1,CONCATENATE("0",SAISIE!B23,"/",SAISIE!$B$4,"/",SAISIE!$B$5),CONCATENATE(SAISIE!B23,"/",SAISIE!$B$4,"/",SAISIE!$B$5)))</f>
        <v>#REF!</v>
      </c>
      <c r="C219" s="63" t="e">
        <f>IF(SAISIE!#REF!="","",SAISIE!#REF!)</f>
        <v>#REF!</v>
      </c>
      <c r="D219" s="63" t="e">
        <f>IF(SAISIE!#REF!="","",SAISIE!E23)</f>
        <v>#REF!</v>
      </c>
      <c r="E219" s="63" t="e">
        <f>IF(SAISIE!#REF!="","",SAISIE!F23)</f>
        <v>#REF!</v>
      </c>
      <c r="F219" s="70" t="e">
        <f>IF(SAISIE!#REF!="","",IF(SAISIE!$N23="","",SAISIE!$N23))</f>
        <v>#REF!</v>
      </c>
      <c r="G219" s="63" t="e">
        <f>IF(SAISIE!#REF!="","",SAISIE!#REF!)</f>
        <v>#REF!</v>
      </c>
      <c r="H219" s="63"/>
      <c r="I219" s="63" t="e">
        <f>IF(SAISIE!#REF!="","",SAISIE!$Q23)</f>
        <v>#REF!</v>
      </c>
      <c r="J219" s="71" t="str">
        <f>IF(COUNTBLANK(SAISIE!$J$6:$M$6)=4,"",IF(SAISIE!#REF!="","",IF(SAISIE!J23&gt;0,SAISIE!$J$6,IF(SAISIE!K23&gt;0,SAISIE!$K$6,IF(SAISIE!L23&gt;0,SAISIE!$L$6,IF(SAISIE!M23&gt;0,SAISIE!$M$6,""))))))</f>
        <v/>
      </c>
      <c r="O219" s="59" t="s">
        <v>58</v>
      </c>
    </row>
    <row r="220" spans="1:15" x14ac:dyDescent="0.25">
      <c r="A220" s="63" t="e">
        <f>IF(AND(G220="",H220=""),"SUPPR",SAISIE!$B$3)</f>
        <v>#REF!</v>
      </c>
      <c r="B220" s="63" t="e">
        <f>IF(SAISIE!#REF!="","",IF(LEN(SAISIE!B23)=1,CONCATENATE("0",SAISIE!B23,"/",SAISIE!$B$4,"/",SAISIE!$B$5),CONCATENATE(SAISIE!B23,"/",SAISIE!$B$4,"/",SAISIE!$B$5)))</f>
        <v>#REF!</v>
      </c>
      <c r="C220" s="63" t="e">
        <f>IF(SAISIE!#REF!="","",SAISIE!#REF!)</f>
        <v>#REF!</v>
      </c>
      <c r="D220" s="63" t="e">
        <f>IF(SAISIE!#REF!="","",SAISIE!E23)</f>
        <v>#REF!</v>
      </c>
      <c r="E220" s="63" t="e">
        <f>IF(SAISIE!#REF!="","",SAISIE!F23)</f>
        <v>#REF!</v>
      </c>
      <c r="F220" s="70" t="e">
        <f>IF(SAISIE!#REF!="","",IF(SAISIE!$N23="","",SAISIE!$N23))</f>
        <v>#REF!</v>
      </c>
      <c r="G220" s="63" t="e">
        <f>IF(SAISIE!#REF!="","",SAISIE!#REF!)</f>
        <v>#REF!</v>
      </c>
      <c r="H220" s="63"/>
      <c r="I220" s="63" t="e">
        <f>IF(SAISIE!#REF!="","",SAISIE!$Q23)</f>
        <v>#REF!</v>
      </c>
      <c r="J220" s="71" t="str">
        <f>IF(COUNTBLANK(SAISIE!$J$6:$M$6)=4,"",IF(SAISIE!#REF!="","",IF(SAISIE!J23&gt;0,SAISIE!$J$6,IF(SAISIE!K23&gt;0,SAISIE!$K$6,IF(SAISIE!L23&gt;0,SAISIE!$L$6,IF(SAISIE!M23&gt;0,SAISIE!$M$6,""))))))</f>
        <v/>
      </c>
      <c r="O220" s="59" t="s">
        <v>59</v>
      </c>
    </row>
    <row r="221" spans="1:15" x14ac:dyDescent="0.25">
      <c r="A221" s="63" t="e">
        <f>IF(AND(G221="",H221=""),"SUPPR",SAISIE!$B$3)</f>
        <v>#REF!</v>
      </c>
      <c r="B221" s="63" t="e">
        <f>IF(SAISIE!#REF!="","",IF(LEN(SAISIE!B23)=1,CONCATENATE("0",SAISIE!B23,"/",SAISIE!$B$4,"/",SAISIE!$B$5),CONCATENATE(SAISIE!B23,"/",SAISIE!$B$4,"/",SAISIE!$B$5)))</f>
        <v>#REF!</v>
      </c>
      <c r="C221" s="63" t="e">
        <f>IF(SAISIE!#REF!="","",SAISIE!#REF!)</f>
        <v>#REF!</v>
      </c>
      <c r="D221" s="63" t="e">
        <f>IF(SAISIE!#REF!="","",SAISIE!E23)</f>
        <v>#REF!</v>
      </c>
      <c r="E221" s="63" t="e">
        <f>IF(SAISIE!#REF!="","",SAISIE!F23)</f>
        <v>#REF!</v>
      </c>
      <c r="F221" s="70" t="e">
        <f>IF(SAISIE!#REF!="","",IF(SAISIE!$N23="","",SAISIE!$N23))</f>
        <v>#REF!</v>
      </c>
      <c r="G221" s="63" t="e">
        <f>IF(SAISIE!#REF!="","",SAISIE!#REF!)</f>
        <v>#REF!</v>
      </c>
      <c r="H221" s="63"/>
      <c r="I221" s="63" t="e">
        <f>IF(SAISIE!#REF!="","",SAISIE!$Q23)</f>
        <v>#REF!</v>
      </c>
      <c r="J221" s="71" t="str">
        <f>IF(COUNTBLANK(SAISIE!$J$6:$M$6)=4,"",IF(SAISIE!#REF!="","",IF(SAISIE!J23&gt;0,SAISIE!$J$6,IF(SAISIE!K23&gt;0,SAISIE!$K$6,IF(SAISIE!L23&gt;0,SAISIE!$L$6,IF(SAISIE!M23&gt;0,SAISIE!$M$6,""))))))</f>
        <v/>
      </c>
      <c r="O221" s="59" t="s">
        <v>60</v>
      </c>
    </row>
    <row r="222" spans="1:15" x14ac:dyDescent="0.25">
      <c r="A222" s="63" t="str">
        <f>IF(AND(G222="",H222=""),"SUPPR",SAISIE!$B$3)</f>
        <v>SUPPR</v>
      </c>
      <c r="B222" s="63" t="str">
        <f>IF(SAISIE!J23="","",IF(LEN(SAISIE!B23)=1,CONCATENATE("0",SAISIE!B23,"/",SAISIE!$B$4,"/",SAISIE!$B$5),CONCATENATE(SAISIE!B23,"/",SAISIE!$B$4,"/",SAISIE!$B$5)))</f>
        <v/>
      </c>
      <c r="C222" s="63" t="str">
        <f>IF(SAISIE!J23="","",SAISIE!$J$8)</f>
        <v/>
      </c>
      <c r="D222" s="63" t="str">
        <f>IF(SAISIE!J23="","",SAISIE!E23)</f>
        <v/>
      </c>
      <c r="E222" s="63" t="str">
        <f>IF(SAISIE!J23="","",SAISIE!F23)</f>
        <v/>
      </c>
      <c r="F222" s="70" t="str">
        <f>IF(SAISIE!$J23="","",IF(SAISIE!$N23="","",SAISIE!$N23))</f>
        <v/>
      </c>
      <c r="G222" s="63" t="str">
        <f>IF(SAISIE!J23="","",SAISIE!J23)</f>
        <v/>
      </c>
      <c r="H222" s="63"/>
      <c r="I222" s="72"/>
      <c r="J222" s="71"/>
      <c r="O222" s="73"/>
    </row>
    <row r="223" spans="1:15" x14ac:dyDescent="0.25">
      <c r="A223" s="63" t="str">
        <f>IF(AND(G223="",H223=""),"SUPPR",SAISIE!$B$3)</f>
        <v>SUPPR</v>
      </c>
      <c r="B223" s="63" t="str">
        <f>IF(SAISIE!K23="","",IF(LEN(SAISIE!B23)=1,CONCATENATE("0",SAISIE!B23,"/",SAISIE!$B$4,"/",SAISIE!$B$5),CONCATENATE(SAISIE!B23,"/",SAISIE!$B$4,"/",SAISIE!$B$5)))</f>
        <v/>
      </c>
      <c r="C223" s="63" t="str">
        <f>IF(SAISIE!K23="","",SAISIE!$K$8)</f>
        <v/>
      </c>
      <c r="D223" s="63" t="str">
        <f>IF(SAISIE!K23="","",SAISIE!E23)</f>
        <v/>
      </c>
      <c r="E223" s="63" t="str">
        <f>IF(SAISIE!K23="","",SAISIE!F23)</f>
        <v/>
      </c>
      <c r="F223" s="70" t="str">
        <f>IF(SAISIE!$K23="","",IF(SAISIE!$N23="","",SAISIE!$N23))</f>
        <v/>
      </c>
      <c r="G223" s="63" t="str">
        <f>IF(SAISIE!K23="","",SAISIE!K23)</f>
        <v/>
      </c>
      <c r="H223" s="63"/>
      <c r="I223" s="72"/>
      <c r="J223" s="71"/>
    </row>
    <row r="224" spans="1:15" x14ac:dyDescent="0.25">
      <c r="A224" s="63" t="str">
        <f>IF(AND(G224="",H224=""),"SUPPR",SAISIE!$B$3)</f>
        <v>SUPPR</v>
      </c>
      <c r="B224" s="63" t="str">
        <f>IF(SAISIE!L23="","",IF(LEN(SAISIE!B23)=1,CONCATENATE("0",SAISIE!B23,"/",SAISIE!$B$4,"/",SAISIE!$B$5),CONCATENATE(SAISIE!B23,"/",SAISIE!$B$4,"/",SAISIE!$B$5)))</f>
        <v/>
      </c>
      <c r="C224" s="63" t="str">
        <f>IF(SAISIE!L23="","",SAISIE!$L$8)</f>
        <v/>
      </c>
      <c r="D224" s="63" t="str">
        <f>IF(SAISIE!L23="","",SAISIE!E23)</f>
        <v/>
      </c>
      <c r="E224" s="63" t="str">
        <f>IF(SAISIE!L23="","",SAISIE!F23)</f>
        <v/>
      </c>
      <c r="F224" s="70" t="str">
        <f>IF(SAISIE!$L23="","",IF(SAISIE!$N23="","",SAISIE!$N23))</f>
        <v/>
      </c>
      <c r="G224" s="63" t="str">
        <f>IF(SAISIE!L23="","",SAISIE!L23)</f>
        <v/>
      </c>
      <c r="H224" s="63"/>
      <c r="I224" s="72"/>
      <c r="J224" s="71"/>
    </row>
    <row r="225" spans="1:15" x14ac:dyDescent="0.25">
      <c r="A225" s="63" t="str">
        <f>IF(AND(G225="",H225=""),"SUPPR",SAISIE!$B$3)</f>
        <v>SUPPR</v>
      </c>
      <c r="B225" s="63" t="str">
        <f>IF(SAISIE!M23="","",IF(LEN(SAISIE!B23)=1,CONCATENATE("0",SAISIE!B23,"/",SAISIE!$B$4,"/",SAISIE!$B$5),CONCATENATE(SAISIE!B23,"/",SAISIE!$B$4,"/",SAISIE!$B$5)))</f>
        <v/>
      </c>
      <c r="C225" s="74" t="str">
        <f>IF(SAISIE!M23="","",SAISIE!$M$8)</f>
        <v/>
      </c>
      <c r="D225" s="74" t="str">
        <f>IF(SAISIE!M23="","",SAISIE!E23)</f>
        <v/>
      </c>
      <c r="E225" s="74" t="str">
        <f>IF(SAISIE!M23="","",SAISIE!F23)</f>
        <v/>
      </c>
      <c r="F225" s="75" t="str">
        <f>IF(SAISIE!$M23="","",IF(SAISIE!$N23="","",SAISIE!$N23))</f>
        <v/>
      </c>
      <c r="G225" s="74" t="str">
        <f>IF(SAISIE!M23="","",SAISIE!M23)</f>
        <v/>
      </c>
      <c r="H225" s="76"/>
      <c r="I225" s="77"/>
      <c r="J225" s="78"/>
    </row>
    <row r="226" spans="1:15" x14ac:dyDescent="0.25">
      <c r="A226" s="63" t="str">
        <f>IF(AND(G226="",H226=""),"SUPPR",SAISIE!$B$3)</f>
        <v>SUPPR</v>
      </c>
      <c r="B226" s="64" t="str">
        <f>IF(SAISIE!B24="","",IF(LEN(SAISIE!B24)=1,CONCATENATE("0",SAISIE!B24,"/",SAISIE!$B$4,"/",SAISIE!$B$5),CONCATENATE(SAISIE!B24,"/",SAISIE!$B$4,"/",SAISIE!$B$5)))</f>
        <v/>
      </c>
      <c r="C226" s="64" t="str">
        <f>IF(SAISIE!B24="","",CONCATENATE($M$2,SAISIE!C24))</f>
        <v/>
      </c>
      <c r="D226" s="64" t="str">
        <f>IF(SAISIE!B24="","",SAISIE!E24)</f>
        <v/>
      </c>
      <c r="E226" s="64" t="str">
        <f>IF(SAISIE!B24="","",SAISIE!F24)</f>
        <v/>
      </c>
      <c r="F226" s="65" t="str">
        <f>IF(A226="SUPPR","",IF(SAISIE!$N24="","",SAISIE!$N24))</f>
        <v/>
      </c>
      <c r="G226" s="64"/>
      <c r="H226" s="64" t="str">
        <f>IF(SAISIE!B24="","",SAISIE!D24)</f>
        <v/>
      </c>
      <c r="I226" s="66"/>
      <c r="J226" s="67" t="str">
        <f>IF(AZ24="","","")</f>
        <v/>
      </c>
      <c r="O226" s="69">
        <f>O210+1</f>
        <v>24</v>
      </c>
    </row>
    <row r="227" spans="1:15" x14ac:dyDescent="0.25">
      <c r="A227" s="63" t="str">
        <f>IF(AND(G227="",H227=""),"SUPPR",SAISIE!$B$3)</f>
        <v>SUPPR</v>
      </c>
      <c r="B227" s="63" t="str">
        <f>IF(SAISIE!P24="","",IF(LEN(SAISIE!B24)=1,CONCATENATE("0",SAISIE!B24,"/",SAISIE!$B$4,"/",SAISIE!$B$5),CONCATENATE(SAISIE!B24,"/",SAISIE!$B$4,"/",SAISIE!$B$5)))</f>
        <v/>
      </c>
      <c r="C227" s="63" t="str">
        <f>IF(SAISIE!P24="","",SAISIE!O24)</f>
        <v/>
      </c>
      <c r="D227" s="63" t="str">
        <f>IF(SAISIE!P24="","",SAISIE!E24)</f>
        <v/>
      </c>
      <c r="E227" s="63" t="str">
        <f>IF(SAISIE!P24="","",SAISIE!F24)</f>
        <v/>
      </c>
      <c r="F227" s="70" t="str">
        <f>IF(SAISIE!$P24="","",IF(SAISIE!$N24="","",SAISIE!$N24))</f>
        <v/>
      </c>
      <c r="G227" s="63" t="str">
        <f>IF(SAISIE!P24="","",SAISIE!P24)</f>
        <v/>
      </c>
      <c r="H227" s="63"/>
      <c r="I227" s="63" t="str">
        <f>IF(SAISIE!$P24="","",SAISIE!$Q24)</f>
        <v/>
      </c>
      <c r="J227" s="71" t="str">
        <f>IF(COUNTBLANK(SAISIE!$J$6:$M$6)=4,"",IF(SAISIE!P24="","",IF(SAISIE!J24&gt;0,SAISIE!$J$6,IF(SAISIE!K24&gt;0,SAISIE!$K$6,IF(SAISIE!L24&gt;0,SAISIE!$L$6,IF(SAISIE!M24&gt;0,SAISIE!$M$6,""))))))</f>
        <v/>
      </c>
      <c r="O227" s="59" t="s">
        <v>50</v>
      </c>
    </row>
    <row r="228" spans="1:15" x14ac:dyDescent="0.25">
      <c r="A228" s="63" t="str">
        <f>IF(AND(G228="",H228=""),"SUPPR",SAISIE!$B$3)</f>
        <v>SUPPR</v>
      </c>
      <c r="B228" s="63" t="str">
        <f>IF(SAISIE!G24="","",IF(LEN(SAISIE!B24)=1,CONCATENATE("0",SAISIE!B24,"/",SAISIE!$B$4,"/",SAISIE!$B$5),CONCATENATE(SAISIE!B24,"/",SAISIE!$B$4,"/",SAISIE!$B$5)))</f>
        <v/>
      </c>
      <c r="C228" s="63" t="str">
        <f>IF(SAISIE!G24="","",SAISIE!$G$8)</f>
        <v/>
      </c>
      <c r="D228" s="63" t="str">
        <f>IF(SAISIE!G24="","",SAISIE!E24)</f>
        <v/>
      </c>
      <c r="E228" s="63" t="str">
        <f>IF(SAISIE!G24="","",SAISIE!F24)</f>
        <v/>
      </c>
      <c r="F228" s="70" t="str">
        <f>IF(SAISIE!$G24="","",IF(SAISIE!$N24="","",SAISIE!$N24))</f>
        <v/>
      </c>
      <c r="G228" s="63" t="str">
        <f>IF(SAISIE!G24="","",SAISIE!G24)</f>
        <v/>
      </c>
      <c r="H228" s="63"/>
      <c r="I228" s="63" t="str">
        <f>IF(SAISIE!$G24="","",SAISIE!$Q24)</f>
        <v/>
      </c>
      <c r="J228" s="71" t="str">
        <f>IF(COUNTBLANK(SAISIE!$J$6:$M$6)=4,"",IF(SAISIE!G24="","",IF(SAISIE!J24&gt;0,SAISIE!$J$6,IF(SAISIE!K24&gt;0,SAISIE!$K$6,IF(SAISIE!L24&gt;0,SAISIE!$L$6,IF(SAISIE!M24&gt;0,SAISIE!$M$6,""))))))</f>
        <v/>
      </c>
      <c r="O228" s="59" t="s">
        <v>51</v>
      </c>
    </row>
    <row r="229" spans="1:15" x14ac:dyDescent="0.25">
      <c r="A229" s="63" t="str">
        <f>IF(AND(G229="",H229=""),"SUPPR",SAISIE!$B$3)</f>
        <v>SUPPR</v>
      </c>
      <c r="B229" s="63" t="str">
        <f>IF(SAISIE!H24="","",IF(LEN(SAISIE!B24)=1,CONCATENATE("0",SAISIE!B24,"/",SAISIE!$B$4,"/",SAISIE!$B$5),CONCATENATE(SAISIE!B24,"/",SAISIE!$B$4,"/",SAISIE!$B$5)))</f>
        <v/>
      </c>
      <c r="C229" s="63" t="str">
        <f>IF(SAISIE!H24="","",SAISIE!$H$8)</f>
        <v/>
      </c>
      <c r="D229" s="63" t="str">
        <f>IF(SAISIE!H24="","",SAISIE!E24)</f>
        <v/>
      </c>
      <c r="E229" s="63" t="str">
        <f>IF(SAISIE!H24="","",SAISIE!F24)</f>
        <v/>
      </c>
      <c r="F229" s="70" t="str">
        <f>IF(SAISIE!$H24="","",IF(SAISIE!$N24="","",SAISIE!$N24))</f>
        <v/>
      </c>
      <c r="G229" s="63" t="str">
        <f>IF(SAISIE!H24="","",SAISIE!H24)</f>
        <v/>
      </c>
      <c r="H229" s="63"/>
      <c r="I229" s="63" t="str">
        <f>IF(SAISIE!$H24="","",SAISIE!$Q24)</f>
        <v/>
      </c>
      <c r="J229" s="71" t="str">
        <f>IF(COUNTBLANK(SAISIE!$J$6:$M$6)=4,"",IF(SAISIE!H24="","",IF(SAISIE!J24&gt;0,SAISIE!$J$6,IF(SAISIE!K24&gt;0,SAISIE!$K$6,IF(SAISIE!L24&gt;0,SAISIE!$L$6,IF(SAISIE!M24&gt;0,SAISIE!$M$6,""))))))</f>
        <v/>
      </c>
      <c r="O229" s="59" t="s">
        <v>52</v>
      </c>
    </row>
    <row r="230" spans="1:15" x14ac:dyDescent="0.25">
      <c r="A230" s="63" t="str">
        <f>IF(AND(G230="",H230=""),"SUPPR",SAISIE!$B$3)</f>
        <v>SUPPR</v>
      </c>
      <c r="B230" s="63" t="str">
        <f>IF(SAISIE!I24="","",IF(LEN(SAISIE!B24)=1,CONCATENATE("0",SAISIE!B24,"/",SAISIE!$B$4,"/",SAISIE!$B$5),CONCATENATE(SAISIE!B24,"/",SAISIE!$B$4,"/",SAISIE!$B$5)))</f>
        <v/>
      </c>
      <c r="C230" s="63" t="str">
        <f>IF(SAISIE!I24="","",SAISIE!$I$8)</f>
        <v/>
      </c>
      <c r="D230" s="63" t="str">
        <f>IF(SAISIE!I24="","",SAISIE!E24)</f>
        <v/>
      </c>
      <c r="E230" s="63" t="str">
        <f>IF(SAISIE!I24="","",SAISIE!F24)</f>
        <v/>
      </c>
      <c r="F230" s="70" t="str">
        <f>IF(SAISIE!$I24="","",IF(SAISIE!$N24="","",SAISIE!$N24))</f>
        <v/>
      </c>
      <c r="G230" s="63" t="str">
        <f>IF(SAISIE!I24="","",SAISIE!I24)</f>
        <v/>
      </c>
      <c r="H230" s="63"/>
      <c r="I230" s="63" t="str">
        <f>IF(SAISIE!$I24="","",SAISIE!$Q24)</f>
        <v/>
      </c>
      <c r="J230" s="71" t="str">
        <f>IF(COUNTBLANK(SAISIE!$J$6:$M$6)=4,"",IF(SAISIE!I24="","",IF(SAISIE!J24&gt;0,SAISIE!$J$6,IF(SAISIE!K24&gt;0,SAISIE!$K$6,IF(SAISIE!L24&gt;0,SAISIE!$L$6,IF(SAISIE!M24&gt;0,SAISIE!$M$6,""))))))</f>
        <v/>
      </c>
      <c r="O230" s="59" t="s">
        <v>53</v>
      </c>
    </row>
    <row r="231" spans="1:15" x14ac:dyDescent="0.25">
      <c r="A231" s="63" t="e">
        <f>IF(AND(G231="",H231=""),"SUPPR",SAISIE!$B$3)</f>
        <v>#REF!</v>
      </c>
      <c r="B231" s="63" t="e">
        <f>IF(SAISIE!#REF!="","",IF(LEN(SAISIE!B24)=1,CONCATENATE("0",SAISIE!B24,"/",SAISIE!$B$4,"/",SAISIE!$B$5),CONCATENATE(SAISIE!B24,"/",SAISIE!$B$4,"/",SAISIE!$B$5)))</f>
        <v>#REF!</v>
      </c>
      <c r="C231" s="63" t="e">
        <f>IF(SAISIE!#REF!="","",SAISIE!#REF!)</f>
        <v>#REF!</v>
      </c>
      <c r="D231" s="63" t="e">
        <f>IF(SAISIE!#REF!="","",SAISIE!E24)</f>
        <v>#REF!</v>
      </c>
      <c r="E231" s="63" t="e">
        <f>IF(SAISIE!#REF!="","",SAISIE!F24)</f>
        <v>#REF!</v>
      </c>
      <c r="F231" s="70" t="e">
        <f>IF(SAISIE!#REF!="","",IF(SAISIE!$N24="","",SAISIE!$N24))</f>
        <v>#REF!</v>
      </c>
      <c r="G231" s="63" t="e">
        <f>IF(SAISIE!#REF!="","",SAISIE!#REF!)</f>
        <v>#REF!</v>
      </c>
      <c r="H231" s="63"/>
      <c r="I231" s="63" t="e">
        <f>IF(SAISIE!#REF!="","",SAISIE!$Q24)</f>
        <v>#REF!</v>
      </c>
      <c r="J231" s="71" t="str">
        <f>IF(COUNTBLANK(SAISIE!$J$6:$M$6)=4,"",IF(SAISIE!#REF!="","",IF(SAISIE!J24&gt;0,SAISIE!$J$6,IF(SAISIE!K24&gt;0,SAISIE!$K$6,IF(SAISIE!L24&gt;0,SAISIE!$L$6,IF(SAISIE!M24&gt;0,SAISIE!$M$6,""))))))</f>
        <v/>
      </c>
      <c r="O231" s="59" t="s">
        <v>54</v>
      </c>
    </row>
    <row r="232" spans="1:15" x14ac:dyDescent="0.25">
      <c r="A232" s="63" t="e">
        <f>IF(AND(G232="",H232=""),"SUPPR",SAISIE!$B$3)</f>
        <v>#REF!</v>
      </c>
      <c r="B232" s="63" t="e">
        <f>IF(SAISIE!#REF!="","",IF(LEN(SAISIE!B24)=1,CONCATENATE("0",SAISIE!B24,"/",SAISIE!$B$4,"/",SAISIE!$B$5),CONCATENATE(SAISIE!B24,"/",SAISIE!$B$4,"/",SAISIE!$B$5)))</f>
        <v>#REF!</v>
      </c>
      <c r="C232" s="63" t="e">
        <f>IF(SAISIE!#REF!="","",SAISIE!#REF!)</f>
        <v>#REF!</v>
      </c>
      <c r="D232" s="63" t="e">
        <f>IF(SAISIE!#REF!="","",SAISIE!E24)</f>
        <v>#REF!</v>
      </c>
      <c r="E232" s="63" t="e">
        <f>IF(SAISIE!#REF!="","",SAISIE!F24)</f>
        <v>#REF!</v>
      </c>
      <c r="F232" s="70" t="e">
        <f>IF(SAISIE!#REF!="","",IF(SAISIE!$N24="","",SAISIE!$N24))</f>
        <v>#REF!</v>
      </c>
      <c r="G232" s="63" t="e">
        <f>IF(SAISIE!#REF!="","",SAISIE!#REF!)</f>
        <v>#REF!</v>
      </c>
      <c r="H232" s="63"/>
      <c r="I232" s="63" t="e">
        <f>IF(SAISIE!#REF!="","",SAISIE!$Q24)</f>
        <v>#REF!</v>
      </c>
      <c r="J232" s="71" t="str">
        <f>IF(COUNTBLANK(SAISIE!$J$6:$M$6)=4,"",IF(SAISIE!#REF!="","",IF(SAISIE!J24&gt;0,SAISIE!$J$6,IF(SAISIE!K24&gt;0,SAISIE!$K$6,IF(SAISIE!L24&gt;0,SAISIE!$L$6,IF(SAISIE!M24&gt;0,SAISIE!$M$6,""))))))</f>
        <v/>
      </c>
      <c r="O232" s="59" t="s">
        <v>55</v>
      </c>
    </row>
    <row r="233" spans="1:15" x14ac:dyDescent="0.25">
      <c r="A233" s="63" t="e">
        <f>IF(AND(G233="",H233=""),"SUPPR",SAISIE!$B$3)</f>
        <v>#REF!</v>
      </c>
      <c r="B233" s="63" t="e">
        <f>IF(SAISIE!#REF!="","",IF(LEN(SAISIE!B24)=1,CONCATENATE("0",SAISIE!B24,"/",SAISIE!$B$4,"/",SAISIE!$B$5),CONCATENATE(SAISIE!B24,"/",SAISIE!$B$4,"/",SAISIE!$B$5)))</f>
        <v>#REF!</v>
      </c>
      <c r="C233" s="63" t="e">
        <f>IF(SAISIE!#REF!="","",SAISIE!#REF!)</f>
        <v>#REF!</v>
      </c>
      <c r="D233" s="63" t="e">
        <f>IF(SAISIE!#REF!="","",SAISIE!E24)</f>
        <v>#REF!</v>
      </c>
      <c r="E233" s="63" t="e">
        <f>IF(SAISIE!#REF!="","",SAISIE!F24)</f>
        <v>#REF!</v>
      </c>
      <c r="F233" s="70" t="e">
        <f>IF(SAISIE!#REF!="","",IF(SAISIE!$N24="","",SAISIE!$N24))</f>
        <v>#REF!</v>
      </c>
      <c r="G233" s="63" t="e">
        <f>IF(SAISIE!#REF!="","",SAISIE!#REF!)</f>
        <v>#REF!</v>
      </c>
      <c r="H233" s="63"/>
      <c r="I233" s="63" t="e">
        <f>IF(SAISIE!#REF!="","",SAISIE!$Q24)</f>
        <v>#REF!</v>
      </c>
      <c r="J233" s="71" t="str">
        <f>IF(COUNTBLANK(SAISIE!$J$6:$M$6)=4,"",IF(SAISIE!#REF!="","",IF(SAISIE!J24&gt;0,SAISIE!$J$6,IF(SAISIE!K24&gt;0,SAISIE!$K$6,IF(SAISIE!L24&gt;0,SAISIE!$L$6,IF(SAISIE!M24&gt;0,SAISIE!$M$6,""))))))</f>
        <v/>
      </c>
      <c r="O233" s="59" t="s">
        <v>56</v>
      </c>
    </row>
    <row r="234" spans="1:15" x14ac:dyDescent="0.25">
      <c r="A234" s="63" t="e">
        <f>IF(AND(G234="",H234=""),"SUPPR",SAISIE!$B$3)</f>
        <v>#REF!</v>
      </c>
      <c r="B234" s="63" t="e">
        <f>IF(SAISIE!#REF!="","",IF(LEN(SAISIE!B24)=1,CONCATENATE("0",SAISIE!B24,"/",SAISIE!$B$4,"/",SAISIE!$B$5),CONCATENATE(SAISIE!B24,"/",SAISIE!$B$4,"/",SAISIE!$B$5)))</f>
        <v>#REF!</v>
      </c>
      <c r="C234" s="63" t="e">
        <f>IF(SAISIE!#REF!="","",SAISIE!#REF!)</f>
        <v>#REF!</v>
      </c>
      <c r="D234" s="63" t="e">
        <f>IF(SAISIE!#REF!="","",SAISIE!E24)</f>
        <v>#REF!</v>
      </c>
      <c r="E234" s="63" t="e">
        <f>IF(SAISIE!#REF!="","",SAISIE!F24)</f>
        <v>#REF!</v>
      </c>
      <c r="F234" s="70" t="e">
        <f>IF(SAISIE!#REF!="","",IF(SAISIE!$N24="","",SAISIE!$N24))</f>
        <v>#REF!</v>
      </c>
      <c r="G234" s="63" t="e">
        <f>IF(SAISIE!#REF!="","",SAISIE!#REF!)</f>
        <v>#REF!</v>
      </c>
      <c r="H234" s="63"/>
      <c r="I234" s="63" t="e">
        <f>IF(SAISIE!#REF!="","",SAISIE!$Q24)</f>
        <v>#REF!</v>
      </c>
      <c r="J234" s="71" t="str">
        <f>IF(COUNTBLANK(SAISIE!$J$6:$M$6)=4,"",IF(SAISIE!#REF!="","",IF(SAISIE!J24&gt;0,SAISIE!$J$6,IF(SAISIE!K24&gt;0,SAISIE!$K$6,IF(SAISIE!L24&gt;0,SAISIE!$L$6,IF(SAISIE!M24&gt;0,SAISIE!$M$6,""))))))</f>
        <v/>
      </c>
      <c r="O234" s="59" t="s">
        <v>57</v>
      </c>
    </row>
    <row r="235" spans="1:15" x14ac:dyDescent="0.25">
      <c r="A235" s="63" t="e">
        <f>IF(AND(G235="",H235=""),"SUPPR",SAISIE!$B$3)</f>
        <v>#REF!</v>
      </c>
      <c r="B235" s="63" t="e">
        <f>IF(SAISIE!#REF!="","",IF(LEN(SAISIE!B24)=1,CONCATENATE("0",SAISIE!B24,"/",SAISIE!$B$4,"/",SAISIE!$B$5),CONCATENATE(SAISIE!B24,"/",SAISIE!$B$4,"/",SAISIE!$B$5)))</f>
        <v>#REF!</v>
      </c>
      <c r="C235" s="63" t="e">
        <f>IF(SAISIE!#REF!="","",SAISIE!#REF!)</f>
        <v>#REF!</v>
      </c>
      <c r="D235" s="63" t="e">
        <f>IF(SAISIE!#REF!="","",SAISIE!E24)</f>
        <v>#REF!</v>
      </c>
      <c r="E235" s="63" t="e">
        <f>IF(SAISIE!#REF!="","",SAISIE!F24)</f>
        <v>#REF!</v>
      </c>
      <c r="F235" s="70" t="e">
        <f>IF(SAISIE!#REF!="","",IF(SAISIE!$N24="","",SAISIE!$N24))</f>
        <v>#REF!</v>
      </c>
      <c r="G235" s="63" t="e">
        <f>IF(SAISIE!#REF!="","",SAISIE!#REF!)</f>
        <v>#REF!</v>
      </c>
      <c r="H235" s="63"/>
      <c r="I235" s="63" t="e">
        <f>IF(SAISIE!#REF!="","",SAISIE!$Q24)</f>
        <v>#REF!</v>
      </c>
      <c r="J235" s="71" t="str">
        <f>IF(COUNTBLANK(SAISIE!$J$6:$M$6)=4,"",IF(SAISIE!#REF!="","",IF(SAISIE!J24&gt;0,SAISIE!$J$6,IF(SAISIE!K24&gt;0,SAISIE!$K$6,IF(SAISIE!L24&gt;0,SAISIE!$L$6,IF(SAISIE!M24&gt;0,SAISIE!$M$6,""))))))</f>
        <v/>
      </c>
      <c r="O235" s="59" t="s">
        <v>58</v>
      </c>
    </row>
    <row r="236" spans="1:15" x14ac:dyDescent="0.25">
      <c r="A236" s="63" t="e">
        <f>IF(AND(G236="",H236=""),"SUPPR",SAISIE!$B$3)</f>
        <v>#REF!</v>
      </c>
      <c r="B236" s="63" t="e">
        <f>IF(SAISIE!#REF!="","",IF(LEN(SAISIE!B24)=1,CONCATENATE("0",SAISIE!B24,"/",SAISIE!$B$4,"/",SAISIE!$B$5),CONCATENATE(SAISIE!B24,"/",SAISIE!$B$4,"/",SAISIE!$B$5)))</f>
        <v>#REF!</v>
      </c>
      <c r="C236" s="63" t="e">
        <f>IF(SAISIE!#REF!="","",SAISIE!#REF!)</f>
        <v>#REF!</v>
      </c>
      <c r="D236" s="63" t="e">
        <f>IF(SAISIE!#REF!="","",SAISIE!E24)</f>
        <v>#REF!</v>
      </c>
      <c r="E236" s="63" t="e">
        <f>IF(SAISIE!#REF!="","",SAISIE!F24)</f>
        <v>#REF!</v>
      </c>
      <c r="F236" s="70" t="e">
        <f>IF(SAISIE!#REF!="","",IF(SAISIE!$N24="","",SAISIE!$N24))</f>
        <v>#REF!</v>
      </c>
      <c r="G236" s="63" t="e">
        <f>IF(SAISIE!#REF!="","",SAISIE!#REF!)</f>
        <v>#REF!</v>
      </c>
      <c r="H236" s="63"/>
      <c r="I236" s="63" t="e">
        <f>IF(SAISIE!#REF!="","",SAISIE!$Q24)</f>
        <v>#REF!</v>
      </c>
      <c r="J236" s="71" t="str">
        <f>IF(COUNTBLANK(SAISIE!$J$6:$M$6)=4,"",IF(SAISIE!#REF!="","",IF(SAISIE!J24&gt;0,SAISIE!$J$6,IF(SAISIE!K24&gt;0,SAISIE!$K$6,IF(SAISIE!L24&gt;0,SAISIE!$L$6,IF(SAISIE!M24&gt;0,SAISIE!$M$6,""))))))</f>
        <v/>
      </c>
      <c r="O236" s="59" t="s">
        <v>59</v>
      </c>
    </row>
    <row r="237" spans="1:15" x14ac:dyDescent="0.25">
      <c r="A237" s="63" t="e">
        <f>IF(AND(G237="",H237=""),"SUPPR",SAISIE!$B$3)</f>
        <v>#REF!</v>
      </c>
      <c r="B237" s="63" t="e">
        <f>IF(SAISIE!#REF!="","",IF(LEN(SAISIE!B24)=1,CONCATENATE("0",SAISIE!B24,"/",SAISIE!$B$4,"/",SAISIE!$B$5),CONCATENATE(SAISIE!B24,"/",SAISIE!$B$4,"/",SAISIE!$B$5)))</f>
        <v>#REF!</v>
      </c>
      <c r="C237" s="63" t="e">
        <f>IF(SAISIE!#REF!="","",SAISIE!#REF!)</f>
        <v>#REF!</v>
      </c>
      <c r="D237" s="63" t="e">
        <f>IF(SAISIE!#REF!="","",SAISIE!E24)</f>
        <v>#REF!</v>
      </c>
      <c r="E237" s="63" t="e">
        <f>IF(SAISIE!#REF!="","",SAISIE!F24)</f>
        <v>#REF!</v>
      </c>
      <c r="F237" s="70" t="e">
        <f>IF(SAISIE!#REF!="","",IF(SAISIE!$N24="","",SAISIE!$N24))</f>
        <v>#REF!</v>
      </c>
      <c r="G237" s="63" t="e">
        <f>IF(SAISIE!#REF!="","",SAISIE!#REF!)</f>
        <v>#REF!</v>
      </c>
      <c r="H237" s="63"/>
      <c r="I237" s="63" t="e">
        <f>IF(SAISIE!#REF!="","",SAISIE!$Q24)</f>
        <v>#REF!</v>
      </c>
      <c r="J237" s="71" t="str">
        <f>IF(COUNTBLANK(SAISIE!$J$6:$M$6)=4,"",IF(SAISIE!#REF!="","",IF(SAISIE!J24&gt;0,SAISIE!$J$6,IF(SAISIE!K24&gt;0,SAISIE!$K$6,IF(SAISIE!L24&gt;0,SAISIE!$L$6,IF(SAISIE!M24&gt;0,SAISIE!$M$6,""))))))</f>
        <v/>
      </c>
      <c r="O237" s="59" t="s">
        <v>60</v>
      </c>
    </row>
    <row r="238" spans="1:15" x14ac:dyDescent="0.25">
      <c r="A238" s="63" t="str">
        <f>IF(AND(G238="",H238=""),"SUPPR",SAISIE!$B$3)</f>
        <v>SUPPR</v>
      </c>
      <c r="B238" s="63" t="str">
        <f>IF(SAISIE!J24="","",IF(LEN(SAISIE!B24)=1,CONCATENATE("0",SAISIE!B24,"/",SAISIE!$B$4,"/",SAISIE!$B$5),CONCATENATE(SAISIE!B24,"/",SAISIE!$B$4,"/",SAISIE!$B$5)))</f>
        <v/>
      </c>
      <c r="C238" s="63" t="str">
        <f>IF(SAISIE!J24="","",SAISIE!$J$8)</f>
        <v/>
      </c>
      <c r="D238" s="63" t="str">
        <f>IF(SAISIE!J24="","",SAISIE!E24)</f>
        <v/>
      </c>
      <c r="E238" s="63" t="str">
        <f>IF(SAISIE!J24="","",SAISIE!F24)</f>
        <v/>
      </c>
      <c r="F238" s="70" t="str">
        <f>IF(SAISIE!$J24="","",IF(SAISIE!$N24="","",SAISIE!$N24))</f>
        <v/>
      </c>
      <c r="G238" s="63" t="str">
        <f>IF(SAISIE!J24="","",SAISIE!J24)</f>
        <v/>
      </c>
      <c r="H238" s="63"/>
      <c r="I238" s="72"/>
      <c r="J238" s="71"/>
      <c r="O238" s="73"/>
    </row>
    <row r="239" spans="1:15" x14ac:dyDescent="0.25">
      <c r="A239" s="63" t="str">
        <f>IF(AND(G239="",H239=""),"SUPPR",SAISIE!$B$3)</f>
        <v>SUPPR</v>
      </c>
      <c r="B239" s="63" t="str">
        <f>IF(SAISIE!K24="","",IF(LEN(SAISIE!B24)=1,CONCATENATE("0",SAISIE!B24,"/",SAISIE!$B$4,"/",SAISIE!$B$5),CONCATENATE(SAISIE!B24,"/",SAISIE!$B$4,"/",SAISIE!$B$5)))</f>
        <v/>
      </c>
      <c r="C239" s="63" t="str">
        <f>IF(SAISIE!K24="","",SAISIE!$K$8)</f>
        <v/>
      </c>
      <c r="D239" s="63" t="str">
        <f>IF(SAISIE!K24="","",SAISIE!E24)</f>
        <v/>
      </c>
      <c r="E239" s="63" t="str">
        <f>IF(SAISIE!K24="","",SAISIE!F24)</f>
        <v/>
      </c>
      <c r="F239" s="70" t="str">
        <f>IF(SAISIE!$K24="","",IF(SAISIE!$N24="","",SAISIE!$N24))</f>
        <v/>
      </c>
      <c r="G239" s="63" t="str">
        <f>IF(SAISIE!K24="","",SAISIE!K24)</f>
        <v/>
      </c>
      <c r="H239" s="63"/>
      <c r="I239" s="72"/>
      <c r="J239" s="71"/>
    </row>
    <row r="240" spans="1:15" x14ac:dyDescent="0.25">
      <c r="A240" s="63" t="str">
        <f>IF(AND(G240="",H240=""),"SUPPR",SAISIE!$B$3)</f>
        <v>SUPPR</v>
      </c>
      <c r="B240" s="63" t="str">
        <f>IF(SAISIE!L24="","",IF(LEN(SAISIE!B24)=1,CONCATENATE("0",SAISIE!B24,"/",SAISIE!$B$4,"/",SAISIE!$B$5),CONCATENATE(SAISIE!B24,"/",SAISIE!$B$4,"/",SAISIE!$B$5)))</f>
        <v/>
      </c>
      <c r="C240" s="63" t="str">
        <f>IF(SAISIE!L24="","",SAISIE!$L$8)</f>
        <v/>
      </c>
      <c r="D240" s="63" t="str">
        <f>IF(SAISIE!L24="","",SAISIE!E24)</f>
        <v/>
      </c>
      <c r="E240" s="63" t="str">
        <f>IF(SAISIE!L24="","",SAISIE!F24)</f>
        <v/>
      </c>
      <c r="F240" s="70" t="str">
        <f>IF(SAISIE!$L24="","",IF(SAISIE!$N24="","",SAISIE!$N24))</f>
        <v/>
      </c>
      <c r="G240" s="63" t="str">
        <f>IF(SAISIE!L24="","",SAISIE!L24)</f>
        <v/>
      </c>
      <c r="H240" s="63"/>
      <c r="I240" s="72"/>
      <c r="J240" s="71"/>
    </row>
    <row r="241" spans="1:15" x14ac:dyDescent="0.25">
      <c r="A241" s="63" t="str">
        <f>IF(AND(G241="",H241=""),"SUPPR",SAISIE!$B$3)</f>
        <v>SUPPR</v>
      </c>
      <c r="B241" s="63" t="str">
        <f>IF(SAISIE!M24="","",IF(LEN(SAISIE!B24)=1,CONCATENATE("0",SAISIE!B24,"/",SAISIE!$B$4,"/",SAISIE!$B$5),CONCATENATE(SAISIE!B24,"/",SAISIE!$B$4,"/",SAISIE!$B$5)))</f>
        <v/>
      </c>
      <c r="C241" s="74" t="str">
        <f>IF(SAISIE!M24="","",SAISIE!$M$8)</f>
        <v/>
      </c>
      <c r="D241" s="74" t="str">
        <f>IF(SAISIE!M24="","",SAISIE!E24)</f>
        <v/>
      </c>
      <c r="E241" s="74" t="str">
        <f>IF(SAISIE!M24="","",SAISIE!F24)</f>
        <v/>
      </c>
      <c r="F241" s="75" t="str">
        <f>IF(SAISIE!$M24="","",IF(SAISIE!$N24="","",SAISIE!$N24))</f>
        <v/>
      </c>
      <c r="G241" s="74" t="str">
        <f>IF(SAISIE!M24="","",SAISIE!M24)</f>
        <v/>
      </c>
      <c r="H241" s="76"/>
      <c r="I241" s="77"/>
      <c r="J241" s="78"/>
    </row>
    <row r="242" spans="1:15" x14ac:dyDescent="0.25">
      <c r="A242" s="63" t="str">
        <f>IF(AND(G242="",H242=""),"SUPPR",SAISIE!$B$3)</f>
        <v>SUPPR</v>
      </c>
      <c r="B242" s="64" t="str">
        <f>IF(SAISIE!B25="","",IF(LEN(SAISIE!B25)=1,CONCATENATE("0",SAISIE!B25,"/",SAISIE!$B$4,"/",SAISIE!$B$5),CONCATENATE(SAISIE!B25,"/",SAISIE!$B$4,"/",SAISIE!$B$5)))</f>
        <v/>
      </c>
      <c r="C242" s="64" t="str">
        <f>IF(SAISIE!B25="","",CONCATENATE($M$2,SAISIE!C25))</f>
        <v/>
      </c>
      <c r="D242" s="64" t="str">
        <f>IF(SAISIE!B25="","",SAISIE!E25)</f>
        <v/>
      </c>
      <c r="E242" s="64" t="str">
        <f>IF(SAISIE!B25="","",SAISIE!F25)</f>
        <v/>
      </c>
      <c r="F242" s="65" t="str">
        <f>IF(A242="SUPPR","",IF(SAISIE!N25="","",SAISIE!N25))</f>
        <v/>
      </c>
      <c r="G242" s="64"/>
      <c r="H242" s="64" t="str">
        <f>IF(SAISIE!B25="","",SAISIE!D25)</f>
        <v/>
      </c>
      <c r="I242" s="66"/>
      <c r="J242" s="67" t="str">
        <f>IF(AZ25="","","")</f>
        <v/>
      </c>
      <c r="O242" s="69">
        <f>O226+1</f>
        <v>25</v>
      </c>
    </row>
    <row r="243" spans="1:15" x14ac:dyDescent="0.25">
      <c r="A243" s="63" t="str">
        <f>IF(AND(G243="",H243=""),"SUPPR",SAISIE!$B$3)</f>
        <v>SUPPR</v>
      </c>
      <c r="B243" s="63" t="str">
        <f>IF(SAISIE!P25="","",IF(LEN(SAISIE!B25)=1,CONCATENATE("0",SAISIE!B25,"/",SAISIE!$B$4,"/",SAISIE!$B$5),CONCATENATE(SAISIE!B25,"/",SAISIE!$B$4,"/",SAISIE!$B$5)))</f>
        <v/>
      </c>
      <c r="C243" s="63" t="str">
        <f>IF(SAISIE!P25="","",SAISIE!O25)</f>
        <v/>
      </c>
      <c r="D243" s="63" t="str">
        <f>IF(SAISIE!P25="","",SAISIE!E25)</f>
        <v/>
      </c>
      <c r="E243" s="63" t="str">
        <f>IF(SAISIE!P25="","",SAISIE!F25)</f>
        <v/>
      </c>
      <c r="F243" s="70" t="str">
        <f>IF(SAISIE!$P25="","",IF(SAISIE!$N25="","",SAISIE!$N25))</f>
        <v/>
      </c>
      <c r="G243" s="63" t="str">
        <f>IF(SAISIE!P25="","",SAISIE!P25)</f>
        <v/>
      </c>
      <c r="H243" s="63"/>
      <c r="I243" s="63" t="str">
        <f>IF(SAISIE!$P25="","",SAISIE!$Q25)</f>
        <v/>
      </c>
      <c r="J243" s="71" t="str">
        <f>IF(COUNTBLANK(SAISIE!$J$6:$M$6)=4,"",IF(SAISIE!P25="","",IF(SAISIE!J25&gt;0,SAISIE!$J$6,IF(SAISIE!K25&gt;0,SAISIE!$K$6,IF(SAISIE!L25&gt;0,SAISIE!$L$6,IF(SAISIE!M25&gt;0,SAISIE!$M$6,""))))))</f>
        <v/>
      </c>
      <c r="O243" s="59" t="s">
        <v>50</v>
      </c>
    </row>
    <row r="244" spans="1:15" x14ac:dyDescent="0.25">
      <c r="A244" s="63" t="str">
        <f>IF(AND(G244="",H244=""),"SUPPR",SAISIE!$B$3)</f>
        <v>SUPPR</v>
      </c>
      <c r="B244" s="63" t="str">
        <f>IF(SAISIE!G25="","",IF(LEN(SAISIE!B25)=1,CONCATENATE("0",SAISIE!B25,"/",SAISIE!$B$4,"/",SAISIE!$B$5),CONCATENATE(SAISIE!B25,"/",SAISIE!$B$4,"/",SAISIE!$B$5)))</f>
        <v/>
      </c>
      <c r="C244" s="63" t="str">
        <f>IF(SAISIE!G25="","",SAISIE!$G$8)</f>
        <v/>
      </c>
      <c r="D244" s="63" t="str">
        <f>IF(SAISIE!G25="","",SAISIE!E25)</f>
        <v/>
      </c>
      <c r="E244" s="63" t="str">
        <f>IF(SAISIE!G25="","",SAISIE!F25)</f>
        <v/>
      </c>
      <c r="F244" s="70" t="str">
        <f>IF(SAISIE!$G25="","",IF(SAISIE!$N25="","",SAISIE!$N25))</f>
        <v/>
      </c>
      <c r="G244" s="63" t="str">
        <f>IF(SAISIE!G25="","",SAISIE!G25)</f>
        <v/>
      </c>
      <c r="H244" s="63"/>
      <c r="I244" s="63" t="str">
        <f>IF(SAISIE!$G25="","",SAISIE!$Q25)</f>
        <v/>
      </c>
      <c r="J244" s="71" t="str">
        <f>IF(COUNTBLANK(SAISIE!$J$6:$M$6)=4,"",IF(SAISIE!G25="","",IF(SAISIE!J25&gt;0,SAISIE!$J$6,IF(SAISIE!K25&gt;0,SAISIE!$K$6,IF(SAISIE!L25&gt;0,SAISIE!$L$6,IF(SAISIE!M25&gt;0,SAISIE!$M$6,""))))))</f>
        <v/>
      </c>
      <c r="O244" s="59" t="s">
        <v>51</v>
      </c>
    </row>
    <row r="245" spans="1:15" x14ac:dyDescent="0.25">
      <c r="A245" s="63" t="str">
        <f>IF(AND(G245="",H245=""),"SUPPR",SAISIE!$B$3)</f>
        <v>SUPPR</v>
      </c>
      <c r="B245" s="63" t="str">
        <f>IF(SAISIE!H25="","",IF(LEN(SAISIE!B25)=1,CONCATENATE("0",SAISIE!B25,"/",SAISIE!$B$4,"/",SAISIE!$B$5),CONCATENATE(SAISIE!B25,"/",SAISIE!$B$4,"/",SAISIE!$B$5)))</f>
        <v/>
      </c>
      <c r="C245" s="63" t="str">
        <f>IF(SAISIE!H25="","",SAISIE!$H$8)</f>
        <v/>
      </c>
      <c r="D245" s="63" t="str">
        <f>IF(SAISIE!H25="","",SAISIE!E25)</f>
        <v/>
      </c>
      <c r="E245" s="63" t="str">
        <f>IF(SAISIE!H25="","",SAISIE!F25)</f>
        <v/>
      </c>
      <c r="F245" s="70" t="str">
        <f>IF(SAISIE!$H25="","",IF(SAISIE!$N25="","",SAISIE!$N25))</f>
        <v/>
      </c>
      <c r="G245" s="63" t="str">
        <f>IF(SAISIE!H25="","",SAISIE!H25)</f>
        <v/>
      </c>
      <c r="H245" s="63"/>
      <c r="I245" s="63" t="str">
        <f>IF(SAISIE!$H25="","",SAISIE!$Q25)</f>
        <v/>
      </c>
      <c r="J245" s="71" t="str">
        <f>IF(COUNTBLANK(SAISIE!$J$6:$M$6)=4,"",IF(SAISIE!H25="","",IF(SAISIE!J25&gt;0,SAISIE!$J$6,IF(SAISIE!K25&gt;0,SAISIE!$K$6,IF(SAISIE!L25&gt;0,SAISIE!$L$6,IF(SAISIE!M25&gt;0,SAISIE!$M$6,""))))))</f>
        <v/>
      </c>
      <c r="O245" s="59" t="s">
        <v>52</v>
      </c>
    </row>
    <row r="246" spans="1:15" x14ac:dyDescent="0.25">
      <c r="A246" s="63" t="str">
        <f>IF(AND(G246="",H246=""),"SUPPR",SAISIE!$B$3)</f>
        <v>SUPPR</v>
      </c>
      <c r="B246" s="63" t="str">
        <f>IF(SAISIE!I25="","",IF(LEN(SAISIE!B25)=1,CONCATENATE("0",SAISIE!B25,"/",SAISIE!$B$4,"/",SAISIE!$B$5),CONCATENATE(SAISIE!B25,"/",SAISIE!$B$4,"/",SAISIE!$B$5)))</f>
        <v/>
      </c>
      <c r="C246" s="63" t="str">
        <f>IF(SAISIE!I25="","",SAISIE!$I$8)</f>
        <v/>
      </c>
      <c r="D246" s="63" t="str">
        <f>IF(SAISIE!I25="","",SAISIE!E25)</f>
        <v/>
      </c>
      <c r="E246" s="63" t="str">
        <f>IF(SAISIE!I25="","",SAISIE!F25)</f>
        <v/>
      </c>
      <c r="F246" s="70" t="str">
        <f>IF(SAISIE!$I25="","",IF(SAISIE!$N25="","",SAISIE!$N25))</f>
        <v/>
      </c>
      <c r="G246" s="63" t="str">
        <f>IF(SAISIE!I25="","",SAISIE!I25)</f>
        <v/>
      </c>
      <c r="H246" s="63"/>
      <c r="I246" s="63" t="str">
        <f>IF(SAISIE!$I25="","",SAISIE!$Q25)</f>
        <v/>
      </c>
      <c r="J246" s="71" t="str">
        <f>IF(COUNTBLANK(SAISIE!$J$6:$M$6)=4,"",IF(SAISIE!I25="","",IF(SAISIE!J25&gt;0,SAISIE!$J$6,IF(SAISIE!K25&gt;0,SAISIE!$K$6,IF(SAISIE!L25&gt;0,SAISIE!$L$6,IF(SAISIE!M25&gt;0,SAISIE!$M$6,""))))))</f>
        <v/>
      </c>
      <c r="O246" s="59" t="s">
        <v>53</v>
      </c>
    </row>
    <row r="247" spans="1:15" x14ac:dyDescent="0.25">
      <c r="A247" s="63" t="e">
        <f>IF(AND(G247="",H247=""),"SUPPR",SAISIE!$B$3)</f>
        <v>#REF!</v>
      </c>
      <c r="B247" s="63" t="e">
        <f>IF(SAISIE!#REF!="","",IF(LEN(SAISIE!B25)=1,CONCATENATE("0",SAISIE!B25,"/",SAISIE!$B$4,"/",SAISIE!$B$5),CONCATENATE(SAISIE!B25,"/",SAISIE!$B$4,"/",SAISIE!$B$5)))</f>
        <v>#REF!</v>
      </c>
      <c r="C247" s="63" t="e">
        <f>IF(SAISIE!#REF!="","",SAISIE!#REF!)</f>
        <v>#REF!</v>
      </c>
      <c r="D247" s="63" t="e">
        <f>IF(SAISIE!#REF!="","",SAISIE!E25)</f>
        <v>#REF!</v>
      </c>
      <c r="E247" s="63" t="e">
        <f>IF(SAISIE!#REF!="","",SAISIE!F25)</f>
        <v>#REF!</v>
      </c>
      <c r="F247" s="70" t="e">
        <f>IF(SAISIE!#REF!="","",IF(SAISIE!$N25="","",SAISIE!$N25))</f>
        <v>#REF!</v>
      </c>
      <c r="G247" s="63" t="e">
        <f>IF(SAISIE!#REF!="","",SAISIE!#REF!)</f>
        <v>#REF!</v>
      </c>
      <c r="H247" s="63"/>
      <c r="I247" s="63" t="e">
        <f>IF(SAISIE!#REF!="","",SAISIE!$Q25)</f>
        <v>#REF!</v>
      </c>
      <c r="J247" s="71" t="str">
        <f>IF(COUNTBLANK(SAISIE!$J$6:$M$6)=4,"",IF(SAISIE!#REF!="","",IF(SAISIE!J25&gt;0,SAISIE!$J$6,IF(SAISIE!K25&gt;0,SAISIE!$K$6,IF(SAISIE!L25&gt;0,SAISIE!$L$6,IF(SAISIE!M25&gt;0,SAISIE!$M$6,""))))))</f>
        <v/>
      </c>
      <c r="O247" s="59" t="s">
        <v>54</v>
      </c>
    </row>
    <row r="248" spans="1:15" x14ac:dyDescent="0.25">
      <c r="A248" s="63" t="e">
        <f>IF(AND(G248="",H248=""),"SUPPR",SAISIE!$B$3)</f>
        <v>#REF!</v>
      </c>
      <c r="B248" s="63" t="e">
        <f>IF(SAISIE!#REF!="","",IF(LEN(SAISIE!B25)=1,CONCATENATE("0",SAISIE!B25,"/",SAISIE!$B$4,"/",SAISIE!$B$5),CONCATENATE(SAISIE!B25,"/",SAISIE!$B$4,"/",SAISIE!$B$5)))</f>
        <v>#REF!</v>
      </c>
      <c r="C248" s="63" t="e">
        <f>IF(SAISIE!#REF!="","",SAISIE!#REF!)</f>
        <v>#REF!</v>
      </c>
      <c r="D248" s="63" t="e">
        <f>IF(SAISIE!#REF!="","",SAISIE!E25)</f>
        <v>#REF!</v>
      </c>
      <c r="E248" s="63" t="e">
        <f>IF(SAISIE!#REF!="","",SAISIE!F25)</f>
        <v>#REF!</v>
      </c>
      <c r="F248" s="70" t="e">
        <f>IF(SAISIE!#REF!="","",IF(SAISIE!$N25="","",SAISIE!$N25))</f>
        <v>#REF!</v>
      </c>
      <c r="G248" s="63" t="e">
        <f>IF(SAISIE!#REF!="","",SAISIE!#REF!)</f>
        <v>#REF!</v>
      </c>
      <c r="H248" s="63"/>
      <c r="I248" s="63" t="e">
        <f>IF(SAISIE!#REF!="","",SAISIE!$Q25)</f>
        <v>#REF!</v>
      </c>
      <c r="J248" s="71" t="str">
        <f>IF(COUNTBLANK(SAISIE!$J$6:$M$6)=4,"",IF(SAISIE!#REF!="","",IF(SAISIE!J25&gt;0,SAISIE!$J$6,IF(SAISIE!K25&gt;0,SAISIE!$K$6,IF(SAISIE!L25&gt;0,SAISIE!$L$6,IF(SAISIE!M25&gt;0,SAISIE!$M$6,""))))))</f>
        <v/>
      </c>
      <c r="O248" s="59" t="s">
        <v>55</v>
      </c>
    </row>
    <row r="249" spans="1:15" x14ac:dyDescent="0.25">
      <c r="A249" s="63" t="e">
        <f>IF(AND(G249="",H249=""),"SUPPR",SAISIE!$B$3)</f>
        <v>#REF!</v>
      </c>
      <c r="B249" s="63" t="e">
        <f>IF(SAISIE!#REF!="","",IF(LEN(SAISIE!B25)=1,CONCATENATE("0",SAISIE!B25,"/",SAISIE!$B$4,"/",SAISIE!$B$5),CONCATENATE(SAISIE!B25,"/",SAISIE!$B$4,"/",SAISIE!$B$5)))</f>
        <v>#REF!</v>
      </c>
      <c r="C249" s="63" t="e">
        <f>IF(SAISIE!#REF!="","",SAISIE!#REF!)</f>
        <v>#REF!</v>
      </c>
      <c r="D249" s="63" t="e">
        <f>IF(SAISIE!#REF!="","",SAISIE!E25)</f>
        <v>#REF!</v>
      </c>
      <c r="E249" s="63" t="e">
        <f>IF(SAISIE!#REF!="","",SAISIE!F25)</f>
        <v>#REF!</v>
      </c>
      <c r="F249" s="70" t="e">
        <f>IF(SAISIE!#REF!="","",IF(SAISIE!$N25="","",SAISIE!$N25))</f>
        <v>#REF!</v>
      </c>
      <c r="G249" s="63" t="e">
        <f>IF(SAISIE!#REF!="","",SAISIE!#REF!)</f>
        <v>#REF!</v>
      </c>
      <c r="H249" s="63"/>
      <c r="I249" s="63" t="e">
        <f>IF(SAISIE!#REF!="","",SAISIE!$Q25)</f>
        <v>#REF!</v>
      </c>
      <c r="J249" s="71" t="str">
        <f>IF(COUNTBLANK(SAISIE!$J$6:$M$6)=4,"",IF(SAISIE!#REF!="","",IF(SAISIE!J25&gt;0,SAISIE!$J$6,IF(SAISIE!K25&gt;0,SAISIE!$K$6,IF(SAISIE!L25&gt;0,SAISIE!$L$6,IF(SAISIE!M25&gt;0,SAISIE!$M$6,""))))))</f>
        <v/>
      </c>
      <c r="O249" s="59" t="s">
        <v>56</v>
      </c>
    </row>
    <row r="250" spans="1:15" x14ac:dyDescent="0.25">
      <c r="A250" s="63" t="e">
        <f>IF(AND(G250="",H250=""),"SUPPR",SAISIE!$B$3)</f>
        <v>#REF!</v>
      </c>
      <c r="B250" s="63" t="e">
        <f>IF(SAISIE!#REF!="","",IF(LEN(SAISIE!B25)=1,CONCATENATE("0",SAISIE!B25,"/",SAISIE!$B$4,"/",SAISIE!$B$5),CONCATENATE(SAISIE!B25,"/",SAISIE!$B$4,"/",SAISIE!$B$5)))</f>
        <v>#REF!</v>
      </c>
      <c r="C250" s="63" t="e">
        <f>IF(SAISIE!#REF!="","",SAISIE!#REF!)</f>
        <v>#REF!</v>
      </c>
      <c r="D250" s="63" t="e">
        <f>IF(SAISIE!#REF!="","",SAISIE!E25)</f>
        <v>#REF!</v>
      </c>
      <c r="E250" s="63" t="e">
        <f>IF(SAISIE!#REF!="","",SAISIE!F25)</f>
        <v>#REF!</v>
      </c>
      <c r="F250" s="70" t="e">
        <f>IF(SAISIE!#REF!="","",IF(SAISIE!$N25="","",SAISIE!$N25))</f>
        <v>#REF!</v>
      </c>
      <c r="G250" s="63" t="e">
        <f>IF(SAISIE!#REF!="","",SAISIE!#REF!)</f>
        <v>#REF!</v>
      </c>
      <c r="H250" s="63"/>
      <c r="I250" s="63" t="e">
        <f>IF(SAISIE!#REF!="","",SAISIE!$Q25)</f>
        <v>#REF!</v>
      </c>
      <c r="J250" s="71" t="str">
        <f>IF(COUNTBLANK(SAISIE!$J$6:$M$6)=4,"",IF(SAISIE!#REF!="","",IF(SAISIE!J25&gt;0,SAISIE!$J$6,IF(SAISIE!K25&gt;0,SAISIE!$K$6,IF(SAISIE!L25&gt;0,SAISIE!$L$6,IF(SAISIE!M25&gt;0,SAISIE!$M$6,""))))))</f>
        <v/>
      </c>
      <c r="O250" s="59" t="s">
        <v>57</v>
      </c>
    </row>
    <row r="251" spans="1:15" x14ac:dyDescent="0.25">
      <c r="A251" s="63" t="e">
        <f>IF(AND(G251="",H251=""),"SUPPR",SAISIE!$B$3)</f>
        <v>#REF!</v>
      </c>
      <c r="B251" s="63" t="e">
        <f>IF(SAISIE!#REF!="","",IF(LEN(SAISIE!B25)=1,CONCATENATE("0",SAISIE!B25,"/",SAISIE!$B$4,"/",SAISIE!$B$5),CONCATENATE(SAISIE!B25,"/",SAISIE!$B$4,"/",SAISIE!$B$5)))</f>
        <v>#REF!</v>
      </c>
      <c r="C251" s="63" t="e">
        <f>IF(SAISIE!#REF!="","",SAISIE!#REF!)</f>
        <v>#REF!</v>
      </c>
      <c r="D251" s="63" t="e">
        <f>IF(SAISIE!#REF!="","",SAISIE!E25)</f>
        <v>#REF!</v>
      </c>
      <c r="E251" s="63" t="e">
        <f>IF(SAISIE!#REF!="","",SAISIE!F25)</f>
        <v>#REF!</v>
      </c>
      <c r="F251" s="70" t="e">
        <f>IF(SAISIE!#REF!="","",IF(SAISIE!$N25="","",SAISIE!$N25))</f>
        <v>#REF!</v>
      </c>
      <c r="G251" s="63" t="e">
        <f>IF(SAISIE!#REF!="","",SAISIE!#REF!)</f>
        <v>#REF!</v>
      </c>
      <c r="H251" s="63"/>
      <c r="I251" s="63" t="e">
        <f>IF(SAISIE!#REF!="","",SAISIE!$Q25)</f>
        <v>#REF!</v>
      </c>
      <c r="J251" s="71" t="str">
        <f>IF(COUNTBLANK(SAISIE!$J$6:$M$6)=4,"",IF(SAISIE!#REF!="","",IF(SAISIE!J25&gt;0,SAISIE!$J$6,IF(SAISIE!K25&gt;0,SAISIE!$K$6,IF(SAISIE!L25&gt;0,SAISIE!$L$6,IF(SAISIE!M25&gt;0,SAISIE!$M$6,""))))))</f>
        <v/>
      </c>
      <c r="O251" s="59" t="s">
        <v>58</v>
      </c>
    </row>
    <row r="252" spans="1:15" x14ac:dyDescent="0.25">
      <c r="A252" s="63" t="e">
        <f>IF(AND(G252="",H252=""),"SUPPR",SAISIE!$B$3)</f>
        <v>#REF!</v>
      </c>
      <c r="B252" s="63" t="e">
        <f>IF(SAISIE!#REF!="","",IF(LEN(SAISIE!B25)=1,CONCATENATE("0",SAISIE!B25,"/",SAISIE!$B$4,"/",SAISIE!$B$5),CONCATENATE(SAISIE!B25,"/",SAISIE!$B$4,"/",SAISIE!$B$5)))</f>
        <v>#REF!</v>
      </c>
      <c r="C252" s="63" t="e">
        <f>IF(SAISIE!#REF!="","",SAISIE!#REF!)</f>
        <v>#REF!</v>
      </c>
      <c r="D252" s="63" t="e">
        <f>IF(SAISIE!#REF!="","",SAISIE!E25)</f>
        <v>#REF!</v>
      </c>
      <c r="E252" s="63" t="e">
        <f>IF(SAISIE!#REF!="","",SAISIE!F25)</f>
        <v>#REF!</v>
      </c>
      <c r="F252" s="70" t="e">
        <f>IF(SAISIE!#REF!="","",IF(SAISIE!$N25="","",SAISIE!$N25))</f>
        <v>#REF!</v>
      </c>
      <c r="G252" s="63" t="e">
        <f>IF(SAISIE!#REF!="","",SAISIE!#REF!)</f>
        <v>#REF!</v>
      </c>
      <c r="H252" s="63"/>
      <c r="I252" s="63" t="e">
        <f>IF(SAISIE!#REF!="","",SAISIE!$Q25)</f>
        <v>#REF!</v>
      </c>
      <c r="J252" s="71" t="str">
        <f>IF(COUNTBLANK(SAISIE!$J$6:$M$6)=4,"",IF(SAISIE!#REF!="","",IF(SAISIE!J25&gt;0,SAISIE!$J$6,IF(SAISIE!K25&gt;0,SAISIE!$K$6,IF(SAISIE!L25&gt;0,SAISIE!$L$6,IF(SAISIE!M25&gt;0,SAISIE!$M$6,""))))))</f>
        <v/>
      </c>
      <c r="O252" s="59" t="s">
        <v>59</v>
      </c>
    </row>
    <row r="253" spans="1:15" x14ac:dyDescent="0.25">
      <c r="A253" s="63" t="e">
        <f>IF(AND(G253="",H253=""),"SUPPR",SAISIE!$B$3)</f>
        <v>#REF!</v>
      </c>
      <c r="B253" s="63" t="e">
        <f>IF(SAISIE!#REF!="","",IF(LEN(SAISIE!B25)=1,CONCATENATE("0",SAISIE!B25,"/",SAISIE!$B$4,"/",SAISIE!$B$5),CONCATENATE(SAISIE!B25,"/",SAISIE!$B$4,"/",SAISIE!$B$5)))</f>
        <v>#REF!</v>
      </c>
      <c r="C253" s="63" t="e">
        <f>IF(SAISIE!#REF!="","",SAISIE!#REF!)</f>
        <v>#REF!</v>
      </c>
      <c r="D253" s="63" t="e">
        <f>IF(SAISIE!#REF!="","",SAISIE!E25)</f>
        <v>#REF!</v>
      </c>
      <c r="E253" s="63" t="e">
        <f>IF(SAISIE!#REF!="","",SAISIE!F25)</f>
        <v>#REF!</v>
      </c>
      <c r="F253" s="70" t="e">
        <f>IF(SAISIE!#REF!="","",IF(SAISIE!$N25="","",SAISIE!$N25))</f>
        <v>#REF!</v>
      </c>
      <c r="G253" s="63" t="e">
        <f>IF(SAISIE!#REF!="","",SAISIE!#REF!)</f>
        <v>#REF!</v>
      </c>
      <c r="H253" s="63"/>
      <c r="I253" s="63" t="e">
        <f>IF(SAISIE!#REF!="","",SAISIE!$Q25)</f>
        <v>#REF!</v>
      </c>
      <c r="J253" s="71" t="str">
        <f>IF(COUNTBLANK(SAISIE!$J$6:$M$6)=4,"",IF(SAISIE!#REF!="","",IF(SAISIE!J25&gt;0,SAISIE!$J$6,IF(SAISIE!K25&gt;0,SAISIE!$K$6,IF(SAISIE!L25&gt;0,SAISIE!$L$6,IF(SAISIE!M25&gt;0,SAISIE!$M$6,""))))))</f>
        <v/>
      </c>
      <c r="O253" s="59" t="s">
        <v>60</v>
      </c>
    </row>
    <row r="254" spans="1:15" x14ac:dyDescent="0.25">
      <c r="A254" s="63" t="str">
        <f>IF(AND(G254="",H254=""),"SUPPR",SAISIE!$B$3)</f>
        <v>SUPPR</v>
      </c>
      <c r="B254" s="63" t="str">
        <f>IF(SAISIE!J25="","",IF(LEN(SAISIE!B25)=1,CONCATENATE("0",SAISIE!B25,"/",SAISIE!$B$4,"/",SAISIE!$B$5),CONCATENATE(SAISIE!B25,"/",SAISIE!$B$4,"/",SAISIE!$B$5)))</f>
        <v/>
      </c>
      <c r="C254" s="63" t="str">
        <f>IF(SAISIE!J25="","",SAISIE!$J$8)</f>
        <v/>
      </c>
      <c r="D254" s="63" t="str">
        <f>IF(SAISIE!J25="","",SAISIE!E25)</f>
        <v/>
      </c>
      <c r="E254" s="63" t="str">
        <f>IF(SAISIE!J25="","",SAISIE!F25)</f>
        <v/>
      </c>
      <c r="F254" s="70" t="str">
        <f>IF(SAISIE!$J25="","",IF(SAISIE!$N25="","",SAISIE!$N25))</f>
        <v/>
      </c>
      <c r="G254" s="63" t="str">
        <f>IF(SAISIE!J25="","",SAISIE!J25)</f>
        <v/>
      </c>
      <c r="H254" s="63"/>
      <c r="I254" s="72"/>
      <c r="J254" s="71"/>
      <c r="O254" s="73"/>
    </row>
    <row r="255" spans="1:15" x14ac:dyDescent="0.25">
      <c r="A255" s="63" t="str">
        <f>IF(AND(G255="",H255=""),"SUPPR",SAISIE!$B$3)</f>
        <v>SUPPR</v>
      </c>
      <c r="B255" s="63" t="str">
        <f>IF(SAISIE!K25="","",IF(LEN(SAISIE!B25)=1,CONCATENATE("0",SAISIE!B25,"/",SAISIE!$B$4,"/",SAISIE!$B$5),CONCATENATE(SAISIE!B25,"/",SAISIE!$B$4,"/",SAISIE!$B$5)))</f>
        <v/>
      </c>
      <c r="C255" s="63" t="str">
        <f>IF(SAISIE!K25="","",SAISIE!$K$8)</f>
        <v/>
      </c>
      <c r="D255" s="63" t="str">
        <f>IF(SAISIE!K25="","",SAISIE!E25)</f>
        <v/>
      </c>
      <c r="E255" s="63" t="str">
        <f>IF(SAISIE!K25="","",SAISIE!F25)</f>
        <v/>
      </c>
      <c r="F255" s="70" t="str">
        <f>IF(SAISIE!$K25="","",IF(SAISIE!$N25="","",SAISIE!$N25))</f>
        <v/>
      </c>
      <c r="G255" s="63" t="str">
        <f>IF(SAISIE!K25="","",SAISIE!K25)</f>
        <v/>
      </c>
      <c r="H255" s="63"/>
      <c r="I255" s="72"/>
      <c r="J255" s="71"/>
    </row>
    <row r="256" spans="1:15" x14ac:dyDescent="0.25">
      <c r="A256" s="63" t="str">
        <f>IF(AND(G256="",H256=""),"SUPPR",SAISIE!$B$3)</f>
        <v>SUPPR</v>
      </c>
      <c r="B256" s="63" t="str">
        <f>IF(SAISIE!L25="","",IF(LEN(SAISIE!B25)=1,CONCATENATE("0",SAISIE!B25,"/",SAISIE!$B$4,"/",SAISIE!$B$5),CONCATENATE(SAISIE!B25,"/",SAISIE!$B$4,"/",SAISIE!$B$5)))</f>
        <v/>
      </c>
      <c r="C256" s="63" t="str">
        <f>IF(SAISIE!L25="","",SAISIE!$L$8)</f>
        <v/>
      </c>
      <c r="D256" s="63" t="str">
        <f>IF(SAISIE!L25="","",SAISIE!E25)</f>
        <v/>
      </c>
      <c r="E256" s="63" t="str">
        <f>IF(SAISIE!L25="","",SAISIE!F25)</f>
        <v/>
      </c>
      <c r="F256" s="70" t="str">
        <f>IF(SAISIE!$L25="","",IF(SAISIE!$N25="","",SAISIE!$N25))</f>
        <v/>
      </c>
      <c r="G256" s="63" t="str">
        <f>IF(SAISIE!L25="","",SAISIE!L25)</f>
        <v/>
      </c>
      <c r="H256" s="63"/>
      <c r="I256" s="72"/>
      <c r="J256" s="71"/>
    </row>
    <row r="257" spans="1:15" x14ac:dyDescent="0.25">
      <c r="A257" s="63" t="str">
        <f>IF(AND(G257="",H257=""),"SUPPR",SAISIE!$B$3)</f>
        <v>SUPPR</v>
      </c>
      <c r="B257" s="63" t="str">
        <f>IF(SAISIE!M25="","",IF(LEN(SAISIE!B25)=1,CONCATENATE("0",SAISIE!B25,"/",SAISIE!$B$4,"/",SAISIE!$B$5),CONCATENATE(SAISIE!B25,"/",SAISIE!$B$4,"/",SAISIE!$B$5)))</f>
        <v/>
      </c>
      <c r="C257" s="74" t="str">
        <f>IF(SAISIE!M25="","",SAISIE!$M$8)</f>
        <v/>
      </c>
      <c r="D257" s="74" t="str">
        <f>IF(SAISIE!M25="","",SAISIE!E25)</f>
        <v/>
      </c>
      <c r="E257" s="74" t="str">
        <f>IF(SAISIE!M25="","",SAISIE!F25)</f>
        <v/>
      </c>
      <c r="F257" s="75" t="str">
        <f>IF(SAISIE!$M25="","",IF(SAISIE!$N25="","",SAISIE!$N25))</f>
        <v/>
      </c>
      <c r="G257" s="74" t="str">
        <f>IF(SAISIE!M25="","",SAISIE!M25)</f>
        <v/>
      </c>
      <c r="H257" s="76"/>
      <c r="I257" s="77"/>
      <c r="J257" s="78"/>
    </row>
    <row r="258" spans="1:15" x14ac:dyDescent="0.25">
      <c r="A258" s="63" t="str">
        <f>IF(AND(G258="",H258=""),"SUPPR",SAISIE!$B$3)</f>
        <v>SUPPR</v>
      </c>
      <c r="B258" s="64" t="str">
        <f>IF(SAISIE!B26="","",IF(LEN(SAISIE!B26)=1,CONCATENATE("0",SAISIE!B26,"/",SAISIE!$B$4,"/",SAISIE!$B$5),CONCATENATE(SAISIE!B26,"/",SAISIE!$B$4,"/",SAISIE!$B$5)))</f>
        <v/>
      </c>
      <c r="C258" s="64" t="str">
        <f>IF(SAISIE!B26="","",CONCATENATE($M$2,SAISIE!C26))</f>
        <v/>
      </c>
      <c r="D258" s="64" t="str">
        <f>IF(SAISIE!B26="","",SAISIE!E26)</f>
        <v/>
      </c>
      <c r="E258" s="64" t="str">
        <f>IF(SAISIE!B26="","",SAISIE!F26)</f>
        <v/>
      </c>
      <c r="F258" s="65" t="str">
        <f>IF(A258="SUPPR","",IF(SAISIE!$N26="","",SAISIE!$N26))</f>
        <v/>
      </c>
      <c r="G258" s="64"/>
      <c r="H258" s="64" t="str">
        <f>IF(SAISIE!B26="","",SAISIE!D26)</f>
        <v/>
      </c>
      <c r="I258" s="66"/>
      <c r="J258" s="67" t="str">
        <f>IF(AZ26="","","")</f>
        <v/>
      </c>
      <c r="O258" s="69">
        <f>O242+1</f>
        <v>26</v>
      </c>
    </row>
    <row r="259" spans="1:15" x14ac:dyDescent="0.25">
      <c r="A259" s="63" t="str">
        <f>IF(AND(G259="",H259=""),"SUPPR",SAISIE!$B$3)</f>
        <v>SUPPR</v>
      </c>
      <c r="B259" s="63" t="str">
        <f>IF(SAISIE!P26="","",IF(LEN(SAISIE!B26)=1,CONCATENATE("0",SAISIE!B26,"/",SAISIE!$B$4,"/",SAISIE!$B$5),CONCATENATE(SAISIE!B26,"/",SAISIE!$B$4,"/",SAISIE!$B$5)))</f>
        <v/>
      </c>
      <c r="C259" s="63" t="str">
        <f>IF(SAISIE!P26="","",SAISIE!O26)</f>
        <v/>
      </c>
      <c r="D259" s="63" t="str">
        <f>IF(SAISIE!P26="","",SAISIE!E26)</f>
        <v/>
      </c>
      <c r="E259" s="63" t="str">
        <f>IF(SAISIE!P26="","",SAISIE!F26)</f>
        <v/>
      </c>
      <c r="F259" s="70" t="str">
        <f>IF(SAISIE!$P26="","",IF(SAISIE!$N26="","",SAISIE!$N26))</f>
        <v/>
      </c>
      <c r="G259" s="63" t="str">
        <f>IF(SAISIE!P26="","",SAISIE!P26)</f>
        <v/>
      </c>
      <c r="H259" s="63"/>
      <c r="I259" s="63" t="str">
        <f>IF(SAISIE!$P26="","",SAISIE!$Q26)</f>
        <v/>
      </c>
      <c r="J259" s="71" t="str">
        <f>IF(COUNTBLANK(SAISIE!$J$6:$M$6)=4,"",IF(SAISIE!P26="","",IF(SAISIE!J26&gt;0,SAISIE!$J$6,IF(SAISIE!K26&gt;0,SAISIE!$K$6,IF(SAISIE!L26&gt;0,SAISIE!$L$6,IF(SAISIE!M26&gt;0,SAISIE!$M$6,""))))))</f>
        <v/>
      </c>
      <c r="O259" s="59" t="s">
        <v>50</v>
      </c>
    </row>
    <row r="260" spans="1:15" x14ac:dyDescent="0.25">
      <c r="A260" s="63" t="str">
        <f>IF(AND(G260="",H260=""),"SUPPR",SAISIE!$B$3)</f>
        <v>SUPPR</v>
      </c>
      <c r="B260" s="63" t="str">
        <f>IF(SAISIE!G26="","",IF(LEN(SAISIE!B26)=1,CONCATENATE("0",SAISIE!B26,"/",SAISIE!$B$4,"/",SAISIE!$B$5),CONCATENATE(SAISIE!B26,"/",SAISIE!$B$4,"/",SAISIE!$B$5)))</f>
        <v/>
      </c>
      <c r="C260" s="63" t="str">
        <f>IF(SAISIE!G26="","",SAISIE!$G$8)</f>
        <v/>
      </c>
      <c r="D260" s="63" t="str">
        <f>IF(SAISIE!G26="","",SAISIE!E26)</f>
        <v/>
      </c>
      <c r="E260" s="63" t="str">
        <f>IF(SAISIE!G26="","",SAISIE!F26)</f>
        <v/>
      </c>
      <c r="F260" s="70" t="str">
        <f>IF(SAISIE!$G26="","",IF(SAISIE!$N26="","",SAISIE!$N26))</f>
        <v/>
      </c>
      <c r="G260" s="63" t="str">
        <f>IF(SAISIE!G26="","",SAISIE!G26)</f>
        <v/>
      </c>
      <c r="H260" s="63"/>
      <c r="I260" s="63" t="str">
        <f>IF(SAISIE!$G26="","",SAISIE!$Q26)</f>
        <v/>
      </c>
      <c r="J260" s="71" t="str">
        <f>IF(COUNTBLANK(SAISIE!$J$6:$M$6)=4,"",IF(SAISIE!G26="","",IF(SAISIE!J26&gt;0,SAISIE!$J$6,IF(SAISIE!K26&gt;0,SAISIE!$K$6,IF(SAISIE!L26&gt;0,SAISIE!$L$6,IF(SAISIE!M26&gt;0,SAISIE!$M$6,""))))))</f>
        <v/>
      </c>
      <c r="O260" s="59" t="s">
        <v>51</v>
      </c>
    </row>
    <row r="261" spans="1:15" x14ac:dyDescent="0.25">
      <c r="A261" s="63" t="str">
        <f>IF(AND(G261="",H261=""),"SUPPR",SAISIE!$B$3)</f>
        <v>SUPPR</v>
      </c>
      <c r="B261" s="63" t="str">
        <f>IF(SAISIE!H26="","",IF(LEN(SAISIE!B26)=1,CONCATENATE("0",SAISIE!B26,"/",SAISIE!$B$4,"/",SAISIE!$B$5),CONCATENATE(SAISIE!B26,"/",SAISIE!$B$4,"/",SAISIE!$B$5)))</f>
        <v/>
      </c>
      <c r="C261" s="63" t="str">
        <f>IF(SAISIE!H26="","",SAISIE!$H$8)</f>
        <v/>
      </c>
      <c r="D261" s="63" t="str">
        <f>IF(SAISIE!H26="","",SAISIE!E26)</f>
        <v/>
      </c>
      <c r="E261" s="63" t="str">
        <f>IF(SAISIE!H26="","",SAISIE!F26)</f>
        <v/>
      </c>
      <c r="F261" s="70" t="str">
        <f>IF(SAISIE!$H26="","",IF(SAISIE!$N26="","",SAISIE!$N26))</f>
        <v/>
      </c>
      <c r="G261" s="63" t="str">
        <f>IF(SAISIE!H26="","",SAISIE!H26)</f>
        <v/>
      </c>
      <c r="H261" s="63"/>
      <c r="I261" s="63" t="str">
        <f>IF(SAISIE!$H26="","",SAISIE!$Q26)</f>
        <v/>
      </c>
      <c r="J261" s="71" t="str">
        <f>IF(COUNTBLANK(SAISIE!$J$6:$M$6)=4,"",IF(SAISIE!H26="","",IF(SAISIE!J26&gt;0,SAISIE!$J$6,IF(SAISIE!K26&gt;0,SAISIE!$K$6,IF(SAISIE!L26&gt;0,SAISIE!$L$6,IF(SAISIE!M26&gt;0,SAISIE!$M$6,""))))))</f>
        <v/>
      </c>
      <c r="O261" s="59" t="s">
        <v>52</v>
      </c>
    </row>
    <row r="262" spans="1:15" x14ac:dyDescent="0.25">
      <c r="A262" s="63" t="str">
        <f>IF(AND(G262="",H262=""),"SUPPR",SAISIE!$B$3)</f>
        <v>SUPPR</v>
      </c>
      <c r="B262" s="63" t="str">
        <f>IF(SAISIE!I26="","",IF(LEN(SAISIE!B26)=1,CONCATENATE("0",SAISIE!B26,"/",SAISIE!$B$4,"/",SAISIE!$B$5),CONCATENATE(SAISIE!B26,"/",SAISIE!$B$4,"/",SAISIE!$B$5)))</f>
        <v/>
      </c>
      <c r="C262" s="63" t="str">
        <f>IF(SAISIE!I26="","",SAISIE!$I$8)</f>
        <v/>
      </c>
      <c r="D262" s="63" t="str">
        <f>IF(SAISIE!I26="","",SAISIE!E26)</f>
        <v/>
      </c>
      <c r="E262" s="63" t="str">
        <f>IF(SAISIE!I26="","",SAISIE!F26)</f>
        <v/>
      </c>
      <c r="F262" s="70" t="str">
        <f>IF(SAISIE!$I26="","",IF(SAISIE!$N26="","",SAISIE!$N26))</f>
        <v/>
      </c>
      <c r="G262" s="63" t="str">
        <f>IF(SAISIE!I26="","",SAISIE!I26)</f>
        <v/>
      </c>
      <c r="H262" s="63"/>
      <c r="I262" s="63" t="str">
        <f>IF(SAISIE!$I26="","",SAISIE!$Q26)</f>
        <v/>
      </c>
      <c r="J262" s="71" t="str">
        <f>IF(COUNTBLANK(SAISIE!$J$6:$M$6)=4,"",IF(SAISIE!I26="","",IF(SAISIE!J26&gt;0,SAISIE!$J$6,IF(SAISIE!K26&gt;0,SAISIE!$K$6,IF(SAISIE!L26&gt;0,SAISIE!$L$6,IF(SAISIE!M26&gt;0,SAISIE!$M$6,""))))))</f>
        <v/>
      </c>
      <c r="O262" s="59" t="s">
        <v>53</v>
      </c>
    </row>
    <row r="263" spans="1:15" x14ac:dyDescent="0.25">
      <c r="A263" s="63" t="e">
        <f>IF(AND(G263="",H263=""),"SUPPR",SAISIE!$B$3)</f>
        <v>#REF!</v>
      </c>
      <c r="B263" s="63" t="e">
        <f>IF(SAISIE!#REF!="","",IF(LEN(SAISIE!B26)=1,CONCATENATE("0",SAISIE!B26,"/",SAISIE!$B$4,"/",SAISIE!$B$5),CONCATENATE(SAISIE!B26,"/",SAISIE!$B$4,"/",SAISIE!$B$5)))</f>
        <v>#REF!</v>
      </c>
      <c r="C263" s="63" t="e">
        <f>IF(SAISIE!#REF!="","",SAISIE!#REF!)</f>
        <v>#REF!</v>
      </c>
      <c r="D263" s="63" t="e">
        <f>IF(SAISIE!#REF!="","",SAISIE!E26)</f>
        <v>#REF!</v>
      </c>
      <c r="E263" s="63" t="e">
        <f>IF(SAISIE!#REF!="","",SAISIE!F26)</f>
        <v>#REF!</v>
      </c>
      <c r="F263" s="70" t="e">
        <f>IF(SAISIE!#REF!="","",IF(SAISIE!$N26="","",SAISIE!$N26))</f>
        <v>#REF!</v>
      </c>
      <c r="G263" s="63" t="e">
        <f>IF(SAISIE!#REF!="","",SAISIE!#REF!)</f>
        <v>#REF!</v>
      </c>
      <c r="H263" s="63"/>
      <c r="I263" s="63" t="e">
        <f>IF(SAISIE!#REF!="","",SAISIE!$Q26)</f>
        <v>#REF!</v>
      </c>
      <c r="J263" s="71" t="str">
        <f>IF(COUNTBLANK(SAISIE!$J$6:$M$6)=4,"",IF(SAISIE!#REF!="","",IF(SAISIE!J26&gt;0,SAISIE!$J$6,IF(SAISIE!K26&gt;0,SAISIE!$K$6,IF(SAISIE!L26&gt;0,SAISIE!$L$6,IF(SAISIE!M26&gt;0,SAISIE!$M$6,""))))))</f>
        <v/>
      </c>
      <c r="O263" s="59" t="s">
        <v>54</v>
      </c>
    </row>
    <row r="264" spans="1:15" x14ac:dyDescent="0.25">
      <c r="A264" s="63" t="e">
        <f>IF(AND(G264="",H264=""),"SUPPR",SAISIE!$B$3)</f>
        <v>#REF!</v>
      </c>
      <c r="B264" s="63" t="e">
        <f>IF(SAISIE!#REF!="","",IF(LEN(SAISIE!B26)=1,CONCATENATE("0",SAISIE!B26,"/",SAISIE!$B$4,"/",SAISIE!$B$5),CONCATENATE(SAISIE!B26,"/",SAISIE!$B$4,"/",SAISIE!$B$5)))</f>
        <v>#REF!</v>
      </c>
      <c r="C264" s="63" t="e">
        <f>IF(SAISIE!#REF!="","",SAISIE!#REF!)</f>
        <v>#REF!</v>
      </c>
      <c r="D264" s="63" t="e">
        <f>IF(SAISIE!#REF!="","",SAISIE!E26)</f>
        <v>#REF!</v>
      </c>
      <c r="E264" s="63" t="e">
        <f>IF(SAISIE!#REF!="","",SAISIE!F26)</f>
        <v>#REF!</v>
      </c>
      <c r="F264" s="70" t="e">
        <f>IF(SAISIE!#REF!="","",IF(SAISIE!$N26="","",SAISIE!$N26))</f>
        <v>#REF!</v>
      </c>
      <c r="G264" s="63" t="e">
        <f>IF(SAISIE!#REF!="","",SAISIE!#REF!)</f>
        <v>#REF!</v>
      </c>
      <c r="H264" s="63"/>
      <c r="I264" s="63" t="e">
        <f>IF(SAISIE!#REF!="","",SAISIE!$Q26)</f>
        <v>#REF!</v>
      </c>
      <c r="J264" s="71" t="str">
        <f>IF(COUNTBLANK(SAISIE!$J$6:$M$6)=4,"",IF(SAISIE!#REF!="","",IF(SAISIE!J26&gt;0,SAISIE!$J$6,IF(SAISIE!K26&gt;0,SAISIE!$K$6,IF(SAISIE!L26&gt;0,SAISIE!$L$6,IF(SAISIE!M26&gt;0,SAISIE!$M$6,""))))))</f>
        <v/>
      </c>
      <c r="O264" s="59" t="s">
        <v>55</v>
      </c>
    </row>
    <row r="265" spans="1:15" x14ac:dyDescent="0.25">
      <c r="A265" s="63" t="e">
        <f>IF(AND(G265="",H265=""),"SUPPR",SAISIE!$B$3)</f>
        <v>#REF!</v>
      </c>
      <c r="B265" s="63" t="e">
        <f>IF(SAISIE!#REF!="","",IF(LEN(SAISIE!B26)=1,CONCATENATE("0",SAISIE!B26,"/",SAISIE!$B$4,"/",SAISIE!$B$5),CONCATENATE(SAISIE!B26,"/",SAISIE!$B$4,"/",SAISIE!$B$5)))</f>
        <v>#REF!</v>
      </c>
      <c r="C265" s="63" t="e">
        <f>IF(SAISIE!#REF!="","",SAISIE!#REF!)</f>
        <v>#REF!</v>
      </c>
      <c r="D265" s="63" t="e">
        <f>IF(SAISIE!#REF!="","",SAISIE!E26)</f>
        <v>#REF!</v>
      </c>
      <c r="E265" s="63" t="e">
        <f>IF(SAISIE!#REF!="","",SAISIE!F26)</f>
        <v>#REF!</v>
      </c>
      <c r="F265" s="70" t="e">
        <f>IF(SAISIE!#REF!="","",IF(SAISIE!$N26="","",SAISIE!$N26))</f>
        <v>#REF!</v>
      </c>
      <c r="G265" s="63" t="e">
        <f>IF(SAISIE!#REF!="","",SAISIE!#REF!)</f>
        <v>#REF!</v>
      </c>
      <c r="H265" s="63"/>
      <c r="I265" s="63" t="e">
        <f>IF(SAISIE!#REF!="","",SAISIE!$Q26)</f>
        <v>#REF!</v>
      </c>
      <c r="J265" s="71" t="str">
        <f>IF(COUNTBLANK(SAISIE!$J$6:$M$6)=4,"",IF(SAISIE!#REF!="","",IF(SAISIE!J26&gt;0,SAISIE!$J$6,IF(SAISIE!K26&gt;0,SAISIE!$K$6,IF(SAISIE!L26&gt;0,SAISIE!$L$6,IF(SAISIE!M26&gt;0,SAISIE!$M$6,""))))))</f>
        <v/>
      </c>
      <c r="O265" s="59" t="s">
        <v>56</v>
      </c>
    </row>
    <row r="266" spans="1:15" x14ac:dyDescent="0.25">
      <c r="A266" s="63" t="e">
        <f>IF(AND(G266="",H266=""),"SUPPR",SAISIE!$B$3)</f>
        <v>#REF!</v>
      </c>
      <c r="B266" s="63" t="e">
        <f>IF(SAISIE!#REF!="","",IF(LEN(SAISIE!B26)=1,CONCATENATE("0",SAISIE!B26,"/",SAISIE!$B$4,"/",SAISIE!$B$5),CONCATENATE(SAISIE!B26,"/",SAISIE!$B$4,"/",SAISIE!$B$5)))</f>
        <v>#REF!</v>
      </c>
      <c r="C266" s="63" t="e">
        <f>IF(SAISIE!#REF!="","",SAISIE!#REF!)</f>
        <v>#REF!</v>
      </c>
      <c r="D266" s="63" t="e">
        <f>IF(SAISIE!#REF!="","",SAISIE!E26)</f>
        <v>#REF!</v>
      </c>
      <c r="E266" s="63" t="e">
        <f>IF(SAISIE!#REF!="","",SAISIE!F26)</f>
        <v>#REF!</v>
      </c>
      <c r="F266" s="70" t="e">
        <f>IF(SAISIE!#REF!="","",IF(SAISIE!$N26="","",SAISIE!$N26))</f>
        <v>#REF!</v>
      </c>
      <c r="G266" s="63" t="e">
        <f>IF(SAISIE!#REF!="","",SAISIE!#REF!)</f>
        <v>#REF!</v>
      </c>
      <c r="H266" s="63"/>
      <c r="I266" s="63" t="e">
        <f>IF(SAISIE!#REF!="","",SAISIE!$Q26)</f>
        <v>#REF!</v>
      </c>
      <c r="J266" s="71" t="str">
        <f>IF(COUNTBLANK(SAISIE!$J$6:$M$6)=4,"",IF(SAISIE!#REF!="","",IF(SAISIE!J26&gt;0,SAISIE!$J$6,IF(SAISIE!K26&gt;0,SAISIE!$K$6,IF(SAISIE!L26&gt;0,SAISIE!$L$6,IF(SAISIE!M26&gt;0,SAISIE!$M$6,""))))))</f>
        <v/>
      </c>
      <c r="O266" s="59" t="s">
        <v>57</v>
      </c>
    </row>
    <row r="267" spans="1:15" x14ac:dyDescent="0.25">
      <c r="A267" s="63" t="e">
        <f>IF(AND(G267="",H267=""),"SUPPR",SAISIE!$B$3)</f>
        <v>#REF!</v>
      </c>
      <c r="B267" s="63" t="e">
        <f>IF(SAISIE!#REF!="","",IF(LEN(SAISIE!B26)=1,CONCATENATE("0",SAISIE!B26,"/",SAISIE!$B$4,"/",SAISIE!$B$5),CONCATENATE(SAISIE!B26,"/",SAISIE!$B$4,"/",SAISIE!$B$5)))</f>
        <v>#REF!</v>
      </c>
      <c r="C267" s="63" t="e">
        <f>IF(SAISIE!#REF!="","",SAISIE!#REF!)</f>
        <v>#REF!</v>
      </c>
      <c r="D267" s="63" t="e">
        <f>IF(SAISIE!#REF!="","",SAISIE!E26)</f>
        <v>#REF!</v>
      </c>
      <c r="E267" s="63" t="e">
        <f>IF(SAISIE!#REF!="","",SAISIE!F26)</f>
        <v>#REF!</v>
      </c>
      <c r="F267" s="70" t="e">
        <f>IF(SAISIE!#REF!="","",IF(SAISIE!$N26="","",SAISIE!$N26))</f>
        <v>#REF!</v>
      </c>
      <c r="G267" s="63" t="e">
        <f>IF(SAISIE!#REF!="","",SAISIE!#REF!)</f>
        <v>#REF!</v>
      </c>
      <c r="H267" s="63"/>
      <c r="I267" s="63" t="e">
        <f>IF(SAISIE!#REF!="","",SAISIE!$Q26)</f>
        <v>#REF!</v>
      </c>
      <c r="J267" s="71" t="str">
        <f>IF(COUNTBLANK(SAISIE!$J$6:$M$6)=4,"",IF(SAISIE!#REF!="","",IF(SAISIE!J26&gt;0,SAISIE!$J$6,IF(SAISIE!K26&gt;0,SAISIE!$K$6,IF(SAISIE!L26&gt;0,SAISIE!$L$6,IF(SAISIE!M26&gt;0,SAISIE!$M$6,""))))))</f>
        <v/>
      </c>
      <c r="O267" s="59" t="s">
        <v>58</v>
      </c>
    </row>
    <row r="268" spans="1:15" x14ac:dyDescent="0.25">
      <c r="A268" s="63" t="e">
        <f>IF(AND(G268="",H268=""),"SUPPR",SAISIE!$B$3)</f>
        <v>#REF!</v>
      </c>
      <c r="B268" s="63" t="e">
        <f>IF(SAISIE!#REF!="","",IF(LEN(SAISIE!B26)=1,CONCATENATE("0",SAISIE!B26,"/",SAISIE!$B$4,"/",SAISIE!$B$5),CONCATENATE(SAISIE!B26,"/",SAISIE!$B$4,"/",SAISIE!$B$5)))</f>
        <v>#REF!</v>
      </c>
      <c r="C268" s="63" t="e">
        <f>IF(SAISIE!#REF!="","",SAISIE!#REF!)</f>
        <v>#REF!</v>
      </c>
      <c r="D268" s="63" t="e">
        <f>IF(SAISIE!#REF!="","",SAISIE!E26)</f>
        <v>#REF!</v>
      </c>
      <c r="E268" s="63" t="e">
        <f>IF(SAISIE!#REF!="","",SAISIE!F26)</f>
        <v>#REF!</v>
      </c>
      <c r="F268" s="70" t="e">
        <f>IF(SAISIE!#REF!="","",IF(SAISIE!$N26="","",SAISIE!$N26))</f>
        <v>#REF!</v>
      </c>
      <c r="G268" s="63" t="e">
        <f>IF(SAISIE!#REF!="","",SAISIE!#REF!)</f>
        <v>#REF!</v>
      </c>
      <c r="H268" s="63"/>
      <c r="I268" s="63" t="e">
        <f>IF(SAISIE!#REF!="","",SAISIE!$Q26)</f>
        <v>#REF!</v>
      </c>
      <c r="J268" s="71" t="str">
        <f>IF(COUNTBLANK(SAISIE!$J$6:$M$6)=4,"",IF(SAISIE!#REF!="","",IF(SAISIE!J26&gt;0,SAISIE!$J$6,IF(SAISIE!K26&gt;0,SAISIE!$K$6,IF(SAISIE!L26&gt;0,SAISIE!$L$6,IF(SAISIE!M26&gt;0,SAISIE!$M$6,""))))))</f>
        <v/>
      </c>
      <c r="O268" s="59" t="s">
        <v>59</v>
      </c>
    </row>
    <row r="269" spans="1:15" x14ac:dyDescent="0.25">
      <c r="A269" s="63" t="e">
        <f>IF(AND(G269="",H269=""),"SUPPR",SAISIE!$B$3)</f>
        <v>#REF!</v>
      </c>
      <c r="B269" s="63" t="e">
        <f>IF(SAISIE!#REF!="","",IF(LEN(SAISIE!B26)=1,CONCATENATE("0",SAISIE!B26,"/",SAISIE!$B$4,"/",SAISIE!$B$5),CONCATENATE(SAISIE!B26,"/",SAISIE!$B$4,"/",SAISIE!$B$5)))</f>
        <v>#REF!</v>
      </c>
      <c r="C269" s="63" t="e">
        <f>IF(SAISIE!#REF!="","",SAISIE!#REF!)</f>
        <v>#REF!</v>
      </c>
      <c r="D269" s="63" t="e">
        <f>IF(SAISIE!#REF!="","",SAISIE!E26)</f>
        <v>#REF!</v>
      </c>
      <c r="E269" s="63" t="e">
        <f>IF(SAISIE!#REF!="","",SAISIE!F26)</f>
        <v>#REF!</v>
      </c>
      <c r="F269" s="70" t="e">
        <f>IF(SAISIE!#REF!="","",IF(SAISIE!$N26="","",SAISIE!$N26))</f>
        <v>#REF!</v>
      </c>
      <c r="G269" s="63" t="e">
        <f>IF(SAISIE!#REF!="","",SAISIE!#REF!)</f>
        <v>#REF!</v>
      </c>
      <c r="H269" s="63"/>
      <c r="I269" s="63" t="e">
        <f>IF(SAISIE!#REF!="","",SAISIE!$Q26)</f>
        <v>#REF!</v>
      </c>
      <c r="J269" s="71" t="str">
        <f>IF(COUNTBLANK(SAISIE!$J$6:$M$6)=4,"",IF(SAISIE!#REF!="","",IF(SAISIE!J26&gt;0,SAISIE!$J$6,IF(SAISIE!K26&gt;0,SAISIE!$K$6,IF(SAISIE!L26&gt;0,SAISIE!$L$6,IF(SAISIE!M26&gt;0,SAISIE!$M$6,""))))))</f>
        <v/>
      </c>
      <c r="O269" s="59" t="s">
        <v>60</v>
      </c>
    </row>
    <row r="270" spans="1:15" x14ac:dyDescent="0.25">
      <c r="A270" s="63" t="str">
        <f>IF(AND(G270="",H270=""),"SUPPR",SAISIE!$B$3)</f>
        <v>SUPPR</v>
      </c>
      <c r="B270" s="63" t="str">
        <f>IF(SAISIE!J26="","",IF(LEN(SAISIE!B26)=1,CONCATENATE("0",SAISIE!B26,"/",SAISIE!$B$4,"/",SAISIE!$B$5),CONCATENATE(SAISIE!B26,"/",SAISIE!$B$4,"/",SAISIE!$B$5)))</f>
        <v/>
      </c>
      <c r="C270" s="63" t="str">
        <f>IF(SAISIE!J26="","",SAISIE!$J$8)</f>
        <v/>
      </c>
      <c r="D270" s="63" t="str">
        <f>IF(SAISIE!J26="","",SAISIE!E26)</f>
        <v/>
      </c>
      <c r="E270" s="63" t="str">
        <f>IF(SAISIE!J26="","",SAISIE!F26)</f>
        <v/>
      </c>
      <c r="F270" s="70" t="str">
        <f>IF(SAISIE!$J26="","",IF(SAISIE!$N26="","",SAISIE!$N26))</f>
        <v/>
      </c>
      <c r="G270" s="63" t="str">
        <f>IF(SAISIE!J26="","",SAISIE!J26)</f>
        <v/>
      </c>
      <c r="H270" s="63"/>
      <c r="I270" s="72"/>
      <c r="J270" s="71"/>
      <c r="O270" s="73"/>
    </row>
    <row r="271" spans="1:15" x14ac:dyDescent="0.25">
      <c r="A271" s="63" t="str">
        <f>IF(AND(G271="",H271=""),"SUPPR",SAISIE!$B$3)</f>
        <v>SUPPR</v>
      </c>
      <c r="B271" s="63" t="str">
        <f>IF(SAISIE!K26="","",IF(LEN(SAISIE!B26)=1,CONCATENATE("0",SAISIE!B26,"/",SAISIE!$B$4,"/",SAISIE!$B$5),CONCATENATE(SAISIE!B26,"/",SAISIE!$B$4,"/",SAISIE!$B$5)))</f>
        <v/>
      </c>
      <c r="C271" s="63" t="str">
        <f>IF(SAISIE!K26="","",SAISIE!$K$8)</f>
        <v/>
      </c>
      <c r="D271" s="63" t="str">
        <f>IF(SAISIE!K26="","",SAISIE!E26)</f>
        <v/>
      </c>
      <c r="E271" s="63" t="str">
        <f>IF(SAISIE!K26="","",SAISIE!F26)</f>
        <v/>
      </c>
      <c r="F271" s="70" t="str">
        <f>IF(SAISIE!$K26="","",IF(SAISIE!$N26="","",SAISIE!$N26))</f>
        <v/>
      </c>
      <c r="G271" s="63" t="str">
        <f>IF(SAISIE!K26="","",SAISIE!K26)</f>
        <v/>
      </c>
      <c r="H271" s="63"/>
      <c r="I271" s="72"/>
      <c r="J271" s="71"/>
    </row>
    <row r="272" spans="1:15" x14ac:dyDescent="0.25">
      <c r="A272" s="63" t="str">
        <f>IF(AND(G272="",H272=""),"SUPPR",SAISIE!$B$3)</f>
        <v>SUPPR</v>
      </c>
      <c r="B272" s="63" t="str">
        <f>IF(SAISIE!L26="","",IF(LEN(SAISIE!B26)=1,CONCATENATE("0",SAISIE!B26,"/",SAISIE!$B$4,"/",SAISIE!$B$5),CONCATENATE(SAISIE!B26,"/",SAISIE!$B$4,"/",SAISIE!$B$5)))</f>
        <v/>
      </c>
      <c r="C272" s="63" t="str">
        <f>IF(SAISIE!L26="","",SAISIE!$L$8)</f>
        <v/>
      </c>
      <c r="D272" s="63" t="str">
        <f>IF(SAISIE!L26="","",SAISIE!E26)</f>
        <v/>
      </c>
      <c r="E272" s="63" t="str">
        <f>IF(SAISIE!L26="","",SAISIE!F26)</f>
        <v/>
      </c>
      <c r="F272" s="70" t="str">
        <f>IF(SAISIE!$L26="","",IF(SAISIE!$N26="","",SAISIE!$N26))</f>
        <v/>
      </c>
      <c r="G272" s="63" t="str">
        <f>IF(SAISIE!L26="","",SAISIE!L26)</f>
        <v/>
      </c>
      <c r="H272" s="63"/>
      <c r="I272" s="72"/>
      <c r="J272" s="71"/>
    </row>
    <row r="273" spans="1:15" x14ac:dyDescent="0.25">
      <c r="A273" s="63" t="str">
        <f>IF(AND(G273="",H273=""),"SUPPR",SAISIE!$B$3)</f>
        <v>SUPPR</v>
      </c>
      <c r="B273" s="63" t="str">
        <f>IF(SAISIE!M26="","",IF(LEN(SAISIE!B26)=1,CONCATENATE("0",SAISIE!B26,"/",SAISIE!$B$4,"/",SAISIE!$B$5),CONCATENATE(SAISIE!B26,"/",SAISIE!$B$4,"/",SAISIE!$B$5)))</f>
        <v/>
      </c>
      <c r="C273" s="74" t="str">
        <f>IF(SAISIE!M26="","",SAISIE!$M$8)</f>
        <v/>
      </c>
      <c r="D273" s="74" t="str">
        <f>IF(SAISIE!M26="","",SAISIE!E26)</f>
        <v/>
      </c>
      <c r="E273" s="74" t="str">
        <f>IF(SAISIE!M26="","",SAISIE!F26)</f>
        <v/>
      </c>
      <c r="F273" s="75" t="str">
        <f>IF(SAISIE!$M26="","",IF(SAISIE!$N26="","",SAISIE!$N26))</f>
        <v/>
      </c>
      <c r="G273" s="74" t="str">
        <f>IF(SAISIE!M26="","",SAISIE!M26)</f>
        <v/>
      </c>
      <c r="H273" s="76"/>
      <c r="I273" s="77"/>
      <c r="J273" s="78"/>
    </row>
    <row r="274" spans="1:15" x14ac:dyDescent="0.25">
      <c r="A274" s="63" t="str">
        <f>IF(AND(G274="",H274=""),"SUPPR",SAISIE!$B$3)</f>
        <v>SUPPR</v>
      </c>
      <c r="B274" s="64" t="str">
        <f>IF(SAISIE!B27="","",IF(LEN(SAISIE!B27)=1,CONCATENATE("0",SAISIE!B27,"/",SAISIE!$B$4,"/",SAISIE!$B$5),CONCATENATE(SAISIE!B27,"/",SAISIE!$B$4,"/",SAISIE!$B$5)))</f>
        <v/>
      </c>
      <c r="C274" s="64" t="str">
        <f>IF(SAISIE!B27="","",CONCATENATE($M$2,SAISIE!C27))</f>
        <v/>
      </c>
      <c r="D274" s="64" t="str">
        <f>IF(SAISIE!B27="","",SAISIE!E27)</f>
        <v/>
      </c>
      <c r="E274" s="64" t="str">
        <f>IF(SAISIE!B27="","",SAISIE!F27)</f>
        <v/>
      </c>
      <c r="F274" s="65" t="str">
        <f>IF(A274="SUPPR","",IF(SAISIE!N27="","",SAISIE!N27))</f>
        <v/>
      </c>
      <c r="G274" s="64"/>
      <c r="H274" s="64" t="str">
        <f>IF(SAISIE!B27="","",SAISIE!D27)</f>
        <v/>
      </c>
      <c r="I274" s="66"/>
      <c r="J274" s="67" t="str">
        <f>IF(AZ27="","","")</f>
        <v/>
      </c>
      <c r="O274" s="69">
        <f>O258+1</f>
        <v>27</v>
      </c>
    </row>
    <row r="275" spans="1:15" x14ac:dyDescent="0.25">
      <c r="A275" s="63" t="str">
        <f>IF(AND(G275="",H275=""),"SUPPR",SAISIE!$B$3)</f>
        <v>SUPPR</v>
      </c>
      <c r="B275" s="63" t="str">
        <f>IF(SAISIE!P27="","",IF(LEN(SAISIE!B27)=1,CONCATENATE("0",SAISIE!B27,"/",SAISIE!$B$4,"/",SAISIE!$B$5),CONCATENATE(SAISIE!B27,"/",SAISIE!$B$4,"/",SAISIE!$B$5)))</f>
        <v/>
      </c>
      <c r="C275" s="63" t="str">
        <f>IF(SAISIE!P27="","",SAISIE!O27)</f>
        <v/>
      </c>
      <c r="D275" s="63" t="str">
        <f>IF(SAISIE!P27="","",SAISIE!E27)</f>
        <v/>
      </c>
      <c r="E275" s="63" t="str">
        <f>IF(SAISIE!P27="","",SAISIE!F27)</f>
        <v/>
      </c>
      <c r="F275" s="70" t="str">
        <f>IF(SAISIE!$P27="","",IF(SAISIE!$N27="","",SAISIE!$N27))</f>
        <v/>
      </c>
      <c r="G275" s="63" t="str">
        <f>IF(SAISIE!P27="","",SAISIE!P27)</f>
        <v/>
      </c>
      <c r="H275" s="63"/>
      <c r="I275" s="63" t="str">
        <f>IF(SAISIE!$P27="","",SAISIE!$Q27)</f>
        <v/>
      </c>
      <c r="J275" s="71" t="str">
        <f>IF(COUNTBLANK(SAISIE!$J$6:$M$6)=4,"",IF(SAISIE!P27="","",IF(SAISIE!J27&gt;0,SAISIE!$J$6,IF(SAISIE!K27&gt;0,SAISIE!$K$6,IF(SAISIE!L27&gt;0,SAISIE!$L$6,IF(SAISIE!M27&gt;0,SAISIE!$M$6,""))))))</f>
        <v/>
      </c>
      <c r="O275" s="59" t="s">
        <v>50</v>
      </c>
    </row>
    <row r="276" spans="1:15" x14ac:dyDescent="0.25">
      <c r="A276" s="63" t="str">
        <f>IF(AND(G276="",H276=""),"SUPPR",SAISIE!$B$3)</f>
        <v>SUPPR</v>
      </c>
      <c r="B276" s="63" t="str">
        <f>IF(SAISIE!G27="","",IF(LEN(SAISIE!B27)=1,CONCATENATE("0",SAISIE!B27,"/",SAISIE!$B$4,"/",SAISIE!$B$5),CONCATENATE(SAISIE!B27,"/",SAISIE!$B$4,"/",SAISIE!$B$5)))</f>
        <v/>
      </c>
      <c r="C276" s="63" t="str">
        <f>IF(SAISIE!G27="","",SAISIE!$G$8)</f>
        <v/>
      </c>
      <c r="D276" s="63" t="str">
        <f>IF(SAISIE!G27="","",SAISIE!E27)</f>
        <v/>
      </c>
      <c r="E276" s="63" t="str">
        <f>IF(SAISIE!G27="","",SAISIE!F27)</f>
        <v/>
      </c>
      <c r="F276" s="70" t="str">
        <f>IF(SAISIE!$G27="","",IF(SAISIE!$N27="","",SAISIE!$N27))</f>
        <v/>
      </c>
      <c r="G276" s="63" t="str">
        <f>IF(SAISIE!G27="","",SAISIE!G27)</f>
        <v/>
      </c>
      <c r="H276" s="63"/>
      <c r="I276" s="63" t="str">
        <f>IF(SAISIE!$G27="","",SAISIE!$Q27)</f>
        <v/>
      </c>
      <c r="J276" s="71" t="str">
        <f>IF(COUNTBLANK(SAISIE!$J$6:$M$6)=4,"",IF(SAISIE!G27="","",IF(SAISIE!J27&gt;0,SAISIE!$J$6,IF(SAISIE!K27&gt;0,SAISIE!$K$6,IF(SAISIE!L27&gt;0,SAISIE!$L$6,IF(SAISIE!M27&gt;0,SAISIE!$M$6,""))))))</f>
        <v/>
      </c>
      <c r="O276" s="59" t="s">
        <v>51</v>
      </c>
    </row>
    <row r="277" spans="1:15" x14ac:dyDescent="0.25">
      <c r="A277" s="63" t="str">
        <f>IF(AND(G277="",H277=""),"SUPPR",SAISIE!$B$3)</f>
        <v>SUPPR</v>
      </c>
      <c r="B277" s="63" t="str">
        <f>IF(SAISIE!H27="","",IF(LEN(SAISIE!B27)=1,CONCATENATE("0",SAISIE!B27,"/",SAISIE!$B$4,"/",SAISIE!$B$5),CONCATENATE(SAISIE!B27,"/",SAISIE!$B$4,"/",SAISIE!$B$5)))</f>
        <v/>
      </c>
      <c r="C277" s="63" t="str">
        <f>IF(SAISIE!H27="","",SAISIE!$H$8)</f>
        <v/>
      </c>
      <c r="D277" s="63" t="str">
        <f>IF(SAISIE!H27="","",SAISIE!E27)</f>
        <v/>
      </c>
      <c r="E277" s="63" t="str">
        <f>IF(SAISIE!H27="","",SAISIE!F27)</f>
        <v/>
      </c>
      <c r="F277" s="70" t="str">
        <f>IF(SAISIE!$H27="","",IF(SAISIE!$N27="","",SAISIE!$N27))</f>
        <v/>
      </c>
      <c r="G277" s="63" t="str">
        <f>IF(SAISIE!H27="","",SAISIE!H27)</f>
        <v/>
      </c>
      <c r="H277" s="63"/>
      <c r="I277" s="63" t="str">
        <f>IF(SAISIE!$H27="","",SAISIE!$Q27)</f>
        <v/>
      </c>
      <c r="J277" s="71" t="str">
        <f>IF(COUNTBLANK(SAISIE!$J$6:$M$6)=4,"",IF(SAISIE!H27="","",IF(SAISIE!J27&gt;0,SAISIE!$J$6,IF(SAISIE!K27&gt;0,SAISIE!$K$6,IF(SAISIE!L27&gt;0,SAISIE!$L$6,IF(SAISIE!M27&gt;0,SAISIE!$M$6,""))))))</f>
        <v/>
      </c>
      <c r="O277" s="59" t="s">
        <v>52</v>
      </c>
    </row>
    <row r="278" spans="1:15" x14ac:dyDescent="0.25">
      <c r="A278" s="63" t="str">
        <f>IF(AND(G278="",H278=""),"SUPPR",SAISIE!$B$3)</f>
        <v>SUPPR</v>
      </c>
      <c r="B278" s="63" t="str">
        <f>IF(SAISIE!I27="","",IF(LEN(SAISIE!B27)=1,CONCATENATE("0",SAISIE!B27,"/",SAISIE!$B$4,"/",SAISIE!$B$5),CONCATENATE(SAISIE!B27,"/",SAISIE!$B$4,"/",SAISIE!$B$5)))</f>
        <v/>
      </c>
      <c r="C278" s="63" t="str">
        <f>IF(SAISIE!I27="","",SAISIE!$I$8)</f>
        <v/>
      </c>
      <c r="D278" s="63" t="str">
        <f>IF(SAISIE!I27="","",SAISIE!E27)</f>
        <v/>
      </c>
      <c r="E278" s="63" t="str">
        <f>IF(SAISIE!I27="","",SAISIE!F27)</f>
        <v/>
      </c>
      <c r="F278" s="70" t="str">
        <f>IF(SAISIE!$I27="","",IF(SAISIE!$N27="","",SAISIE!$N27))</f>
        <v/>
      </c>
      <c r="G278" s="63" t="str">
        <f>IF(SAISIE!I27="","",SAISIE!I27)</f>
        <v/>
      </c>
      <c r="H278" s="63"/>
      <c r="I278" s="63" t="str">
        <f>IF(SAISIE!$I27="","",SAISIE!$Q27)</f>
        <v/>
      </c>
      <c r="J278" s="71" t="str">
        <f>IF(COUNTBLANK(SAISIE!$J$6:$M$6)=4,"",IF(SAISIE!I27="","",IF(SAISIE!J27&gt;0,SAISIE!$J$6,IF(SAISIE!K27&gt;0,SAISIE!$K$6,IF(SAISIE!L27&gt;0,SAISIE!$L$6,IF(SAISIE!M27&gt;0,SAISIE!$M$6,""))))))</f>
        <v/>
      </c>
      <c r="O278" s="59" t="s">
        <v>53</v>
      </c>
    </row>
    <row r="279" spans="1:15" x14ac:dyDescent="0.25">
      <c r="A279" s="63" t="e">
        <f>IF(AND(G279="",H279=""),"SUPPR",SAISIE!$B$3)</f>
        <v>#REF!</v>
      </c>
      <c r="B279" s="63" t="e">
        <f>IF(SAISIE!#REF!="","",IF(LEN(SAISIE!B27)=1,CONCATENATE("0",SAISIE!B27,"/",SAISIE!$B$4,"/",SAISIE!$B$5),CONCATENATE(SAISIE!B27,"/",SAISIE!$B$4,"/",SAISIE!$B$5)))</f>
        <v>#REF!</v>
      </c>
      <c r="C279" s="63" t="e">
        <f>IF(SAISIE!#REF!="","",SAISIE!#REF!)</f>
        <v>#REF!</v>
      </c>
      <c r="D279" s="63" t="e">
        <f>IF(SAISIE!#REF!="","",SAISIE!E27)</f>
        <v>#REF!</v>
      </c>
      <c r="E279" s="63" t="e">
        <f>IF(SAISIE!#REF!="","",SAISIE!F27)</f>
        <v>#REF!</v>
      </c>
      <c r="F279" s="70" t="e">
        <f>IF(SAISIE!#REF!="","",IF(SAISIE!$N27="","",SAISIE!$N27))</f>
        <v>#REF!</v>
      </c>
      <c r="G279" s="63" t="e">
        <f>IF(SAISIE!#REF!="","",SAISIE!#REF!)</f>
        <v>#REF!</v>
      </c>
      <c r="H279" s="63"/>
      <c r="I279" s="63" t="e">
        <f>IF(SAISIE!#REF!="","",SAISIE!$Q27)</f>
        <v>#REF!</v>
      </c>
      <c r="J279" s="71" t="str">
        <f>IF(COUNTBLANK(SAISIE!$J$6:$M$6)=4,"",IF(SAISIE!#REF!="","",IF(SAISIE!J27&gt;0,SAISIE!$J$6,IF(SAISIE!K27&gt;0,SAISIE!$K$6,IF(SAISIE!L27&gt;0,SAISIE!$L$6,IF(SAISIE!M27&gt;0,SAISIE!$M$6,""))))))</f>
        <v/>
      </c>
      <c r="O279" s="59" t="s">
        <v>54</v>
      </c>
    </row>
    <row r="280" spans="1:15" x14ac:dyDescent="0.25">
      <c r="A280" s="63" t="e">
        <f>IF(AND(G280="",H280=""),"SUPPR",SAISIE!$B$3)</f>
        <v>#REF!</v>
      </c>
      <c r="B280" s="63" t="e">
        <f>IF(SAISIE!#REF!="","",IF(LEN(SAISIE!B27)=1,CONCATENATE("0",SAISIE!B27,"/",SAISIE!$B$4,"/",SAISIE!$B$5),CONCATENATE(SAISIE!B27,"/",SAISIE!$B$4,"/",SAISIE!$B$5)))</f>
        <v>#REF!</v>
      </c>
      <c r="C280" s="63" t="e">
        <f>IF(SAISIE!#REF!="","",SAISIE!#REF!)</f>
        <v>#REF!</v>
      </c>
      <c r="D280" s="63" t="e">
        <f>IF(SAISIE!#REF!="","",SAISIE!E27)</f>
        <v>#REF!</v>
      </c>
      <c r="E280" s="63" t="e">
        <f>IF(SAISIE!#REF!="","",SAISIE!F27)</f>
        <v>#REF!</v>
      </c>
      <c r="F280" s="70" t="e">
        <f>IF(SAISIE!#REF!="","",IF(SAISIE!$N27="","",SAISIE!$N27))</f>
        <v>#REF!</v>
      </c>
      <c r="G280" s="63" t="e">
        <f>IF(SAISIE!#REF!="","",SAISIE!#REF!)</f>
        <v>#REF!</v>
      </c>
      <c r="H280" s="63"/>
      <c r="I280" s="63" t="e">
        <f>IF(SAISIE!#REF!="","",SAISIE!$Q27)</f>
        <v>#REF!</v>
      </c>
      <c r="J280" s="71" t="str">
        <f>IF(COUNTBLANK(SAISIE!$J$6:$M$6)=4,"",IF(SAISIE!#REF!="","",IF(SAISIE!J27&gt;0,SAISIE!$J$6,IF(SAISIE!K27&gt;0,SAISIE!$K$6,IF(SAISIE!L27&gt;0,SAISIE!$L$6,IF(SAISIE!M27&gt;0,SAISIE!$M$6,""))))))</f>
        <v/>
      </c>
      <c r="O280" s="59" t="s">
        <v>55</v>
      </c>
    </row>
    <row r="281" spans="1:15" x14ac:dyDescent="0.25">
      <c r="A281" s="63" t="e">
        <f>IF(AND(G281="",H281=""),"SUPPR",SAISIE!$B$3)</f>
        <v>#REF!</v>
      </c>
      <c r="B281" s="63" t="e">
        <f>IF(SAISIE!#REF!="","",IF(LEN(SAISIE!B27)=1,CONCATENATE("0",SAISIE!B27,"/",SAISIE!$B$4,"/",SAISIE!$B$5),CONCATENATE(SAISIE!B27,"/",SAISIE!$B$4,"/",SAISIE!$B$5)))</f>
        <v>#REF!</v>
      </c>
      <c r="C281" s="63" t="e">
        <f>IF(SAISIE!#REF!="","",SAISIE!#REF!)</f>
        <v>#REF!</v>
      </c>
      <c r="D281" s="63" t="e">
        <f>IF(SAISIE!#REF!="","",SAISIE!E27)</f>
        <v>#REF!</v>
      </c>
      <c r="E281" s="63" t="e">
        <f>IF(SAISIE!#REF!="","",SAISIE!F27)</f>
        <v>#REF!</v>
      </c>
      <c r="F281" s="70" t="e">
        <f>IF(SAISIE!#REF!="","",IF(SAISIE!$N27="","",SAISIE!$N27))</f>
        <v>#REF!</v>
      </c>
      <c r="G281" s="63" t="e">
        <f>IF(SAISIE!#REF!="","",SAISIE!#REF!)</f>
        <v>#REF!</v>
      </c>
      <c r="H281" s="63"/>
      <c r="I281" s="63" t="e">
        <f>IF(SAISIE!#REF!="","",SAISIE!$Q27)</f>
        <v>#REF!</v>
      </c>
      <c r="J281" s="71" t="str">
        <f>IF(COUNTBLANK(SAISIE!$J$6:$M$6)=4,"",IF(SAISIE!#REF!="","",IF(SAISIE!J27&gt;0,SAISIE!$J$6,IF(SAISIE!K27&gt;0,SAISIE!$K$6,IF(SAISIE!L27&gt;0,SAISIE!$L$6,IF(SAISIE!M27&gt;0,SAISIE!$M$6,""))))))</f>
        <v/>
      </c>
      <c r="O281" s="59" t="s">
        <v>56</v>
      </c>
    </row>
    <row r="282" spans="1:15" x14ac:dyDescent="0.25">
      <c r="A282" s="63" t="e">
        <f>IF(AND(G282="",H282=""),"SUPPR",SAISIE!$B$3)</f>
        <v>#REF!</v>
      </c>
      <c r="B282" s="63" t="e">
        <f>IF(SAISIE!#REF!="","",IF(LEN(SAISIE!B27)=1,CONCATENATE("0",SAISIE!B27,"/",SAISIE!$B$4,"/",SAISIE!$B$5),CONCATENATE(SAISIE!B27,"/",SAISIE!$B$4,"/",SAISIE!$B$5)))</f>
        <v>#REF!</v>
      </c>
      <c r="C282" s="63" t="e">
        <f>IF(SAISIE!#REF!="","",SAISIE!#REF!)</f>
        <v>#REF!</v>
      </c>
      <c r="D282" s="63" t="e">
        <f>IF(SAISIE!#REF!="","",SAISIE!E27)</f>
        <v>#REF!</v>
      </c>
      <c r="E282" s="63" t="e">
        <f>IF(SAISIE!#REF!="","",SAISIE!F27)</f>
        <v>#REF!</v>
      </c>
      <c r="F282" s="70" t="e">
        <f>IF(SAISIE!#REF!="","",IF(SAISIE!$N27="","",SAISIE!$N27))</f>
        <v>#REF!</v>
      </c>
      <c r="G282" s="63" t="e">
        <f>IF(SAISIE!#REF!="","",SAISIE!#REF!)</f>
        <v>#REF!</v>
      </c>
      <c r="H282" s="63"/>
      <c r="I282" s="63" t="e">
        <f>IF(SAISIE!#REF!="","",SAISIE!$Q27)</f>
        <v>#REF!</v>
      </c>
      <c r="J282" s="71" t="str">
        <f>IF(COUNTBLANK(SAISIE!$J$6:$M$6)=4,"",IF(SAISIE!#REF!="","",IF(SAISIE!J27&gt;0,SAISIE!$J$6,IF(SAISIE!K27&gt;0,SAISIE!$K$6,IF(SAISIE!L27&gt;0,SAISIE!$L$6,IF(SAISIE!M27&gt;0,SAISIE!$M$6,""))))))</f>
        <v/>
      </c>
      <c r="O282" s="59" t="s">
        <v>57</v>
      </c>
    </row>
    <row r="283" spans="1:15" x14ac:dyDescent="0.25">
      <c r="A283" s="63" t="e">
        <f>IF(AND(G283="",H283=""),"SUPPR",SAISIE!$B$3)</f>
        <v>#REF!</v>
      </c>
      <c r="B283" s="63" t="e">
        <f>IF(SAISIE!#REF!="","",IF(LEN(SAISIE!B27)=1,CONCATENATE("0",SAISIE!B27,"/",SAISIE!$B$4,"/",SAISIE!$B$5),CONCATENATE(SAISIE!B27,"/",SAISIE!$B$4,"/",SAISIE!$B$5)))</f>
        <v>#REF!</v>
      </c>
      <c r="C283" s="63" t="e">
        <f>IF(SAISIE!#REF!="","",SAISIE!#REF!)</f>
        <v>#REF!</v>
      </c>
      <c r="D283" s="63" t="e">
        <f>IF(SAISIE!#REF!="","",SAISIE!E27)</f>
        <v>#REF!</v>
      </c>
      <c r="E283" s="63" t="e">
        <f>IF(SAISIE!#REF!="","",SAISIE!F27)</f>
        <v>#REF!</v>
      </c>
      <c r="F283" s="70" t="e">
        <f>IF(SAISIE!#REF!="","",IF(SAISIE!$N27="","",SAISIE!$N27))</f>
        <v>#REF!</v>
      </c>
      <c r="G283" s="63" t="e">
        <f>IF(SAISIE!#REF!="","",SAISIE!#REF!)</f>
        <v>#REF!</v>
      </c>
      <c r="H283" s="63"/>
      <c r="I283" s="63" t="e">
        <f>IF(SAISIE!#REF!="","",SAISIE!$Q27)</f>
        <v>#REF!</v>
      </c>
      <c r="J283" s="71" t="str">
        <f>IF(COUNTBLANK(SAISIE!$J$6:$M$6)=4,"",IF(SAISIE!#REF!="","",IF(SAISIE!J27&gt;0,SAISIE!$J$6,IF(SAISIE!K27&gt;0,SAISIE!$K$6,IF(SAISIE!L27&gt;0,SAISIE!$L$6,IF(SAISIE!M27&gt;0,SAISIE!$M$6,""))))))</f>
        <v/>
      </c>
      <c r="O283" s="59" t="s">
        <v>58</v>
      </c>
    </row>
    <row r="284" spans="1:15" x14ac:dyDescent="0.25">
      <c r="A284" s="63" t="e">
        <f>IF(AND(G284="",H284=""),"SUPPR",SAISIE!$B$3)</f>
        <v>#REF!</v>
      </c>
      <c r="B284" s="63" t="e">
        <f>IF(SAISIE!#REF!="","",IF(LEN(SAISIE!B27)=1,CONCATENATE("0",SAISIE!B27,"/",SAISIE!$B$4,"/",SAISIE!$B$5),CONCATENATE(SAISIE!B27,"/",SAISIE!$B$4,"/",SAISIE!$B$5)))</f>
        <v>#REF!</v>
      </c>
      <c r="C284" s="63" t="e">
        <f>IF(SAISIE!#REF!="","",SAISIE!#REF!)</f>
        <v>#REF!</v>
      </c>
      <c r="D284" s="63" t="e">
        <f>IF(SAISIE!#REF!="","",SAISIE!E27)</f>
        <v>#REF!</v>
      </c>
      <c r="E284" s="63" t="e">
        <f>IF(SAISIE!#REF!="","",SAISIE!F27)</f>
        <v>#REF!</v>
      </c>
      <c r="F284" s="70" t="e">
        <f>IF(SAISIE!#REF!="","",IF(SAISIE!$N27="","",SAISIE!$N27))</f>
        <v>#REF!</v>
      </c>
      <c r="G284" s="63" t="e">
        <f>IF(SAISIE!#REF!="","",SAISIE!#REF!)</f>
        <v>#REF!</v>
      </c>
      <c r="H284" s="63"/>
      <c r="I284" s="63" t="e">
        <f>IF(SAISIE!#REF!="","",SAISIE!$Q27)</f>
        <v>#REF!</v>
      </c>
      <c r="J284" s="71" t="str">
        <f>IF(COUNTBLANK(SAISIE!$J$6:$M$6)=4,"",IF(SAISIE!#REF!="","",IF(SAISIE!J27&gt;0,SAISIE!$J$6,IF(SAISIE!K27&gt;0,SAISIE!$K$6,IF(SAISIE!L27&gt;0,SAISIE!$L$6,IF(SAISIE!M27&gt;0,SAISIE!$M$6,""))))))</f>
        <v/>
      </c>
      <c r="O284" s="59" t="s">
        <v>59</v>
      </c>
    </row>
    <row r="285" spans="1:15" x14ac:dyDescent="0.25">
      <c r="A285" s="63" t="e">
        <f>IF(AND(G285="",H285=""),"SUPPR",SAISIE!$B$3)</f>
        <v>#REF!</v>
      </c>
      <c r="B285" s="63" t="e">
        <f>IF(SAISIE!#REF!="","",IF(LEN(SAISIE!B27)=1,CONCATENATE("0",SAISIE!B27,"/",SAISIE!$B$4,"/",SAISIE!$B$5),CONCATENATE(SAISIE!B27,"/",SAISIE!$B$4,"/",SAISIE!$B$5)))</f>
        <v>#REF!</v>
      </c>
      <c r="C285" s="63" t="e">
        <f>IF(SAISIE!#REF!="","",SAISIE!#REF!)</f>
        <v>#REF!</v>
      </c>
      <c r="D285" s="63" t="e">
        <f>IF(SAISIE!#REF!="","",SAISIE!E27)</f>
        <v>#REF!</v>
      </c>
      <c r="E285" s="63" t="e">
        <f>IF(SAISIE!#REF!="","",SAISIE!F27)</f>
        <v>#REF!</v>
      </c>
      <c r="F285" s="70" t="e">
        <f>IF(SAISIE!#REF!="","",IF(SAISIE!$N27="","",SAISIE!$N27))</f>
        <v>#REF!</v>
      </c>
      <c r="G285" s="63" t="e">
        <f>IF(SAISIE!#REF!="","",SAISIE!#REF!)</f>
        <v>#REF!</v>
      </c>
      <c r="H285" s="63"/>
      <c r="I285" s="63" t="e">
        <f>IF(SAISIE!#REF!="","",SAISIE!$Q27)</f>
        <v>#REF!</v>
      </c>
      <c r="J285" s="71" t="str">
        <f>IF(COUNTBLANK(SAISIE!$J$6:$M$6)=4,"",IF(SAISIE!#REF!="","",IF(SAISIE!J27&gt;0,SAISIE!$J$6,IF(SAISIE!K27&gt;0,SAISIE!$K$6,IF(SAISIE!L27&gt;0,SAISIE!$L$6,IF(SAISIE!M27&gt;0,SAISIE!$M$6,""))))))</f>
        <v/>
      </c>
      <c r="O285" s="59" t="s">
        <v>60</v>
      </c>
    </row>
    <row r="286" spans="1:15" x14ac:dyDescent="0.25">
      <c r="A286" s="63" t="str">
        <f>IF(AND(G286="",H286=""),"SUPPR",SAISIE!$B$3)</f>
        <v>SUPPR</v>
      </c>
      <c r="B286" s="63" t="str">
        <f>IF(SAISIE!J27="","",IF(LEN(SAISIE!B27)=1,CONCATENATE("0",SAISIE!B27,"/",SAISIE!$B$4,"/",SAISIE!$B$5),CONCATENATE(SAISIE!B27,"/",SAISIE!$B$4,"/",SAISIE!$B$5)))</f>
        <v/>
      </c>
      <c r="C286" s="63" t="str">
        <f>IF(SAISIE!J27="","",SAISIE!$J$8)</f>
        <v/>
      </c>
      <c r="D286" s="63" t="str">
        <f>IF(SAISIE!J27="","",SAISIE!E27)</f>
        <v/>
      </c>
      <c r="E286" s="63" t="str">
        <f>IF(SAISIE!J27="","",SAISIE!F27)</f>
        <v/>
      </c>
      <c r="F286" s="70" t="str">
        <f>IF(SAISIE!$J27="","",IF(SAISIE!$N27="","",SAISIE!$N27))</f>
        <v/>
      </c>
      <c r="G286" s="63" t="str">
        <f>IF(SAISIE!J27="","",SAISIE!J27)</f>
        <v/>
      </c>
      <c r="H286" s="63"/>
      <c r="I286" s="72"/>
      <c r="J286" s="71"/>
      <c r="O286" s="73"/>
    </row>
    <row r="287" spans="1:15" x14ac:dyDescent="0.25">
      <c r="A287" s="63" t="str">
        <f>IF(AND(G287="",H287=""),"SUPPR",SAISIE!$B$3)</f>
        <v>SUPPR</v>
      </c>
      <c r="B287" s="63" t="str">
        <f>IF(SAISIE!K27="","",IF(LEN(SAISIE!B27)=1,CONCATENATE("0",SAISIE!B27,"/",SAISIE!$B$4,"/",SAISIE!$B$5),CONCATENATE(SAISIE!B27,"/",SAISIE!$B$4,"/",SAISIE!$B$5)))</f>
        <v/>
      </c>
      <c r="C287" s="63" t="str">
        <f>IF(SAISIE!K27="","",SAISIE!$K$8)</f>
        <v/>
      </c>
      <c r="D287" s="63" t="str">
        <f>IF(SAISIE!K27="","",SAISIE!E27)</f>
        <v/>
      </c>
      <c r="E287" s="63" t="str">
        <f>IF(SAISIE!K27="","",SAISIE!F27)</f>
        <v/>
      </c>
      <c r="F287" s="70" t="str">
        <f>IF(SAISIE!$K27="","",IF(SAISIE!$N27="","",SAISIE!$N27))</f>
        <v/>
      </c>
      <c r="G287" s="63" t="str">
        <f>IF(SAISIE!K27="","",SAISIE!K27)</f>
        <v/>
      </c>
      <c r="H287" s="63"/>
      <c r="I287" s="72"/>
      <c r="J287" s="71"/>
    </row>
    <row r="288" spans="1:15" x14ac:dyDescent="0.25">
      <c r="A288" s="63" t="str">
        <f>IF(AND(G288="",H288=""),"SUPPR",SAISIE!$B$3)</f>
        <v>SUPPR</v>
      </c>
      <c r="B288" s="63" t="str">
        <f>IF(SAISIE!L27="","",IF(LEN(SAISIE!B27)=1,CONCATENATE("0",SAISIE!B27,"/",SAISIE!$B$4,"/",SAISIE!$B$5),CONCATENATE(SAISIE!B27,"/",SAISIE!$B$4,"/",SAISIE!$B$5)))</f>
        <v/>
      </c>
      <c r="C288" s="63" t="str">
        <f>IF(SAISIE!L27="","",SAISIE!$L$8)</f>
        <v/>
      </c>
      <c r="D288" s="63" t="str">
        <f>IF(SAISIE!L27="","",SAISIE!E27)</f>
        <v/>
      </c>
      <c r="E288" s="63" t="str">
        <f>IF(SAISIE!L27="","",SAISIE!F27)</f>
        <v/>
      </c>
      <c r="F288" s="70" t="str">
        <f>IF(SAISIE!$L27="","",IF(SAISIE!$N27="","",SAISIE!$N27))</f>
        <v/>
      </c>
      <c r="G288" s="63" t="str">
        <f>IF(SAISIE!L27="","",SAISIE!L27)</f>
        <v/>
      </c>
      <c r="H288" s="63"/>
      <c r="I288" s="72"/>
      <c r="J288" s="71"/>
    </row>
    <row r="289" spans="1:15" x14ac:dyDescent="0.25">
      <c r="A289" s="63" t="str">
        <f>IF(AND(G289="",H289=""),"SUPPR",SAISIE!$B$3)</f>
        <v>SUPPR</v>
      </c>
      <c r="B289" s="63" t="str">
        <f>IF(SAISIE!M27="","",IF(LEN(SAISIE!B27)=1,CONCATENATE("0",SAISIE!B27,"/",SAISIE!$B$4,"/",SAISIE!$B$5),CONCATENATE(SAISIE!B27,"/",SAISIE!$B$4,"/",SAISIE!$B$5)))</f>
        <v/>
      </c>
      <c r="C289" s="74" t="str">
        <f>IF(SAISIE!M27="","",SAISIE!$M$8)</f>
        <v/>
      </c>
      <c r="D289" s="74" t="str">
        <f>IF(SAISIE!M27="","",SAISIE!E27)</f>
        <v/>
      </c>
      <c r="E289" s="74" t="str">
        <f>IF(SAISIE!M27="","",SAISIE!F27)</f>
        <v/>
      </c>
      <c r="F289" s="75" t="str">
        <f>IF(SAISIE!$M27="","",IF(SAISIE!$N27="","",SAISIE!$N27))</f>
        <v/>
      </c>
      <c r="G289" s="74" t="str">
        <f>IF(SAISIE!M27="","",SAISIE!M27)</f>
        <v/>
      </c>
      <c r="H289" s="76"/>
      <c r="I289" s="77"/>
      <c r="J289" s="78"/>
    </row>
    <row r="290" spans="1:15" x14ac:dyDescent="0.25">
      <c r="A290" s="63" t="str">
        <f>IF(AND(G290="",H290=""),"SUPPR",SAISIE!$B$3)</f>
        <v>SUPPR</v>
      </c>
      <c r="B290" s="64" t="str">
        <f>IF(SAISIE!B28="","",IF(LEN(SAISIE!B28)=1,CONCATENATE("0",SAISIE!B28,"/",SAISIE!$B$4,"/",SAISIE!$B$5),CONCATENATE(SAISIE!B28,"/",SAISIE!$B$4,"/",SAISIE!$B$5)))</f>
        <v/>
      </c>
      <c r="C290" s="64" t="str">
        <f>IF(SAISIE!B28="","",CONCATENATE($M$2,SAISIE!C28))</f>
        <v/>
      </c>
      <c r="D290" s="64" t="str">
        <f>IF(SAISIE!B28="","",SAISIE!E28)</f>
        <v/>
      </c>
      <c r="E290" s="64" t="str">
        <f>IF(SAISIE!B28="","",SAISIE!F28)</f>
        <v/>
      </c>
      <c r="F290" s="65" t="str">
        <f>IF(A290="SUPPR","",IF(SAISIE!N28="","",SAISIE!N28))</f>
        <v/>
      </c>
      <c r="G290" s="64"/>
      <c r="H290" s="64" t="str">
        <f>IF(SAISIE!B28="","",SAISIE!D28)</f>
        <v/>
      </c>
      <c r="I290" s="66"/>
      <c r="J290" s="67" t="str">
        <f>IF(AZ28="","","")</f>
        <v/>
      </c>
      <c r="O290" s="69">
        <f>O274+1</f>
        <v>28</v>
      </c>
    </row>
    <row r="291" spans="1:15" x14ac:dyDescent="0.25">
      <c r="A291" s="63" t="str">
        <f>IF(AND(G291="",H291=""),"SUPPR",SAISIE!$B$3)</f>
        <v>SUPPR</v>
      </c>
      <c r="B291" s="63" t="str">
        <f>IF(SAISIE!P28="","",IF(LEN(SAISIE!B28)=1,CONCATENATE("0",SAISIE!B28,"/",SAISIE!$B$4,"/",SAISIE!$B$5),CONCATENATE(SAISIE!B28,"/",SAISIE!$B$4,"/",SAISIE!$B$5)))</f>
        <v/>
      </c>
      <c r="C291" s="63" t="str">
        <f>IF(SAISIE!P28="","",SAISIE!O28)</f>
        <v/>
      </c>
      <c r="D291" s="63" t="str">
        <f>IF(SAISIE!P28="","",SAISIE!E28)</f>
        <v/>
      </c>
      <c r="E291" s="63" t="str">
        <f>IF(SAISIE!P28="","",SAISIE!F28)</f>
        <v/>
      </c>
      <c r="F291" s="70" t="str">
        <f>IF(SAISIE!$P28="","",IF(SAISIE!$N28="","",SAISIE!$N28))</f>
        <v/>
      </c>
      <c r="G291" s="63" t="str">
        <f>IF(SAISIE!P28="","",SAISIE!P28)</f>
        <v/>
      </c>
      <c r="H291" s="63"/>
      <c r="I291" s="63" t="str">
        <f>IF(SAISIE!$P28="","",SAISIE!$Q28)</f>
        <v/>
      </c>
      <c r="J291" s="71" t="str">
        <f>IF(COUNTBLANK(SAISIE!$J$6:$M$6)=4,"",IF(SAISIE!P28="","",IF(SAISIE!J28&gt;0,SAISIE!$J$6,IF(SAISIE!K28&gt;0,SAISIE!$K$6,IF(SAISIE!L28&gt;0,SAISIE!$L$6,IF(SAISIE!M28&gt;0,SAISIE!$M$6,""))))))</f>
        <v/>
      </c>
      <c r="O291" s="59" t="s">
        <v>50</v>
      </c>
    </row>
    <row r="292" spans="1:15" x14ac:dyDescent="0.25">
      <c r="A292" s="63" t="str">
        <f>IF(AND(G292="",H292=""),"SUPPR",SAISIE!$B$3)</f>
        <v>SUPPR</v>
      </c>
      <c r="B292" s="63" t="str">
        <f>IF(SAISIE!G28="","",IF(LEN(SAISIE!B28)=1,CONCATENATE("0",SAISIE!B28,"/",SAISIE!$B$4,"/",SAISIE!$B$5),CONCATENATE(SAISIE!B28,"/",SAISIE!$B$4,"/",SAISIE!$B$5)))</f>
        <v/>
      </c>
      <c r="C292" s="63" t="str">
        <f>IF(SAISIE!G28="","",SAISIE!$G$8)</f>
        <v/>
      </c>
      <c r="D292" s="63" t="str">
        <f>IF(SAISIE!G28="","",SAISIE!E28)</f>
        <v/>
      </c>
      <c r="E292" s="63" t="str">
        <f>IF(SAISIE!G28="","",SAISIE!F28)</f>
        <v/>
      </c>
      <c r="F292" s="70" t="str">
        <f>IF(SAISIE!$G28="","",IF(SAISIE!$N28="","",SAISIE!$N28))</f>
        <v/>
      </c>
      <c r="G292" s="63" t="str">
        <f>IF(SAISIE!G28="","",SAISIE!G28)</f>
        <v/>
      </c>
      <c r="H292" s="63"/>
      <c r="I292" s="63" t="str">
        <f>IF(SAISIE!$G28="","",SAISIE!$Q28)</f>
        <v/>
      </c>
      <c r="J292" s="71" t="str">
        <f>IF(COUNTBLANK(SAISIE!$J$6:$M$6)=4,"",IF(SAISIE!G28="","",IF(SAISIE!J28&gt;0,SAISIE!$J$6,IF(SAISIE!K28&gt;0,SAISIE!$K$6,IF(SAISIE!L28&gt;0,SAISIE!$L$6,IF(SAISIE!M28&gt;0,SAISIE!$M$6,""))))))</f>
        <v/>
      </c>
      <c r="O292" s="59" t="s">
        <v>51</v>
      </c>
    </row>
    <row r="293" spans="1:15" x14ac:dyDescent="0.25">
      <c r="A293" s="63" t="str">
        <f>IF(AND(G293="",H293=""),"SUPPR",SAISIE!$B$3)</f>
        <v>SUPPR</v>
      </c>
      <c r="B293" s="63" t="str">
        <f>IF(SAISIE!H28="","",IF(LEN(SAISIE!B28)=1,CONCATENATE("0",SAISIE!B28,"/",SAISIE!$B$4,"/",SAISIE!$B$5),CONCATENATE(SAISIE!B28,"/",SAISIE!$B$4,"/",SAISIE!$B$5)))</f>
        <v/>
      </c>
      <c r="C293" s="63" t="str">
        <f>IF(SAISIE!H28="","",SAISIE!$H$8)</f>
        <v/>
      </c>
      <c r="D293" s="63" t="str">
        <f>IF(SAISIE!H28="","",SAISIE!E28)</f>
        <v/>
      </c>
      <c r="E293" s="63" t="str">
        <f>IF(SAISIE!H28="","",SAISIE!F28)</f>
        <v/>
      </c>
      <c r="F293" s="70" t="str">
        <f>IF(SAISIE!$H28="","",IF(SAISIE!$N28="","",SAISIE!$N28))</f>
        <v/>
      </c>
      <c r="G293" s="63" t="str">
        <f>IF(SAISIE!H28="","",SAISIE!H28)</f>
        <v/>
      </c>
      <c r="H293" s="63"/>
      <c r="I293" s="63" t="str">
        <f>IF(SAISIE!$H28="","",SAISIE!$Q28)</f>
        <v/>
      </c>
      <c r="J293" s="71" t="str">
        <f>IF(COUNTBLANK(SAISIE!$J$6:$M$6)=4,"",IF(SAISIE!H28="","",IF(SAISIE!J28&gt;0,SAISIE!$J$6,IF(SAISIE!K28&gt;0,SAISIE!$K$6,IF(SAISIE!L28&gt;0,SAISIE!$L$6,IF(SAISIE!M28&gt;0,SAISIE!$M$6,""))))))</f>
        <v/>
      </c>
      <c r="O293" s="59" t="s">
        <v>52</v>
      </c>
    </row>
    <row r="294" spans="1:15" x14ac:dyDescent="0.25">
      <c r="A294" s="63" t="str">
        <f>IF(AND(G294="",H294=""),"SUPPR",SAISIE!$B$3)</f>
        <v>SUPPR</v>
      </c>
      <c r="B294" s="63" t="str">
        <f>IF(SAISIE!I28="","",IF(LEN(SAISIE!B28)=1,CONCATENATE("0",SAISIE!B28,"/",SAISIE!$B$4,"/",SAISIE!$B$5),CONCATENATE(SAISIE!B28,"/",SAISIE!$B$4,"/",SAISIE!$B$5)))</f>
        <v/>
      </c>
      <c r="C294" s="63" t="str">
        <f>IF(SAISIE!I28="","",SAISIE!$I$8)</f>
        <v/>
      </c>
      <c r="D294" s="63" t="str">
        <f>IF(SAISIE!I28="","",SAISIE!E28)</f>
        <v/>
      </c>
      <c r="E294" s="63" t="str">
        <f>IF(SAISIE!I28="","",SAISIE!F28)</f>
        <v/>
      </c>
      <c r="F294" s="70" t="str">
        <f>IF(SAISIE!$I28="","",IF(SAISIE!$N28="","",SAISIE!$N28))</f>
        <v/>
      </c>
      <c r="G294" s="63" t="str">
        <f>IF(SAISIE!I28="","",SAISIE!I28)</f>
        <v/>
      </c>
      <c r="H294" s="63"/>
      <c r="I294" s="63" t="str">
        <f>IF(SAISIE!$I28="","",SAISIE!$Q28)</f>
        <v/>
      </c>
      <c r="J294" s="71" t="str">
        <f>IF(COUNTBLANK(SAISIE!$J$6:$M$6)=4,"",IF(SAISIE!I28="","",IF(SAISIE!J28&gt;0,SAISIE!$J$6,IF(SAISIE!K28&gt;0,SAISIE!$K$6,IF(SAISIE!L28&gt;0,SAISIE!$L$6,IF(SAISIE!M28&gt;0,SAISIE!$M$6,""))))))</f>
        <v/>
      </c>
      <c r="O294" s="59" t="s">
        <v>53</v>
      </c>
    </row>
    <row r="295" spans="1:15" x14ac:dyDescent="0.25">
      <c r="A295" s="63" t="e">
        <f>IF(AND(G295="",H295=""),"SUPPR",SAISIE!$B$3)</f>
        <v>#REF!</v>
      </c>
      <c r="B295" s="63" t="e">
        <f>IF(SAISIE!#REF!="","",IF(LEN(SAISIE!B28)=1,CONCATENATE("0",SAISIE!B28,"/",SAISIE!$B$4,"/",SAISIE!$B$5),CONCATENATE(SAISIE!B28,"/",SAISIE!$B$4,"/",SAISIE!$B$5)))</f>
        <v>#REF!</v>
      </c>
      <c r="C295" s="63" t="e">
        <f>IF(SAISIE!#REF!="","",SAISIE!#REF!)</f>
        <v>#REF!</v>
      </c>
      <c r="D295" s="63" t="e">
        <f>IF(SAISIE!#REF!="","",SAISIE!E28)</f>
        <v>#REF!</v>
      </c>
      <c r="E295" s="63" t="e">
        <f>IF(SAISIE!#REF!="","",SAISIE!F28)</f>
        <v>#REF!</v>
      </c>
      <c r="F295" s="70" t="e">
        <f>IF(SAISIE!#REF!="","",IF(SAISIE!$N28="","",SAISIE!$N28))</f>
        <v>#REF!</v>
      </c>
      <c r="G295" s="63" t="e">
        <f>IF(SAISIE!#REF!="","",SAISIE!#REF!)</f>
        <v>#REF!</v>
      </c>
      <c r="H295" s="63"/>
      <c r="I295" s="63" t="e">
        <f>IF(SAISIE!#REF!="","",SAISIE!$Q28)</f>
        <v>#REF!</v>
      </c>
      <c r="J295" s="71" t="str">
        <f>IF(COUNTBLANK(SAISIE!$J$6:$M$6)=4,"",IF(SAISIE!#REF!="","",IF(SAISIE!J28&gt;0,SAISIE!$J$6,IF(SAISIE!K28&gt;0,SAISIE!$K$6,IF(SAISIE!L28&gt;0,SAISIE!$L$6,IF(SAISIE!M28&gt;0,SAISIE!$M$6,""))))))</f>
        <v/>
      </c>
      <c r="O295" s="59" t="s">
        <v>54</v>
      </c>
    </row>
    <row r="296" spans="1:15" x14ac:dyDescent="0.25">
      <c r="A296" s="63" t="e">
        <f>IF(AND(G296="",H296=""),"SUPPR",SAISIE!$B$3)</f>
        <v>#REF!</v>
      </c>
      <c r="B296" s="63" t="e">
        <f>IF(SAISIE!#REF!="","",IF(LEN(SAISIE!B28)=1,CONCATENATE("0",SAISIE!B28,"/",SAISIE!$B$4,"/",SAISIE!$B$5),CONCATENATE(SAISIE!B28,"/",SAISIE!$B$4,"/",SAISIE!$B$5)))</f>
        <v>#REF!</v>
      </c>
      <c r="C296" s="63" t="e">
        <f>IF(SAISIE!#REF!="","",SAISIE!#REF!)</f>
        <v>#REF!</v>
      </c>
      <c r="D296" s="63" t="e">
        <f>IF(SAISIE!#REF!="","",SAISIE!E28)</f>
        <v>#REF!</v>
      </c>
      <c r="E296" s="63" t="e">
        <f>IF(SAISIE!#REF!="","",SAISIE!F28)</f>
        <v>#REF!</v>
      </c>
      <c r="F296" s="70" t="e">
        <f>IF(SAISIE!#REF!="","",IF(SAISIE!$N28="","",SAISIE!$N28))</f>
        <v>#REF!</v>
      </c>
      <c r="G296" s="63" t="e">
        <f>IF(SAISIE!#REF!="","",SAISIE!#REF!)</f>
        <v>#REF!</v>
      </c>
      <c r="H296" s="63"/>
      <c r="I296" s="63" t="e">
        <f>IF(SAISIE!#REF!="","",SAISIE!$Q28)</f>
        <v>#REF!</v>
      </c>
      <c r="J296" s="71" t="str">
        <f>IF(COUNTBLANK(SAISIE!$J$6:$M$6)=4,"",IF(SAISIE!#REF!="","",IF(SAISIE!J28&gt;0,SAISIE!$J$6,IF(SAISIE!K28&gt;0,SAISIE!$K$6,IF(SAISIE!L28&gt;0,SAISIE!$L$6,IF(SAISIE!M28&gt;0,SAISIE!$M$6,""))))))</f>
        <v/>
      </c>
      <c r="O296" s="59" t="s">
        <v>55</v>
      </c>
    </row>
    <row r="297" spans="1:15" x14ac:dyDescent="0.25">
      <c r="A297" s="63" t="e">
        <f>IF(AND(G297="",H297=""),"SUPPR",SAISIE!$B$3)</f>
        <v>#REF!</v>
      </c>
      <c r="B297" s="63" t="e">
        <f>IF(SAISIE!#REF!="","",IF(LEN(SAISIE!B28)=1,CONCATENATE("0",SAISIE!B28,"/",SAISIE!$B$4,"/",SAISIE!$B$5),CONCATENATE(SAISIE!B28,"/",SAISIE!$B$4,"/",SAISIE!$B$5)))</f>
        <v>#REF!</v>
      </c>
      <c r="C297" s="63" t="e">
        <f>IF(SAISIE!#REF!="","",SAISIE!#REF!)</f>
        <v>#REF!</v>
      </c>
      <c r="D297" s="63" t="e">
        <f>IF(SAISIE!#REF!="","",SAISIE!E28)</f>
        <v>#REF!</v>
      </c>
      <c r="E297" s="63" t="e">
        <f>IF(SAISIE!#REF!="","",SAISIE!F28)</f>
        <v>#REF!</v>
      </c>
      <c r="F297" s="70" t="e">
        <f>IF(SAISIE!#REF!="","",IF(SAISIE!$N28="","",SAISIE!$N28))</f>
        <v>#REF!</v>
      </c>
      <c r="G297" s="63" t="e">
        <f>IF(SAISIE!#REF!="","",SAISIE!#REF!)</f>
        <v>#REF!</v>
      </c>
      <c r="H297" s="63"/>
      <c r="I297" s="63" t="e">
        <f>IF(SAISIE!#REF!="","",SAISIE!$Q28)</f>
        <v>#REF!</v>
      </c>
      <c r="J297" s="71" t="str">
        <f>IF(COUNTBLANK(SAISIE!$J$6:$M$6)=4,"",IF(SAISIE!#REF!="","",IF(SAISIE!J28&gt;0,SAISIE!$J$6,IF(SAISIE!K28&gt;0,SAISIE!$K$6,IF(SAISIE!L28&gt;0,SAISIE!$L$6,IF(SAISIE!M28&gt;0,SAISIE!$M$6,""))))))</f>
        <v/>
      </c>
      <c r="O297" s="59" t="s">
        <v>56</v>
      </c>
    </row>
    <row r="298" spans="1:15" x14ac:dyDescent="0.25">
      <c r="A298" s="63" t="e">
        <f>IF(AND(G298="",H298=""),"SUPPR",SAISIE!$B$3)</f>
        <v>#REF!</v>
      </c>
      <c r="B298" s="63" t="e">
        <f>IF(SAISIE!#REF!="","",IF(LEN(SAISIE!B28)=1,CONCATENATE("0",SAISIE!B28,"/",SAISIE!$B$4,"/",SAISIE!$B$5),CONCATENATE(SAISIE!B28,"/",SAISIE!$B$4,"/",SAISIE!$B$5)))</f>
        <v>#REF!</v>
      </c>
      <c r="C298" s="63" t="e">
        <f>IF(SAISIE!#REF!="","",SAISIE!#REF!)</f>
        <v>#REF!</v>
      </c>
      <c r="D298" s="63" t="e">
        <f>IF(SAISIE!#REF!="","",SAISIE!E28)</f>
        <v>#REF!</v>
      </c>
      <c r="E298" s="63" t="e">
        <f>IF(SAISIE!#REF!="","",SAISIE!F28)</f>
        <v>#REF!</v>
      </c>
      <c r="F298" s="70" t="e">
        <f>IF(SAISIE!#REF!="","",IF(SAISIE!$N28="","",SAISIE!$N28))</f>
        <v>#REF!</v>
      </c>
      <c r="G298" s="63" t="e">
        <f>IF(SAISIE!#REF!="","",SAISIE!#REF!)</f>
        <v>#REF!</v>
      </c>
      <c r="H298" s="63"/>
      <c r="I298" s="63" t="e">
        <f>IF(SAISIE!#REF!="","",SAISIE!$Q28)</f>
        <v>#REF!</v>
      </c>
      <c r="J298" s="71" t="str">
        <f>IF(COUNTBLANK(SAISIE!$J$6:$M$6)=4,"",IF(SAISIE!#REF!="","",IF(SAISIE!J28&gt;0,SAISIE!$J$6,IF(SAISIE!K28&gt;0,SAISIE!$K$6,IF(SAISIE!L28&gt;0,SAISIE!$L$6,IF(SAISIE!M28&gt;0,SAISIE!$M$6,""))))))</f>
        <v/>
      </c>
      <c r="O298" s="59" t="s">
        <v>57</v>
      </c>
    </row>
    <row r="299" spans="1:15" x14ac:dyDescent="0.25">
      <c r="A299" s="63" t="e">
        <f>IF(AND(G299="",H299=""),"SUPPR",SAISIE!$B$3)</f>
        <v>#REF!</v>
      </c>
      <c r="B299" s="63" t="e">
        <f>IF(SAISIE!#REF!="","",IF(LEN(SAISIE!B28)=1,CONCATENATE("0",SAISIE!B28,"/",SAISIE!$B$4,"/",SAISIE!$B$5),CONCATENATE(SAISIE!B28,"/",SAISIE!$B$4,"/",SAISIE!$B$5)))</f>
        <v>#REF!</v>
      </c>
      <c r="C299" s="63" t="e">
        <f>IF(SAISIE!#REF!="","",SAISIE!#REF!)</f>
        <v>#REF!</v>
      </c>
      <c r="D299" s="63" t="e">
        <f>IF(SAISIE!#REF!="","",SAISIE!E28)</f>
        <v>#REF!</v>
      </c>
      <c r="E299" s="63" t="e">
        <f>IF(SAISIE!#REF!="","",SAISIE!F28)</f>
        <v>#REF!</v>
      </c>
      <c r="F299" s="70" t="e">
        <f>IF(SAISIE!#REF!="","",IF(SAISIE!$N28="","",SAISIE!$N28))</f>
        <v>#REF!</v>
      </c>
      <c r="G299" s="63" t="e">
        <f>IF(SAISIE!#REF!="","",SAISIE!#REF!)</f>
        <v>#REF!</v>
      </c>
      <c r="H299" s="63"/>
      <c r="I299" s="63" t="e">
        <f>IF(SAISIE!#REF!="","",SAISIE!$Q28)</f>
        <v>#REF!</v>
      </c>
      <c r="J299" s="71" t="str">
        <f>IF(COUNTBLANK(SAISIE!$J$6:$M$6)=4,"",IF(SAISIE!#REF!="","",IF(SAISIE!J28&gt;0,SAISIE!$J$6,IF(SAISIE!K28&gt;0,SAISIE!$K$6,IF(SAISIE!L28&gt;0,SAISIE!$L$6,IF(SAISIE!M28&gt;0,SAISIE!$M$6,""))))))</f>
        <v/>
      </c>
      <c r="O299" s="59" t="s">
        <v>58</v>
      </c>
    </row>
    <row r="300" spans="1:15" x14ac:dyDescent="0.25">
      <c r="A300" s="63" t="e">
        <f>IF(AND(G300="",H300=""),"SUPPR",SAISIE!$B$3)</f>
        <v>#REF!</v>
      </c>
      <c r="B300" s="63" t="e">
        <f>IF(SAISIE!#REF!="","",IF(LEN(SAISIE!B28)=1,CONCATENATE("0",SAISIE!B28,"/",SAISIE!$B$4,"/",SAISIE!$B$5),CONCATENATE(SAISIE!B28,"/",SAISIE!$B$4,"/",SAISIE!$B$5)))</f>
        <v>#REF!</v>
      </c>
      <c r="C300" s="63" t="e">
        <f>IF(SAISIE!#REF!="","",SAISIE!#REF!)</f>
        <v>#REF!</v>
      </c>
      <c r="D300" s="63" t="e">
        <f>IF(SAISIE!#REF!="","",SAISIE!E28)</f>
        <v>#REF!</v>
      </c>
      <c r="E300" s="63" t="e">
        <f>IF(SAISIE!#REF!="","",SAISIE!F28)</f>
        <v>#REF!</v>
      </c>
      <c r="F300" s="70" t="e">
        <f>IF(SAISIE!#REF!="","",IF(SAISIE!$N28="","",SAISIE!$N28))</f>
        <v>#REF!</v>
      </c>
      <c r="G300" s="63" t="e">
        <f>IF(SAISIE!#REF!="","",SAISIE!#REF!)</f>
        <v>#REF!</v>
      </c>
      <c r="H300" s="63"/>
      <c r="I300" s="63" t="e">
        <f>IF(SAISIE!#REF!="","",SAISIE!$Q28)</f>
        <v>#REF!</v>
      </c>
      <c r="J300" s="71" t="str">
        <f>IF(COUNTBLANK(SAISIE!$J$6:$M$6)=4,"",IF(SAISIE!#REF!="","",IF(SAISIE!J28&gt;0,SAISIE!$J$6,IF(SAISIE!K28&gt;0,SAISIE!$K$6,IF(SAISIE!L28&gt;0,SAISIE!$L$6,IF(SAISIE!M28&gt;0,SAISIE!$M$6,""))))))</f>
        <v/>
      </c>
      <c r="O300" s="59" t="s">
        <v>59</v>
      </c>
    </row>
    <row r="301" spans="1:15" x14ac:dyDescent="0.25">
      <c r="A301" s="63" t="e">
        <f>IF(AND(G301="",H301=""),"SUPPR",SAISIE!$B$3)</f>
        <v>#REF!</v>
      </c>
      <c r="B301" s="63" t="e">
        <f>IF(SAISIE!#REF!="","",IF(LEN(SAISIE!B28)=1,CONCATENATE("0",SAISIE!B28,"/",SAISIE!$B$4,"/",SAISIE!$B$5),CONCATENATE(SAISIE!B28,"/",SAISIE!$B$4,"/",SAISIE!$B$5)))</f>
        <v>#REF!</v>
      </c>
      <c r="C301" s="63" t="e">
        <f>IF(SAISIE!#REF!="","",SAISIE!#REF!)</f>
        <v>#REF!</v>
      </c>
      <c r="D301" s="63" t="e">
        <f>IF(SAISIE!#REF!="","",SAISIE!E28)</f>
        <v>#REF!</v>
      </c>
      <c r="E301" s="63" t="e">
        <f>IF(SAISIE!#REF!="","",SAISIE!F28)</f>
        <v>#REF!</v>
      </c>
      <c r="F301" s="70" t="e">
        <f>IF(SAISIE!#REF!="","",IF(SAISIE!$N28="","",SAISIE!$N28))</f>
        <v>#REF!</v>
      </c>
      <c r="G301" s="63" t="e">
        <f>IF(SAISIE!#REF!="","",SAISIE!#REF!)</f>
        <v>#REF!</v>
      </c>
      <c r="H301" s="63"/>
      <c r="I301" s="63" t="e">
        <f>IF(SAISIE!#REF!="","",SAISIE!$Q28)</f>
        <v>#REF!</v>
      </c>
      <c r="J301" s="71" t="str">
        <f>IF(COUNTBLANK(SAISIE!$J$6:$M$6)=4,"",IF(SAISIE!#REF!="","",IF(SAISIE!J28&gt;0,SAISIE!$J$6,IF(SAISIE!K28&gt;0,SAISIE!$K$6,IF(SAISIE!L28&gt;0,SAISIE!$L$6,IF(SAISIE!M28&gt;0,SAISIE!$M$6,""))))))</f>
        <v/>
      </c>
      <c r="O301" s="59" t="s">
        <v>60</v>
      </c>
    </row>
    <row r="302" spans="1:15" x14ac:dyDescent="0.25">
      <c r="A302" s="63" t="str">
        <f>IF(AND(G302="",H302=""),"SUPPR",SAISIE!$B$3)</f>
        <v>SUPPR</v>
      </c>
      <c r="B302" s="63" t="str">
        <f>IF(SAISIE!J28="","",IF(LEN(SAISIE!B28)=1,CONCATENATE("0",SAISIE!B28,"/",SAISIE!$B$4,"/",SAISIE!$B$5),CONCATENATE(SAISIE!B28,"/",SAISIE!$B$4,"/",SAISIE!$B$5)))</f>
        <v/>
      </c>
      <c r="C302" s="63" t="str">
        <f>IF(SAISIE!J28="","",SAISIE!$J$8)</f>
        <v/>
      </c>
      <c r="D302" s="63" t="str">
        <f>IF(SAISIE!J28="","",SAISIE!E28)</f>
        <v/>
      </c>
      <c r="E302" s="63" t="str">
        <f>IF(SAISIE!J28="","",SAISIE!F28)</f>
        <v/>
      </c>
      <c r="F302" s="70" t="str">
        <f>IF(SAISIE!$J28="","",IF(SAISIE!$N28="","",SAISIE!$N28))</f>
        <v/>
      </c>
      <c r="G302" s="63" t="str">
        <f>IF(SAISIE!J28="","",SAISIE!J28)</f>
        <v/>
      </c>
      <c r="H302" s="63"/>
      <c r="I302" s="72"/>
      <c r="J302" s="71"/>
      <c r="O302" s="73"/>
    </row>
    <row r="303" spans="1:15" x14ac:dyDescent="0.25">
      <c r="A303" s="63" t="str">
        <f>IF(AND(G303="",H303=""),"SUPPR",SAISIE!$B$3)</f>
        <v>SUPPR</v>
      </c>
      <c r="B303" s="63" t="str">
        <f>IF(SAISIE!K28="","",IF(LEN(SAISIE!B28)=1,CONCATENATE("0",SAISIE!B28,"/",SAISIE!$B$4,"/",SAISIE!$B$5),CONCATENATE(SAISIE!B28,"/",SAISIE!$B$4,"/",SAISIE!$B$5)))</f>
        <v/>
      </c>
      <c r="C303" s="63" t="str">
        <f>IF(SAISIE!K28="","",SAISIE!$K$8)</f>
        <v/>
      </c>
      <c r="D303" s="63" t="str">
        <f>IF(SAISIE!K28="","",SAISIE!E28)</f>
        <v/>
      </c>
      <c r="E303" s="63" t="str">
        <f>IF(SAISIE!K28="","",SAISIE!F28)</f>
        <v/>
      </c>
      <c r="F303" s="70" t="str">
        <f>IF(SAISIE!$K28="","",IF(SAISIE!$N28="","",SAISIE!$N28))</f>
        <v/>
      </c>
      <c r="G303" s="63" t="str">
        <f>IF(SAISIE!K28="","",SAISIE!K28)</f>
        <v/>
      </c>
      <c r="H303" s="63"/>
      <c r="I303" s="72"/>
      <c r="J303" s="71"/>
    </row>
    <row r="304" spans="1:15" x14ac:dyDescent="0.25">
      <c r="A304" s="63" t="str">
        <f>IF(AND(G304="",H304=""),"SUPPR",SAISIE!$B$3)</f>
        <v>SUPPR</v>
      </c>
      <c r="B304" s="63" t="str">
        <f>IF(SAISIE!L28="","",IF(LEN(SAISIE!B28)=1,CONCATENATE("0",SAISIE!B28,"/",SAISIE!$B$4,"/",SAISIE!$B$5),CONCATENATE(SAISIE!B28,"/",SAISIE!$B$4,"/",SAISIE!$B$5)))</f>
        <v/>
      </c>
      <c r="C304" s="63" t="str">
        <f>IF(SAISIE!L28="","",SAISIE!$L$8)</f>
        <v/>
      </c>
      <c r="D304" s="63" t="str">
        <f>IF(SAISIE!L28="","",SAISIE!E28)</f>
        <v/>
      </c>
      <c r="E304" s="63" t="str">
        <f>IF(SAISIE!L28="","",SAISIE!F28)</f>
        <v/>
      </c>
      <c r="F304" s="70" t="str">
        <f>IF(SAISIE!$L28="","",IF(SAISIE!$N28="","",SAISIE!$N28))</f>
        <v/>
      </c>
      <c r="G304" s="63" t="str">
        <f>IF(SAISIE!L28="","",SAISIE!L28)</f>
        <v/>
      </c>
      <c r="H304" s="63"/>
      <c r="I304" s="72"/>
      <c r="J304" s="71"/>
    </row>
    <row r="305" spans="1:15" x14ac:dyDescent="0.25">
      <c r="A305" s="63" t="str">
        <f>IF(AND(G305="",H305=""),"SUPPR",SAISIE!$B$3)</f>
        <v>SUPPR</v>
      </c>
      <c r="B305" s="63" t="str">
        <f>IF(SAISIE!M28="","",IF(LEN(SAISIE!B28)=1,CONCATENATE("0",SAISIE!B28,"/",SAISIE!$B$4,"/",SAISIE!$B$5),CONCATENATE(SAISIE!B28,"/",SAISIE!$B$4,"/",SAISIE!$B$5)))</f>
        <v/>
      </c>
      <c r="C305" s="74" t="str">
        <f>IF(SAISIE!M28="","",SAISIE!$M$8)</f>
        <v/>
      </c>
      <c r="D305" s="74" t="str">
        <f>IF(SAISIE!M28="","",SAISIE!E28)</f>
        <v/>
      </c>
      <c r="E305" s="74" t="str">
        <f>IF(SAISIE!M28="","",SAISIE!F28)</f>
        <v/>
      </c>
      <c r="F305" s="75" t="str">
        <f>IF(SAISIE!$M28="","",IF(SAISIE!$N28="","",SAISIE!$N28))</f>
        <v/>
      </c>
      <c r="G305" s="74" t="str">
        <f>IF(SAISIE!M28="","",SAISIE!M28)</f>
        <v/>
      </c>
      <c r="H305" s="76"/>
      <c r="I305" s="77"/>
      <c r="J305" s="78"/>
    </row>
    <row r="306" spans="1:15" x14ac:dyDescent="0.25">
      <c r="A306" s="63" t="str">
        <f>IF(AND(G306="",H306=""),"SUPPR",SAISIE!$B$3)</f>
        <v>SUPPR</v>
      </c>
      <c r="B306" s="64" t="str">
        <f>IF(SAISIE!B29="","",IF(LEN(SAISIE!B29)=1,CONCATENATE("0",SAISIE!B29,"/",SAISIE!$B$4,"/",SAISIE!$B$5),CONCATENATE(SAISIE!B29,"/",SAISIE!$B$4,"/",SAISIE!$B$5)))</f>
        <v/>
      </c>
      <c r="C306" s="64" t="str">
        <f>IF(SAISIE!B29="","",CONCATENATE($M$2,SAISIE!C29))</f>
        <v/>
      </c>
      <c r="D306" s="64" t="str">
        <f>IF(SAISIE!B29="","",SAISIE!E29)</f>
        <v/>
      </c>
      <c r="E306" s="64" t="str">
        <f>IF(SAISIE!B29="","",SAISIE!F29)</f>
        <v/>
      </c>
      <c r="F306" s="65" t="str">
        <f>IF(A306="SUPPR","",IF(SAISIE!N29="","",SAISIE!N29))</f>
        <v/>
      </c>
      <c r="G306" s="64"/>
      <c r="H306" s="64" t="str">
        <f>IF(SAISIE!B29="","",SAISIE!D29)</f>
        <v/>
      </c>
      <c r="I306" s="66"/>
      <c r="J306" s="67" t="str">
        <f>IF(AZ29="","","")</f>
        <v/>
      </c>
      <c r="O306" s="69">
        <f>O290+1</f>
        <v>29</v>
      </c>
    </row>
    <row r="307" spans="1:15" x14ac:dyDescent="0.25">
      <c r="A307" s="63" t="str">
        <f>IF(AND(G307="",H307=""),"SUPPR",SAISIE!$B$3)</f>
        <v>SUPPR</v>
      </c>
      <c r="B307" s="63" t="str">
        <f>IF(SAISIE!P29="","",IF(LEN(SAISIE!B29)=1,CONCATENATE("0",SAISIE!B29,"/",SAISIE!$B$4,"/",SAISIE!$B$5),CONCATENATE(SAISIE!B29,"/",SAISIE!$B$4,"/",SAISIE!$B$5)))</f>
        <v/>
      </c>
      <c r="C307" s="63" t="str">
        <f>IF(SAISIE!P29="","",SAISIE!O29)</f>
        <v/>
      </c>
      <c r="D307" s="63" t="str">
        <f>IF(SAISIE!P29="","",SAISIE!E29)</f>
        <v/>
      </c>
      <c r="E307" s="63" t="str">
        <f>IF(SAISIE!P29="","",SAISIE!F29)</f>
        <v/>
      </c>
      <c r="F307" s="70" t="str">
        <f>IF(SAISIE!$P29="","",IF(SAISIE!$N29="","",SAISIE!$N29))</f>
        <v/>
      </c>
      <c r="G307" s="63" t="str">
        <f>IF(SAISIE!P29="","",SAISIE!P29)</f>
        <v/>
      </c>
      <c r="H307" s="63"/>
      <c r="I307" s="63" t="str">
        <f>IF(SAISIE!$P29="","",SAISIE!$Q29)</f>
        <v/>
      </c>
      <c r="J307" s="71" t="str">
        <f>IF(COUNTBLANK(SAISIE!$J$6:$M$6)=4,"",IF(SAISIE!P29="","",IF(SAISIE!J29&gt;0,SAISIE!$J$6,IF(SAISIE!K29&gt;0,SAISIE!$K$6,IF(SAISIE!L29&gt;0,SAISIE!$L$6,IF(SAISIE!M29&gt;0,SAISIE!$M$6,""))))))</f>
        <v/>
      </c>
      <c r="O307" s="59" t="s">
        <v>50</v>
      </c>
    </row>
    <row r="308" spans="1:15" x14ac:dyDescent="0.25">
      <c r="A308" s="63" t="str">
        <f>IF(AND(G308="",H308=""),"SUPPR",SAISIE!$B$3)</f>
        <v>SUPPR</v>
      </c>
      <c r="B308" s="63" t="str">
        <f>IF(SAISIE!G29="","",IF(LEN(SAISIE!B29)=1,CONCATENATE("0",SAISIE!B29,"/",SAISIE!$B$4,"/",SAISIE!$B$5),CONCATENATE(SAISIE!B29,"/",SAISIE!$B$4,"/",SAISIE!$B$5)))</f>
        <v/>
      </c>
      <c r="C308" s="63" t="str">
        <f>IF(SAISIE!G29="","",SAISIE!$G$8)</f>
        <v/>
      </c>
      <c r="D308" s="63" t="str">
        <f>IF(SAISIE!G29="","",SAISIE!E29)</f>
        <v/>
      </c>
      <c r="E308" s="63" t="str">
        <f>IF(SAISIE!G29="","",SAISIE!F29)</f>
        <v/>
      </c>
      <c r="F308" s="70" t="str">
        <f>IF(SAISIE!$G29="","",IF(SAISIE!$N29="","",SAISIE!$N29))</f>
        <v/>
      </c>
      <c r="G308" s="63" t="str">
        <f>IF(SAISIE!G29="","",SAISIE!G29)</f>
        <v/>
      </c>
      <c r="H308" s="63"/>
      <c r="I308" s="63" t="str">
        <f>IF(SAISIE!$G29="","",SAISIE!$Q29)</f>
        <v/>
      </c>
      <c r="J308" s="71" t="str">
        <f>IF(COUNTBLANK(SAISIE!$J$6:$M$6)=4,"",IF(SAISIE!G29="","",IF(SAISIE!J29&gt;0,SAISIE!$J$6,IF(SAISIE!K29&gt;0,SAISIE!$K$6,IF(SAISIE!L29&gt;0,SAISIE!$L$6,IF(SAISIE!M29&gt;0,SAISIE!$M$6,""))))))</f>
        <v/>
      </c>
      <c r="O308" s="59" t="s">
        <v>51</v>
      </c>
    </row>
    <row r="309" spans="1:15" x14ac:dyDescent="0.25">
      <c r="A309" s="63" t="str">
        <f>IF(AND(G309="",H309=""),"SUPPR",SAISIE!$B$3)</f>
        <v>SUPPR</v>
      </c>
      <c r="B309" s="63" t="str">
        <f>IF(SAISIE!H29="","",IF(LEN(SAISIE!B29)=1,CONCATENATE("0",SAISIE!B29,"/",SAISIE!$B$4,"/",SAISIE!$B$5),CONCATENATE(SAISIE!B29,"/",SAISIE!$B$4,"/",SAISIE!$B$5)))</f>
        <v/>
      </c>
      <c r="C309" s="63" t="str">
        <f>IF(SAISIE!H29="","",SAISIE!$H$8)</f>
        <v/>
      </c>
      <c r="D309" s="63" t="str">
        <f>IF(SAISIE!H29="","",SAISIE!E29)</f>
        <v/>
      </c>
      <c r="E309" s="63" t="str">
        <f>IF(SAISIE!H29="","",SAISIE!F29)</f>
        <v/>
      </c>
      <c r="F309" s="70" t="str">
        <f>IF(SAISIE!$H29="","",IF(SAISIE!$N29="","",SAISIE!$N29))</f>
        <v/>
      </c>
      <c r="G309" s="63" t="str">
        <f>IF(SAISIE!H29="","",SAISIE!H29)</f>
        <v/>
      </c>
      <c r="H309" s="63"/>
      <c r="I309" s="63" t="str">
        <f>IF(SAISIE!$H29="","",SAISIE!$Q29)</f>
        <v/>
      </c>
      <c r="J309" s="71" t="str">
        <f>IF(COUNTBLANK(SAISIE!$J$6:$M$6)=4,"",IF(SAISIE!H29="","",IF(SAISIE!J29&gt;0,SAISIE!$J$6,IF(SAISIE!K29&gt;0,SAISIE!$K$6,IF(SAISIE!L29&gt;0,SAISIE!$L$6,IF(SAISIE!M29&gt;0,SAISIE!$M$6,""))))))</f>
        <v/>
      </c>
      <c r="O309" s="59" t="s">
        <v>52</v>
      </c>
    </row>
    <row r="310" spans="1:15" x14ac:dyDescent="0.25">
      <c r="A310" s="63" t="str">
        <f>IF(AND(G310="",H310=""),"SUPPR",SAISIE!$B$3)</f>
        <v>SUPPR</v>
      </c>
      <c r="B310" s="63" t="str">
        <f>IF(SAISIE!I29="","",IF(LEN(SAISIE!B29)=1,CONCATENATE("0",SAISIE!B29,"/",SAISIE!$B$4,"/",SAISIE!$B$5),CONCATENATE(SAISIE!B29,"/",SAISIE!$B$4,"/",SAISIE!$B$5)))</f>
        <v/>
      </c>
      <c r="C310" s="63" t="str">
        <f>IF(SAISIE!I29="","",SAISIE!$I$8)</f>
        <v/>
      </c>
      <c r="D310" s="63" t="str">
        <f>IF(SAISIE!I29="","",SAISIE!E29)</f>
        <v/>
      </c>
      <c r="E310" s="63" t="str">
        <f>IF(SAISIE!I29="","",SAISIE!F29)</f>
        <v/>
      </c>
      <c r="F310" s="70" t="str">
        <f>IF(SAISIE!$I29="","",IF(SAISIE!$N29="","",SAISIE!$N29))</f>
        <v/>
      </c>
      <c r="G310" s="63" t="str">
        <f>IF(SAISIE!I29="","",SAISIE!I29)</f>
        <v/>
      </c>
      <c r="H310" s="63"/>
      <c r="I310" s="63" t="str">
        <f>IF(SAISIE!$I29="","",SAISIE!$Q29)</f>
        <v/>
      </c>
      <c r="J310" s="71" t="str">
        <f>IF(COUNTBLANK(SAISIE!$J$6:$M$6)=4,"",IF(SAISIE!I29="","",IF(SAISIE!J29&gt;0,SAISIE!$J$6,IF(SAISIE!K29&gt;0,SAISIE!$K$6,IF(SAISIE!L29&gt;0,SAISIE!$L$6,IF(SAISIE!M29&gt;0,SAISIE!$M$6,""))))))</f>
        <v/>
      </c>
      <c r="O310" s="59" t="s">
        <v>53</v>
      </c>
    </row>
    <row r="311" spans="1:15" x14ac:dyDescent="0.25">
      <c r="A311" s="63" t="e">
        <f>IF(AND(G311="",H311=""),"SUPPR",SAISIE!$B$3)</f>
        <v>#REF!</v>
      </c>
      <c r="B311" s="63" t="e">
        <f>IF(SAISIE!#REF!="","",IF(LEN(SAISIE!B29)=1,CONCATENATE("0",SAISIE!B29,"/",SAISIE!$B$4,"/",SAISIE!$B$5),CONCATENATE(SAISIE!B29,"/",SAISIE!$B$4,"/",SAISIE!$B$5)))</f>
        <v>#REF!</v>
      </c>
      <c r="C311" s="63" t="e">
        <f>IF(SAISIE!#REF!="","",SAISIE!#REF!)</f>
        <v>#REF!</v>
      </c>
      <c r="D311" s="63" t="e">
        <f>IF(SAISIE!#REF!="","",SAISIE!E29)</f>
        <v>#REF!</v>
      </c>
      <c r="E311" s="63" t="e">
        <f>IF(SAISIE!#REF!="","",SAISIE!F29)</f>
        <v>#REF!</v>
      </c>
      <c r="F311" s="70" t="e">
        <f>IF(SAISIE!#REF!="","",IF(SAISIE!$N29="","",SAISIE!$N29))</f>
        <v>#REF!</v>
      </c>
      <c r="G311" s="63" t="e">
        <f>IF(SAISIE!#REF!="","",SAISIE!#REF!)</f>
        <v>#REF!</v>
      </c>
      <c r="H311" s="63"/>
      <c r="I311" s="63" t="e">
        <f>IF(SAISIE!#REF!="","",SAISIE!$Q29)</f>
        <v>#REF!</v>
      </c>
      <c r="J311" s="71" t="str">
        <f>IF(COUNTBLANK(SAISIE!$J$6:$M$6)=4,"",IF(SAISIE!#REF!="","",IF(SAISIE!J29&gt;0,SAISIE!$J$6,IF(SAISIE!K29&gt;0,SAISIE!$K$6,IF(SAISIE!L29&gt;0,SAISIE!$L$6,IF(SAISIE!M29&gt;0,SAISIE!$M$6,""))))))</f>
        <v/>
      </c>
      <c r="O311" s="59" t="s">
        <v>54</v>
      </c>
    </row>
    <row r="312" spans="1:15" x14ac:dyDescent="0.25">
      <c r="A312" s="63" t="e">
        <f>IF(AND(G312="",H312=""),"SUPPR",SAISIE!$B$3)</f>
        <v>#REF!</v>
      </c>
      <c r="B312" s="63" t="e">
        <f>IF(SAISIE!#REF!="","",IF(LEN(SAISIE!B29)=1,CONCATENATE("0",SAISIE!B29,"/",SAISIE!$B$4,"/",SAISIE!$B$5),CONCATENATE(SAISIE!B29,"/",SAISIE!$B$4,"/",SAISIE!$B$5)))</f>
        <v>#REF!</v>
      </c>
      <c r="C312" s="63" t="e">
        <f>IF(SAISIE!#REF!="","",SAISIE!#REF!)</f>
        <v>#REF!</v>
      </c>
      <c r="D312" s="63" t="e">
        <f>IF(SAISIE!#REF!="","",SAISIE!E29)</f>
        <v>#REF!</v>
      </c>
      <c r="E312" s="63" t="e">
        <f>IF(SAISIE!#REF!="","",SAISIE!F29)</f>
        <v>#REF!</v>
      </c>
      <c r="F312" s="70" t="e">
        <f>IF(SAISIE!#REF!="","",IF(SAISIE!$N29="","",SAISIE!$N29))</f>
        <v>#REF!</v>
      </c>
      <c r="G312" s="63" t="e">
        <f>IF(SAISIE!#REF!="","",SAISIE!#REF!)</f>
        <v>#REF!</v>
      </c>
      <c r="H312" s="63"/>
      <c r="I312" s="63" t="e">
        <f>IF(SAISIE!#REF!="","",SAISIE!$Q29)</f>
        <v>#REF!</v>
      </c>
      <c r="J312" s="71" t="str">
        <f>IF(COUNTBLANK(SAISIE!$J$6:$M$6)=4,"",IF(SAISIE!#REF!="","",IF(SAISIE!J29&gt;0,SAISIE!$J$6,IF(SAISIE!K29&gt;0,SAISIE!$K$6,IF(SAISIE!L29&gt;0,SAISIE!$L$6,IF(SAISIE!M29&gt;0,SAISIE!$M$6,""))))))</f>
        <v/>
      </c>
      <c r="O312" s="59" t="s">
        <v>55</v>
      </c>
    </row>
    <row r="313" spans="1:15" x14ac:dyDescent="0.25">
      <c r="A313" s="63" t="e">
        <f>IF(AND(G313="",H313=""),"SUPPR",SAISIE!$B$3)</f>
        <v>#REF!</v>
      </c>
      <c r="B313" s="63" t="e">
        <f>IF(SAISIE!#REF!="","",IF(LEN(SAISIE!B29)=1,CONCATENATE("0",SAISIE!B29,"/",SAISIE!$B$4,"/",SAISIE!$B$5),CONCATENATE(SAISIE!B29,"/",SAISIE!$B$4,"/",SAISIE!$B$5)))</f>
        <v>#REF!</v>
      </c>
      <c r="C313" s="63" t="e">
        <f>IF(SAISIE!#REF!="","",SAISIE!#REF!)</f>
        <v>#REF!</v>
      </c>
      <c r="D313" s="63" t="e">
        <f>IF(SAISIE!#REF!="","",SAISIE!E29)</f>
        <v>#REF!</v>
      </c>
      <c r="E313" s="63" t="e">
        <f>IF(SAISIE!#REF!="","",SAISIE!F29)</f>
        <v>#REF!</v>
      </c>
      <c r="F313" s="70" t="e">
        <f>IF(SAISIE!#REF!="","",IF(SAISIE!$N29="","",SAISIE!$N29))</f>
        <v>#REF!</v>
      </c>
      <c r="G313" s="63" t="e">
        <f>IF(SAISIE!#REF!="","",SAISIE!#REF!)</f>
        <v>#REF!</v>
      </c>
      <c r="H313" s="63"/>
      <c r="I313" s="63" t="e">
        <f>IF(SAISIE!#REF!="","",SAISIE!$Q29)</f>
        <v>#REF!</v>
      </c>
      <c r="J313" s="71" t="str">
        <f>IF(COUNTBLANK(SAISIE!$J$6:$M$6)=4,"",IF(SAISIE!#REF!="","",IF(SAISIE!J29&gt;0,SAISIE!$J$6,IF(SAISIE!K29&gt;0,SAISIE!$K$6,IF(SAISIE!L29&gt;0,SAISIE!$L$6,IF(SAISIE!M29&gt;0,SAISIE!$M$6,""))))))</f>
        <v/>
      </c>
      <c r="O313" s="59" t="s">
        <v>56</v>
      </c>
    </row>
    <row r="314" spans="1:15" x14ac:dyDescent="0.25">
      <c r="A314" s="63" t="e">
        <f>IF(AND(G314="",H314=""),"SUPPR",SAISIE!$B$3)</f>
        <v>#REF!</v>
      </c>
      <c r="B314" s="63" t="e">
        <f>IF(SAISIE!#REF!="","",IF(LEN(SAISIE!B29)=1,CONCATENATE("0",SAISIE!B29,"/",SAISIE!$B$4,"/",SAISIE!$B$5),CONCATENATE(SAISIE!B29,"/",SAISIE!$B$4,"/",SAISIE!$B$5)))</f>
        <v>#REF!</v>
      </c>
      <c r="C314" s="63" t="e">
        <f>IF(SAISIE!#REF!="","",SAISIE!#REF!)</f>
        <v>#REF!</v>
      </c>
      <c r="D314" s="63" t="e">
        <f>IF(SAISIE!#REF!="","",SAISIE!E29)</f>
        <v>#REF!</v>
      </c>
      <c r="E314" s="63" t="e">
        <f>IF(SAISIE!#REF!="","",SAISIE!F29)</f>
        <v>#REF!</v>
      </c>
      <c r="F314" s="70" t="e">
        <f>IF(SAISIE!#REF!="","",IF(SAISIE!$N29="","",SAISIE!$N29))</f>
        <v>#REF!</v>
      </c>
      <c r="G314" s="63" t="e">
        <f>IF(SAISIE!#REF!="","",SAISIE!#REF!)</f>
        <v>#REF!</v>
      </c>
      <c r="H314" s="63"/>
      <c r="I314" s="63" t="e">
        <f>IF(SAISIE!#REF!="","",SAISIE!$Q29)</f>
        <v>#REF!</v>
      </c>
      <c r="J314" s="71" t="str">
        <f>IF(COUNTBLANK(SAISIE!$J$6:$M$6)=4,"",IF(SAISIE!#REF!="","",IF(SAISIE!J29&gt;0,SAISIE!$J$6,IF(SAISIE!K29&gt;0,SAISIE!$K$6,IF(SAISIE!L29&gt;0,SAISIE!$L$6,IF(SAISIE!M29&gt;0,SAISIE!$M$6,""))))))</f>
        <v/>
      </c>
      <c r="O314" s="59" t="s">
        <v>57</v>
      </c>
    </row>
    <row r="315" spans="1:15" x14ac:dyDescent="0.25">
      <c r="A315" s="63" t="e">
        <f>IF(AND(G315="",H315=""),"SUPPR",SAISIE!$B$3)</f>
        <v>#REF!</v>
      </c>
      <c r="B315" s="63" t="e">
        <f>IF(SAISIE!#REF!="","",IF(LEN(SAISIE!B29)=1,CONCATENATE("0",SAISIE!B29,"/",SAISIE!$B$4,"/",SAISIE!$B$5),CONCATENATE(SAISIE!B29,"/",SAISIE!$B$4,"/",SAISIE!$B$5)))</f>
        <v>#REF!</v>
      </c>
      <c r="C315" s="63" t="e">
        <f>IF(SAISIE!#REF!="","",SAISIE!#REF!)</f>
        <v>#REF!</v>
      </c>
      <c r="D315" s="63" t="e">
        <f>IF(SAISIE!#REF!="","",SAISIE!E29)</f>
        <v>#REF!</v>
      </c>
      <c r="E315" s="63" t="e">
        <f>IF(SAISIE!#REF!="","",SAISIE!F29)</f>
        <v>#REF!</v>
      </c>
      <c r="F315" s="70" t="e">
        <f>IF(SAISIE!#REF!="","",IF(SAISIE!$N29="","",SAISIE!$N29))</f>
        <v>#REF!</v>
      </c>
      <c r="G315" s="63" t="e">
        <f>IF(SAISIE!#REF!="","",SAISIE!#REF!)</f>
        <v>#REF!</v>
      </c>
      <c r="H315" s="63"/>
      <c r="I315" s="63" t="e">
        <f>IF(SAISIE!#REF!="","",SAISIE!$Q29)</f>
        <v>#REF!</v>
      </c>
      <c r="J315" s="71" t="str">
        <f>IF(COUNTBLANK(SAISIE!$J$6:$M$6)=4,"",IF(SAISIE!#REF!="","",IF(SAISIE!J29&gt;0,SAISIE!$J$6,IF(SAISIE!K29&gt;0,SAISIE!$K$6,IF(SAISIE!L29&gt;0,SAISIE!$L$6,IF(SAISIE!M29&gt;0,SAISIE!$M$6,""))))))</f>
        <v/>
      </c>
      <c r="O315" s="59" t="s">
        <v>58</v>
      </c>
    </row>
    <row r="316" spans="1:15" x14ac:dyDescent="0.25">
      <c r="A316" s="63" t="e">
        <f>IF(AND(G316="",H316=""),"SUPPR",SAISIE!$B$3)</f>
        <v>#REF!</v>
      </c>
      <c r="B316" s="63" t="e">
        <f>IF(SAISIE!#REF!="","",IF(LEN(SAISIE!B29)=1,CONCATENATE("0",SAISIE!B29,"/",SAISIE!$B$4,"/",SAISIE!$B$5),CONCATENATE(SAISIE!B29,"/",SAISIE!$B$4,"/",SAISIE!$B$5)))</f>
        <v>#REF!</v>
      </c>
      <c r="C316" s="63" t="e">
        <f>IF(SAISIE!#REF!="","",SAISIE!#REF!)</f>
        <v>#REF!</v>
      </c>
      <c r="D316" s="63" t="e">
        <f>IF(SAISIE!#REF!="","",SAISIE!E29)</f>
        <v>#REF!</v>
      </c>
      <c r="E316" s="63" t="e">
        <f>IF(SAISIE!#REF!="","",SAISIE!F29)</f>
        <v>#REF!</v>
      </c>
      <c r="F316" s="70" t="e">
        <f>IF(SAISIE!#REF!="","",IF(SAISIE!$N29="","",SAISIE!$N29))</f>
        <v>#REF!</v>
      </c>
      <c r="G316" s="63" t="e">
        <f>IF(SAISIE!#REF!="","",SAISIE!#REF!)</f>
        <v>#REF!</v>
      </c>
      <c r="H316" s="63"/>
      <c r="I316" s="63" t="e">
        <f>IF(SAISIE!#REF!="","",SAISIE!$Q29)</f>
        <v>#REF!</v>
      </c>
      <c r="J316" s="71" t="str">
        <f>IF(COUNTBLANK(SAISIE!$J$6:$M$6)=4,"",IF(SAISIE!#REF!="","",IF(SAISIE!J29&gt;0,SAISIE!$J$6,IF(SAISIE!K29&gt;0,SAISIE!$K$6,IF(SAISIE!L29&gt;0,SAISIE!$L$6,IF(SAISIE!M29&gt;0,SAISIE!$M$6,""))))))</f>
        <v/>
      </c>
      <c r="O316" s="59" t="s">
        <v>59</v>
      </c>
    </row>
    <row r="317" spans="1:15" x14ac:dyDescent="0.25">
      <c r="A317" s="63" t="e">
        <f>IF(AND(G317="",H317=""),"SUPPR",SAISIE!$B$3)</f>
        <v>#REF!</v>
      </c>
      <c r="B317" s="63" t="e">
        <f>IF(SAISIE!#REF!="","",IF(LEN(SAISIE!B29)=1,CONCATENATE("0",SAISIE!B29,"/",SAISIE!$B$4,"/",SAISIE!$B$5),CONCATENATE(SAISIE!B29,"/",SAISIE!$B$4,"/",SAISIE!$B$5)))</f>
        <v>#REF!</v>
      </c>
      <c r="C317" s="63" t="e">
        <f>IF(SAISIE!#REF!="","",SAISIE!#REF!)</f>
        <v>#REF!</v>
      </c>
      <c r="D317" s="63" t="e">
        <f>IF(SAISIE!#REF!="","",SAISIE!E29)</f>
        <v>#REF!</v>
      </c>
      <c r="E317" s="63" t="e">
        <f>IF(SAISIE!#REF!="","",SAISIE!F29)</f>
        <v>#REF!</v>
      </c>
      <c r="F317" s="70" t="e">
        <f>IF(SAISIE!#REF!="","",IF(SAISIE!$N29="","",SAISIE!$N29))</f>
        <v>#REF!</v>
      </c>
      <c r="G317" s="63" t="e">
        <f>IF(SAISIE!#REF!="","",SAISIE!#REF!)</f>
        <v>#REF!</v>
      </c>
      <c r="H317" s="63"/>
      <c r="I317" s="63" t="e">
        <f>IF(SAISIE!#REF!="","",SAISIE!$Q29)</f>
        <v>#REF!</v>
      </c>
      <c r="J317" s="71" t="str">
        <f>IF(COUNTBLANK(SAISIE!$J$6:$M$6)=4,"",IF(SAISIE!#REF!="","",IF(SAISIE!J29&gt;0,SAISIE!$J$6,IF(SAISIE!K29&gt;0,SAISIE!$K$6,IF(SAISIE!L29&gt;0,SAISIE!$L$6,IF(SAISIE!M29&gt;0,SAISIE!$M$6,""))))))</f>
        <v/>
      </c>
      <c r="O317" s="59" t="s">
        <v>60</v>
      </c>
    </row>
    <row r="318" spans="1:15" x14ac:dyDescent="0.25">
      <c r="A318" s="63" t="str">
        <f>IF(AND(G318="",H318=""),"SUPPR",SAISIE!$B$3)</f>
        <v>SUPPR</v>
      </c>
      <c r="B318" s="63" t="str">
        <f>IF(SAISIE!J29="","",IF(LEN(SAISIE!B29)=1,CONCATENATE("0",SAISIE!B29,"/",SAISIE!$B$4,"/",SAISIE!$B$5),CONCATENATE(SAISIE!B29,"/",SAISIE!$B$4,"/",SAISIE!$B$5)))</f>
        <v/>
      </c>
      <c r="C318" s="63" t="str">
        <f>IF(SAISIE!J29="","",SAISIE!$J$8)</f>
        <v/>
      </c>
      <c r="D318" s="63" t="str">
        <f>IF(SAISIE!J29="","",SAISIE!E29)</f>
        <v/>
      </c>
      <c r="E318" s="63" t="str">
        <f>IF(SAISIE!J29="","",SAISIE!F29)</f>
        <v/>
      </c>
      <c r="F318" s="70" t="str">
        <f>IF(SAISIE!$J29="","",IF(SAISIE!$N29="","",SAISIE!$N29))</f>
        <v/>
      </c>
      <c r="G318" s="63" t="str">
        <f>IF(SAISIE!J29="","",SAISIE!J29)</f>
        <v/>
      </c>
      <c r="H318" s="63"/>
      <c r="I318" s="72"/>
      <c r="J318" s="71"/>
      <c r="O318" s="73"/>
    </row>
    <row r="319" spans="1:15" x14ac:dyDescent="0.25">
      <c r="A319" s="63" t="str">
        <f>IF(AND(G319="",H319=""),"SUPPR",SAISIE!$B$3)</f>
        <v>SUPPR</v>
      </c>
      <c r="B319" s="63" t="str">
        <f>IF(SAISIE!K29="","",IF(LEN(SAISIE!B29)=1,CONCATENATE("0",SAISIE!B29,"/",SAISIE!$B$4,"/",SAISIE!$B$5),CONCATENATE(SAISIE!B29,"/",SAISIE!$B$4,"/",SAISIE!$B$5)))</f>
        <v/>
      </c>
      <c r="C319" s="63" t="str">
        <f>IF(SAISIE!K29="","",SAISIE!$K$8)</f>
        <v/>
      </c>
      <c r="D319" s="63" t="str">
        <f>IF(SAISIE!K29="","",SAISIE!E29)</f>
        <v/>
      </c>
      <c r="E319" s="63" t="str">
        <f>IF(SAISIE!K29="","",SAISIE!F29)</f>
        <v/>
      </c>
      <c r="F319" s="70" t="str">
        <f>IF(SAISIE!$K29="","",IF(SAISIE!$N29="","",SAISIE!$N29))</f>
        <v/>
      </c>
      <c r="G319" s="63" t="str">
        <f>IF(SAISIE!K29="","",SAISIE!K29)</f>
        <v/>
      </c>
      <c r="H319" s="63"/>
      <c r="I319" s="72"/>
      <c r="J319" s="71"/>
    </row>
    <row r="320" spans="1:15" x14ac:dyDescent="0.25">
      <c r="A320" s="63" t="str">
        <f>IF(AND(G320="",H320=""),"SUPPR",SAISIE!$B$3)</f>
        <v>SUPPR</v>
      </c>
      <c r="B320" s="63" t="str">
        <f>IF(SAISIE!L29="","",IF(LEN(SAISIE!B29)=1,CONCATENATE("0",SAISIE!B29,"/",SAISIE!$B$4,"/",SAISIE!$B$5),CONCATENATE(SAISIE!B29,"/",SAISIE!$B$4,"/",SAISIE!$B$5)))</f>
        <v/>
      </c>
      <c r="C320" s="63" t="str">
        <f>IF(SAISIE!L29="","",SAISIE!$L$8)</f>
        <v/>
      </c>
      <c r="D320" s="63" t="str">
        <f>IF(SAISIE!L29="","",SAISIE!E29)</f>
        <v/>
      </c>
      <c r="E320" s="63" t="str">
        <f>IF(SAISIE!L29="","",SAISIE!F29)</f>
        <v/>
      </c>
      <c r="F320" s="70" t="str">
        <f>IF(SAISIE!$L29="","",IF(SAISIE!$N29="","",SAISIE!$N29))</f>
        <v/>
      </c>
      <c r="G320" s="63" t="str">
        <f>IF(SAISIE!L29="","",SAISIE!L29)</f>
        <v/>
      </c>
      <c r="H320" s="63"/>
      <c r="I320" s="72"/>
      <c r="J320" s="71"/>
    </row>
    <row r="321" spans="1:15" x14ac:dyDescent="0.25">
      <c r="A321" s="63" t="str">
        <f>IF(AND(G321="",H321=""),"SUPPR",SAISIE!$B$3)</f>
        <v>SUPPR</v>
      </c>
      <c r="B321" s="63" t="str">
        <f>IF(SAISIE!M29="","",IF(LEN(SAISIE!B29)=1,CONCATENATE("0",SAISIE!B29,"/",SAISIE!$B$4,"/",SAISIE!$B$5),CONCATENATE(SAISIE!B29,"/",SAISIE!$B$4,"/",SAISIE!$B$5)))</f>
        <v/>
      </c>
      <c r="C321" s="74" t="str">
        <f>IF(SAISIE!M29="","",SAISIE!$M$8)</f>
        <v/>
      </c>
      <c r="D321" s="74" t="str">
        <f>IF(SAISIE!M29="","",SAISIE!E29)</f>
        <v/>
      </c>
      <c r="E321" s="74" t="str">
        <f>IF(SAISIE!M29="","",SAISIE!F29)</f>
        <v/>
      </c>
      <c r="F321" s="75" t="str">
        <f>IF(SAISIE!$M29="","",IF(SAISIE!$N29="","",SAISIE!$N29))</f>
        <v/>
      </c>
      <c r="G321" s="74" t="str">
        <f>IF(SAISIE!M29="","",SAISIE!M29)</f>
        <v/>
      </c>
      <c r="H321" s="76"/>
      <c r="I321" s="77"/>
      <c r="J321" s="78"/>
    </row>
    <row r="322" spans="1:15" x14ac:dyDescent="0.25">
      <c r="A322" s="63" t="str">
        <f>IF(AND(G322="",H322=""),"SUPPR",SAISIE!$B$3)</f>
        <v>SUPPR</v>
      </c>
      <c r="B322" s="64" t="str">
        <f>IF(SAISIE!B30="","",IF(LEN(SAISIE!B30)=1,CONCATENATE("0",SAISIE!B30,"/",SAISIE!$B$4,"/",SAISIE!$B$5),CONCATENATE(SAISIE!B30,"/",SAISIE!$B$4,"/",SAISIE!$B$5)))</f>
        <v/>
      </c>
      <c r="C322" s="64" t="str">
        <f>IF(SAISIE!B30="","",CONCATENATE($M$2,SAISIE!C30))</f>
        <v/>
      </c>
      <c r="D322" s="64" t="str">
        <f>IF(SAISIE!B30="","",SAISIE!E30)</f>
        <v/>
      </c>
      <c r="E322" s="64" t="str">
        <f>IF(SAISIE!B30="","",SAISIE!F30)</f>
        <v/>
      </c>
      <c r="F322" s="65" t="str">
        <f>IF(A322="SUPPR","",IF(SAISIE!$N30="","",SAISIE!$N30))</f>
        <v/>
      </c>
      <c r="G322" s="64"/>
      <c r="H322" s="64" t="str">
        <f>IF(SAISIE!B30="","",SAISIE!D30)</f>
        <v/>
      </c>
      <c r="I322" s="66"/>
      <c r="J322" s="67" t="str">
        <f>IF(AZ30="","","")</f>
        <v/>
      </c>
      <c r="O322" s="69">
        <f>O306+1</f>
        <v>30</v>
      </c>
    </row>
    <row r="323" spans="1:15" x14ac:dyDescent="0.25">
      <c r="A323" s="63" t="str">
        <f>IF(AND(G323="",H323=""),"SUPPR",SAISIE!$B$3)</f>
        <v>SUPPR</v>
      </c>
      <c r="B323" s="63" t="str">
        <f>IF(SAISIE!P30="","",IF(LEN(SAISIE!B30)=1,CONCATENATE("0",SAISIE!B30,"/",SAISIE!$B$4,"/",SAISIE!$B$5),CONCATENATE(SAISIE!B30,"/",SAISIE!$B$4,"/",SAISIE!$B$5)))</f>
        <v/>
      </c>
      <c r="C323" s="63" t="str">
        <f>IF(SAISIE!P30="","",SAISIE!O30)</f>
        <v/>
      </c>
      <c r="D323" s="63" t="str">
        <f>IF(SAISIE!P30="","",SAISIE!E30)</f>
        <v/>
      </c>
      <c r="E323" s="63" t="str">
        <f>IF(SAISIE!P30="","",SAISIE!F30)</f>
        <v/>
      </c>
      <c r="F323" s="70" t="str">
        <f>IF(SAISIE!$P30="","",IF(SAISIE!$N30="","",SAISIE!$N30))</f>
        <v/>
      </c>
      <c r="G323" s="63" t="str">
        <f>IF(SAISIE!P30="","",SAISIE!P30)</f>
        <v/>
      </c>
      <c r="H323" s="63"/>
      <c r="I323" s="63" t="str">
        <f>IF(SAISIE!$P30="","",SAISIE!$Q30)</f>
        <v/>
      </c>
      <c r="J323" s="71" t="str">
        <f>IF(COUNTBLANK(SAISIE!$J$6:$M$6)=4,"",IF(SAISIE!P30="","",IF(SAISIE!J30&gt;0,SAISIE!$J$6,IF(SAISIE!K30&gt;0,SAISIE!$K$6,IF(SAISIE!L30&gt;0,SAISIE!$L$6,IF(SAISIE!M30&gt;0,SAISIE!$M$6,""))))))</f>
        <v/>
      </c>
      <c r="O323" s="59" t="s">
        <v>50</v>
      </c>
    </row>
    <row r="324" spans="1:15" x14ac:dyDescent="0.25">
      <c r="A324" s="63" t="str">
        <f>IF(AND(G324="",H324=""),"SUPPR",SAISIE!$B$3)</f>
        <v>SUPPR</v>
      </c>
      <c r="B324" s="63" t="str">
        <f>IF(SAISIE!G30="","",IF(LEN(SAISIE!B30)=1,CONCATENATE("0",SAISIE!B30,"/",SAISIE!$B$4,"/",SAISIE!$B$5),CONCATENATE(SAISIE!B30,"/",SAISIE!$B$4,"/",SAISIE!$B$5)))</f>
        <v/>
      </c>
      <c r="C324" s="63" t="str">
        <f>IF(SAISIE!G30="","",SAISIE!$G$8)</f>
        <v/>
      </c>
      <c r="D324" s="63" t="str">
        <f>IF(SAISIE!G30="","",SAISIE!E30)</f>
        <v/>
      </c>
      <c r="E324" s="63" t="str">
        <f>IF(SAISIE!G30="","",SAISIE!F30)</f>
        <v/>
      </c>
      <c r="F324" s="70" t="str">
        <f>IF(SAISIE!$G30="","",IF(SAISIE!$N30="","",SAISIE!$N30))</f>
        <v/>
      </c>
      <c r="G324" s="63" t="str">
        <f>IF(SAISIE!G30="","",SAISIE!G30)</f>
        <v/>
      </c>
      <c r="H324" s="63"/>
      <c r="I324" s="63" t="str">
        <f>IF(SAISIE!$G30="","",SAISIE!$Q30)</f>
        <v/>
      </c>
      <c r="J324" s="71" t="str">
        <f>IF(COUNTBLANK(SAISIE!$J$6:$M$6)=4,"",IF(SAISIE!G30="","",IF(SAISIE!J30&gt;0,SAISIE!$J$6,IF(SAISIE!K30&gt;0,SAISIE!$K$6,IF(SAISIE!L30&gt;0,SAISIE!$L$6,IF(SAISIE!M30&gt;0,SAISIE!$M$6,""))))))</f>
        <v/>
      </c>
      <c r="O324" s="59" t="s">
        <v>51</v>
      </c>
    </row>
    <row r="325" spans="1:15" x14ac:dyDescent="0.25">
      <c r="A325" s="63" t="str">
        <f>IF(AND(G325="",H325=""),"SUPPR",SAISIE!$B$3)</f>
        <v>SUPPR</v>
      </c>
      <c r="B325" s="63" t="str">
        <f>IF(SAISIE!H30="","",IF(LEN(SAISIE!B30)=1,CONCATENATE("0",SAISIE!B30,"/",SAISIE!$B$4,"/",SAISIE!$B$5),CONCATENATE(SAISIE!B30,"/",SAISIE!$B$4,"/",SAISIE!$B$5)))</f>
        <v/>
      </c>
      <c r="C325" s="63" t="str">
        <f>IF(SAISIE!H30="","",SAISIE!$H$8)</f>
        <v/>
      </c>
      <c r="D325" s="63" t="str">
        <f>IF(SAISIE!H30="","",SAISIE!E30)</f>
        <v/>
      </c>
      <c r="E325" s="63" t="str">
        <f>IF(SAISIE!H30="","",SAISIE!F30)</f>
        <v/>
      </c>
      <c r="F325" s="70" t="str">
        <f>IF(SAISIE!$H30="","",IF(SAISIE!$N30="","",SAISIE!$N30))</f>
        <v/>
      </c>
      <c r="G325" s="63" t="str">
        <f>IF(SAISIE!H30="","",SAISIE!H30)</f>
        <v/>
      </c>
      <c r="H325" s="63"/>
      <c r="I325" s="63" t="str">
        <f>IF(SAISIE!$H30="","",SAISIE!$Q30)</f>
        <v/>
      </c>
      <c r="J325" s="71" t="str">
        <f>IF(COUNTBLANK(SAISIE!$J$6:$M$6)=4,"",IF(SAISIE!H30="","",IF(SAISIE!J30&gt;0,SAISIE!$J$6,IF(SAISIE!K30&gt;0,SAISIE!$K$6,IF(SAISIE!L30&gt;0,SAISIE!$L$6,IF(SAISIE!M30&gt;0,SAISIE!$M$6,""))))))</f>
        <v/>
      </c>
      <c r="O325" s="59" t="s">
        <v>52</v>
      </c>
    </row>
    <row r="326" spans="1:15" x14ac:dyDescent="0.25">
      <c r="A326" s="63" t="str">
        <f>IF(AND(G326="",H326=""),"SUPPR",SAISIE!$B$3)</f>
        <v>SUPPR</v>
      </c>
      <c r="B326" s="63" t="str">
        <f>IF(SAISIE!I30="","",IF(LEN(SAISIE!B30)=1,CONCATENATE("0",SAISIE!B30,"/",SAISIE!$B$4,"/",SAISIE!$B$5),CONCATENATE(SAISIE!B30,"/",SAISIE!$B$4,"/",SAISIE!$B$5)))</f>
        <v/>
      </c>
      <c r="C326" s="63" t="str">
        <f>IF(SAISIE!I30="","",SAISIE!$I$8)</f>
        <v/>
      </c>
      <c r="D326" s="63" t="str">
        <f>IF(SAISIE!I30="","",SAISIE!E30)</f>
        <v/>
      </c>
      <c r="E326" s="63" t="str">
        <f>IF(SAISIE!I30="","",SAISIE!F30)</f>
        <v/>
      </c>
      <c r="F326" s="70" t="str">
        <f>IF(SAISIE!$I30="","",IF(SAISIE!$N30="","",SAISIE!$N30))</f>
        <v/>
      </c>
      <c r="G326" s="63" t="str">
        <f>IF(SAISIE!I30="","",SAISIE!I30)</f>
        <v/>
      </c>
      <c r="H326" s="63"/>
      <c r="I326" s="63" t="str">
        <f>IF(SAISIE!$I30="","",SAISIE!$Q30)</f>
        <v/>
      </c>
      <c r="J326" s="71" t="str">
        <f>IF(COUNTBLANK(SAISIE!$J$6:$M$6)=4,"",IF(SAISIE!I30="","",IF(SAISIE!J30&gt;0,SAISIE!$J$6,IF(SAISIE!K30&gt;0,SAISIE!$K$6,IF(SAISIE!L30&gt;0,SAISIE!$L$6,IF(SAISIE!M30&gt;0,SAISIE!$M$6,""))))))</f>
        <v/>
      </c>
      <c r="O326" s="59" t="s">
        <v>53</v>
      </c>
    </row>
    <row r="327" spans="1:15" x14ac:dyDescent="0.25">
      <c r="A327" s="63" t="e">
        <f>IF(AND(G327="",H327=""),"SUPPR",SAISIE!$B$3)</f>
        <v>#REF!</v>
      </c>
      <c r="B327" s="63" t="e">
        <f>IF(SAISIE!#REF!="","",IF(LEN(SAISIE!B30)=1,CONCATENATE("0",SAISIE!B30,"/",SAISIE!$B$4,"/",SAISIE!$B$5),CONCATENATE(SAISIE!B30,"/",SAISIE!$B$4,"/",SAISIE!$B$5)))</f>
        <v>#REF!</v>
      </c>
      <c r="C327" s="63" t="e">
        <f>IF(SAISIE!#REF!="","",SAISIE!#REF!)</f>
        <v>#REF!</v>
      </c>
      <c r="D327" s="63" t="e">
        <f>IF(SAISIE!#REF!="","",SAISIE!E30)</f>
        <v>#REF!</v>
      </c>
      <c r="E327" s="63" t="e">
        <f>IF(SAISIE!#REF!="","",SAISIE!F30)</f>
        <v>#REF!</v>
      </c>
      <c r="F327" s="70" t="e">
        <f>IF(SAISIE!#REF!="","",IF(SAISIE!$N30="","",SAISIE!$N30))</f>
        <v>#REF!</v>
      </c>
      <c r="G327" s="63" t="e">
        <f>IF(SAISIE!#REF!="","",SAISIE!#REF!)</f>
        <v>#REF!</v>
      </c>
      <c r="H327" s="63"/>
      <c r="I327" s="63" t="e">
        <f>IF(SAISIE!#REF!="","",SAISIE!$Q30)</f>
        <v>#REF!</v>
      </c>
      <c r="J327" s="71" t="str">
        <f>IF(COUNTBLANK(SAISIE!$J$6:$M$6)=4,"",IF(SAISIE!#REF!="","",IF(SAISIE!J30&gt;0,SAISIE!$J$6,IF(SAISIE!K30&gt;0,SAISIE!$K$6,IF(SAISIE!L30&gt;0,SAISIE!$L$6,IF(SAISIE!M30&gt;0,SAISIE!$M$6,""))))))</f>
        <v/>
      </c>
      <c r="O327" s="59" t="s">
        <v>54</v>
      </c>
    </row>
    <row r="328" spans="1:15" x14ac:dyDescent="0.25">
      <c r="A328" s="63" t="e">
        <f>IF(AND(G328="",H328=""),"SUPPR",SAISIE!$B$3)</f>
        <v>#REF!</v>
      </c>
      <c r="B328" s="63" t="e">
        <f>IF(SAISIE!#REF!="","",IF(LEN(SAISIE!B30)=1,CONCATENATE("0",SAISIE!B30,"/",SAISIE!$B$4,"/",SAISIE!$B$5),CONCATENATE(SAISIE!B30,"/",SAISIE!$B$4,"/",SAISIE!$B$5)))</f>
        <v>#REF!</v>
      </c>
      <c r="C328" s="63" t="e">
        <f>IF(SAISIE!#REF!="","",SAISIE!#REF!)</f>
        <v>#REF!</v>
      </c>
      <c r="D328" s="63" t="e">
        <f>IF(SAISIE!#REF!="","",SAISIE!E30)</f>
        <v>#REF!</v>
      </c>
      <c r="E328" s="63" t="e">
        <f>IF(SAISIE!#REF!="","",SAISIE!F30)</f>
        <v>#REF!</v>
      </c>
      <c r="F328" s="70" t="e">
        <f>IF(SAISIE!#REF!="","",IF(SAISIE!$N30="","",SAISIE!$N30))</f>
        <v>#REF!</v>
      </c>
      <c r="G328" s="63" t="e">
        <f>IF(SAISIE!#REF!="","",SAISIE!#REF!)</f>
        <v>#REF!</v>
      </c>
      <c r="H328" s="63"/>
      <c r="I328" s="63" t="e">
        <f>IF(SAISIE!#REF!="","",SAISIE!$Q30)</f>
        <v>#REF!</v>
      </c>
      <c r="J328" s="71" t="str">
        <f>IF(COUNTBLANK(SAISIE!$J$6:$M$6)=4,"",IF(SAISIE!#REF!="","",IF(SAISIE!J30&gt;0,SAISIE!$J$6,IF(SAISIE!K30&gt;0,SAISIE!$K$6,IF(SAISIE!L30&gt;0,SAISIE!$L$6,IF(SAISIE!M30&gt;0,SAISIE!$M$6,""))))))</f>
        <v/>
      </c>
      <c r="O328" s="59" t="s">
        <v>55</v>
      </c>
    </row>
    <row r="329" spans="1:15" x14ac:dyDescent="0.25">
      <c r="A329" s="63" t="e">
        <f>IF(AND(G329="",H329=""),"SUPPR",SAISIE!$B$3)</f>
        <v>#REF!</v>
      </c>
      <c r="B329" s="63" t="e">
        <f>IF(SAISIE!#REF!="","",IF(LEN(SAISIE!B30)=1,CONCATENATE("0",SAISIE!B30,"/",SAISIE!$B$4,"/",SAISIE!$B$5),CONCATENATE(SAISIE!B30,"/",SAISIE!$B$4,"/",SAISIE!$B$5)))</f>
        <v>#REF!</v>
      </c>
      <c r="C329" s="63" t="e">
        <f>IF(SAISIE!#REF!="","",SAISIE!#REF!)</f>
        <v>#REF!</v>
      </c>
      <c r="D329" s="63" t="e">
        <f>IF(SAISIE!#REF!="","",SAISIE!E30)</f>
        <v>#REF!</v>
      </c>
      <c r="E329" s="63" t="e">
        <f>IF(SAISIE!#REF!="","",SAISIE!F30)</f>
        <v>#REF!</v>
      </c>
      <c r="F329" s="70" t="e">
        <f>IF(SAISIE!#REF!="","",IF(SAISIE!$N30="","",SAISIE!$N30))</f>
        <v>#REF!</v>
      </c>
      <c r="G329" s="63" t="e">
        <f>IF(SAISIE!#REF!="","",SAISIE!#REF!)</f>
        <v>#REF!</v>
      </c>
      <c r="H329" s="63"/>
      <c r="I329" s="63" t="e">
        <f>IF(SAISIE!#REF!="","",SAISIE!$Q30)</f>
        <v>#REF!</v>
      </c>
      <c r="J329" s="71" t="str">
        <f>IF(COUNTBLANK(SAISIE!$J$6:$M$6)=4,"",IF(SAISIE!#REF!="","",IF(SAISIE!J30&gt;0,SAISIE!$J$6,IF(SAISIE!K30&gt;0,SAISIE!$K$6,IF(SAISIE!L30&gt;0,SAISIE!$L$6,IF(SAISIE!M30&gt;0,SAISIE!$M$6,""))))))</f>
        <v/>
      </c>
      <c r="O329" s="59" t="s">
        <v>56</v>
      </c>
    </row>
    <row r="330" spans="1:15" x14ac:dyDescent="0.25">
      <c r="A330" s="63" t="e">
        <f>IF(AND(G330="",H330=""),"SUPPR",SAISIE!$B$3)</f>
        <v>#REF!</v>
      </c>
      <c r="B330" s="63" t="e">
        <f>IF(SAISIE!#REF!="","",IF(LEN(SAISIE!B30)=1,CONCATENATE("0",SAISIE!B30,"/",SAISIE!$B$4,"/",SAISIE!$B$5),CONCATENATE(SAISIE!B30,"/",SAISIE!$B$4,"/",SAISIE!$B$5)))</f>
        <v>#REF!</v>
      </c>
      <c r="C330" s="63" t="e">
        <f>IF(SAISIE!#REF!="","",SAISIE!#REF!)</f>
        <v>#REF!</v>
      </c>
      <c r="D330" s="63" t="e">
        <f>IF(SAISIE!#REF!="","",SAISIE!E30)</f>
        <v>#REF!</v>
      </c>
      <c r="E330" s="63" t="e">
        <f>IF(SAISIE!#REF!="","",SAISIE!F30)</f>
        <v>#REF!</v>
      </c>
      <c r="F330" s="70" t="e">
        <f>IF(SAISIE!#REF!="","",IF(SAISIE!$N30="","",SAISIE!$N30))</f>
        <v>#REF!</v>
      </c>
      <c r="G330" s="63" t="e">
        <f>IF(SAISIE!#REF!="","",SAISIE!#REF!)</f>
        <v>#REF!</v>
      </c>
      <c r="H330" s="63"/>
      <c r="I330" s="63" t="e">
        <f>IF(SAISIE!#REF!="","",SAISIE!$Q30)</f>
        <v>#REF!</v>
      </c>
      <c r="J330" s="71" t="str">
        <f>IF(COUNTBLANK(SAISIE!$J$6:$M$6)=4,"",IF(SAISIE!#REF!="","",IF(SAISIE!J30&gt;0,SAISIE!$J$6,IF(SAISIE!K30&gt;0,SAISIE!$K$6,IF(SAISIE!L30&gt;0,SAISIE!$L$6,IF(SAISIE!M30&gt;0,SAISIE!$M$6,""))))))</f>
        <v/>
      </c>
      <c r="O330" s="59" t="s">
        <v>57</v>
      </c>
    </row>
    <row r="331" spans="1:15" x14ac:dyDescent="0.25">
      <c r="A331" s="63" t="e">
        <f>IF(AND(G331="",H331=""),"SUPPR",SAISIE!$B$3)</f>
        <v>#REF!</v>
      </c>
      <c r="B331" s="63" t="e">
        <f>IF(SAISIE!#REF!="","",IF(LEN(SAISIE!B30)=1,CONCATENATE("0",SAISIE!B30,"/",SAISIE!$B$4,"/",SAISIE!$B$5),CONCATENATE(SAISIE!B30,"/",SAISIE!$B$4,"/",SAISIE!$B$5)))</f>
        <v>#REF!</v>
      </c>
      <c r="C331" s="63" t="e">
        <f>IF(SAISIE!#REF!="","",SAISIE!#REF!)</f>
        <v>#REF!</v>
      </c>
      <c r="D331" s="63" t="e">
        <f>IF(SAISIE!#REF!="","",SAISIE!E30)</f>
        <v>#REF!</v>
      </c>
      <c r="E331" s="63" t="e">
        <f>IF(SAISIE!#REF!="","",SAISIE!F30)</f>
        <v>#REF!</v>
      </c>
      <c r="F331" s="70" t="e">
        <f>IF(SAISIE!#REF!="","",IF(SAISIE!$N30="","",SAISIE!$N30))</f>
        <v>#REF!</v>
      </c>
      <c r="G331" s="63" t="e">
        <f>IF(SAISIE!#REF!="","",SAISIE!#REF!)</f>
        <v>#REF!</v>
      </c>
      <c r="H331" s="63"/>
      <c r="I331" s="63" t="e">
        <f>IF(SAISIE!#REF!="","",SAISIE!$Q30)</f>
        <v>#REF!</v>
      </c>
      <c r="J331" s="71" t="str">
        <f>IF(COUNTBLANK(SAISIE!$J$6:$M$6)=4,"",IF(SAISIE!#REF!="","",IF(SAISIE!J30&gt;0,SAISIE!$J$6,IF(SAISIE!K30&gt;0,SAISIE!$K$6,IF(SAISIE!L30&gt;0,SAISIE!$L$6,IF(SAISIE!M30&gt;0,SAISIE!$M$6,""))))))</f>
        <v/>
      </c>
      <c r="O331" s="59" t="s">
        <v>58</v>
      </c>
    </row>
    <row r="332" spans="1:15" x14ac:dyDescent="0.25">
      <c r="A332" s="63" t="e">
        <f>IF(AND(G332="",H332=""),"SUPPR",SAISIE!$B$3)</f>
        <v>#REF!</v>
      </c>
      <c r="B332" s="63" t="e">
        <f>IF(SAISIE!#REF!="","",IF(LEN(SAISIE!B30)=1,CONCATENATE("0",SAISIE!B30,"/",SAISIE!$B$4,"/",SAISIE!$B$5),CONCATENATE(SAISIE!B30,"/",SAISIE!$B$4,"/",SAISIE!$B$5)))</f>
        <v>#REF!</v>
      </c>
      <c r="C332" s="63" t="e">
        <f>IF(SAISIE!#REF!="","",SAISIE!#REF!)</f>
        <v>#REF!</v>
      </c>
      <c r="D332" s="63" t="e">
        <f>IF(SAISIE!#REF!="","",SAISIE!E30)</f>
        <v>#REF!</v>
      </c>
      <c r="E332" s="63" t="e">
        <f>IF(SAISIE!#REF!="","",SAISIE!F30)</f>
        <v>#REF!</v>
      </c>
      <c r="F332" s="70" t="e">
        <f>IF(SAISIE!#REF!="","",IF(SAISIE!$N30="","",SAISIE!$N30))</f>
        <v>#REF!</v>
      </c>
      <c r="G332" s="63" t="e">
        <f>IF(SAISIE!#REF!="","",SAISIE!#REF!)</f>
        <v>#REF!</v>
      </c>
      <c r="H332" s="63"/>
      <c r="I332" s="63" t="e">
        <f>IF(SAISIE!#REF!="","",SAISIE!$Q30)</f>
        <v>#REF!</v>
      </c>
      <c r="J332" s="71" t="str">
        <f>IF(COUNTBLANK(SAISIE!$J$6:$M$6)=4,"",IF(SAISIE!#REF!="","",IF(SAISIE!J30&gt;0,SAISIE!$J$6,IF(SAISIE!K30&gt;0,SAISIE!$K$6,IF(SAISIE!L30&gt;0,SAISIE!$L$6,IF(SAISIE!M30&gt;0,SAISIE!$M$6,""))))))</f>
        <v/>
      </c>
      <c r="O332" s="59" t="s">
        <v>59</v>
      </c>
    </row>
    <row r="333" spans="1:15" x14ac:dyDescent="0.25">
      <c r="A333" s="63" t="e">
        <f>IF(AND(G333="",H333=""),"SUPPR",SAISIE!$B$3)</f>
        <v>#REF!</v>
      </c>
      <c r="B333" s="63" t="e">
        <f>IF(SAISIE!#REF!="","",IF(LEN(SAISIE!B30)=1,CONCATENATE("0",SAISIE!B30,"/",SAISIE!$B$4,"/",SAISIE!$B$5),CONCATENATE(SAISIE!B30,"/",SAISIE!$B$4,"/",SAISIE!$B$5)))</f>
        <v>#REF!</v>
      </c>
      <c r="C333" s="63" t="e">
        <f>IF(SAISIE!#REF!="","",SAISIE!#REF!)</f>
        <v>#REF!</v>
      </c>
      <c r="D333" s="63" t="e">
        <f>IF(SAISIE!#REF!="","",SAISIE!E30)</f>
        <v>#REF!</v>
      </c>
      <c r="E333" s="63" t="e">
        <f>IF(SAISIE!#REF!="","",SAISIE!F30)</f>
        <v>#REF!</v>
      </c>
      <c r="F333" s="70" t="e">
        <f>IF(SAISIE!#REF!="","",IF(SAISIE!$N30="","",SAISIE!$N30))</f>
        <v>#REF!</v>
      </c>
      <c r="G333" s="63" t="e">
        <f>IF(SAISIE!#REF!="","",SAISIE!#REF!)</f>
        <v>#REF!</v>
      </c>
      <c r="H333" s="63"/>
      <c r="I333" s="63" t="e">
        <f>IF(SAISIE!#REF!="","",SAISIE!$Q30)</f>
        <v>#REF!</v>
      </c>
      <c r="J333" s="71" t="str">
        <f>IF(COUNTBLANK(SAISIE!$J$6:$M$6)=4,"",IF(SAISIE!#REF!="","",IF(SAISIE!J30&gt;0,SAISIE!$J$6,IF(SAISIE!K30&gt;0,SAISIE!$K$6,IF(SAISIE!L30&gt;0,SAISIE!$L$6,IF(SAISIE!M30&gt;0,SAISIE!$M$6,""))))))</f>
        <v/>
      </c>
      <c r="O333" s="59" t="s">
        <v>60</v>
      </c>
    </row>
    <row r="334" spans="1:15" x14ac:dyDescent="0.25">
      <c r="A334" s="63" t="str">
        <f>IF(AND(G334="",H334=""),"SUPPR",SAISIE!$B$3)</f>
        <v>SUPPR</v>
      </c>
      <c r="B334" s="63" t="str">
        <f>IF(SAISIE!J30="","",IF(LEN(SAISIE!B30)=1,CONCATENATE("0",SAISIE!B30,"/",SAISIE!$B$4,"/",SAISIE!$B$5),CONCATENATE(SAISIE!B30,"/",SAISIE!$B$4,"/",SAISIE!$B$5)))</f>
        <v/>
      </c>
      <c r="C334" s="63" t="str">
        <f>IF(SAISIE!J30="","",SAISIE!$J$8)</f>
        <v/>
      </c>
      <c r="D334" s="63" t="str">
        <f>IF(SAISIE!J30="","",SAISIE!E30)</f>
        <v/>
      </c>
      <c r="E334" s="63" t="str">
        <f>IF(SAISIE!J30="","",SAISIE!F30)</f>
        <v/>
      </c>
      <c r="F334" s="70" t="str">
        <f>IF(SAISIE!$J30="","",IF(SAISIE!$N30="","",SAISIE!$N30))</f>
        <v/>
      </c>
      <c r="G334" s="63" t="str">
        <f>IF(SAISIE!J30="","",SAISIE!J30)</f>
        <v/>
      </c>
      <c r="H334" s="63"/>
      <c r="I334" s="72"/>
      <c r="J334" s="71"/>
      <c r="O334" s="73"/>
    </row>
    <row r="335" spans="1:15" x14ac:dyDescent="0.25">
      <c r="A335" s="63" t="str">
        <f>IF(AND(G335="",H335=""),"SUPPR",SAISIE!$B$3)</f>
        <v>SUPPR</v>
      </c>
      <c r="B335" s="63" t="str">
        <f>IF(SAISIE!K30="","",IF(LEN(SAISIE!B30)=1,CONCATENATE("0",SAISIE!B30,"/",SAISIE!$B$4,"/",SAISIE!$B$5),CONCATENATE(SAISIE!B30,"/",SAISIE!$B$4,"/",SAISIE!$B$5)))</f>
        <v/>
      </c>
      <c r="C335" s="63" t="str">
        <f>IF(SAISIE!K30="","",SAISIE!$K$8)</f>
        <v/>
      </c>
      <c r="D335" s="63" t="str">
        <f>IF(SAISIE!K30="","",SAISIE!E30)</f>
        <v/>
      </c>
      <c r="E335" s="63" t="str">
        <f>IF(SAISIE!K30="","",SAISIE!F30)</f>
        <v/>
      </c>
      <c r="F335" s="70" t="str">
        <f>IF(SAISIE!$K30="","",IF(SAISIE!$N30="","",SAISIE!$N30))</f>
        <v/>
      </c>
      <c r="G335" s="63" t="str">
        <f>IF(SAISIE!K30="","",SAISIE!K30)</f>
        <v/>
      </c>
      <c r="H335" s="63"/>
      <c r="I335" s="72"/>
      <c r="J335" s="71"/>
    </row>
    <row r="336" spans="1:15" x14ac:dyDescent="0.25">
      <c r="A336" s="63" t="str">
        <f>IF(AND(G336="",H336=""),"SUPPR",SAISIE!$B$3)</f>
        <v>SUPPR</v>
      </c>
      <c r="B336" s="63" t="str">
        <f>IF(SAISIE!L30="","",IF(LEN(SAISIE!B30)=1,CONCATENATE("0",SAISIE!B30,"/",SAISIE!$B$4,"/",SAISIE!$B$5),CONCATENATE(SAISIE!B30,"/",SAISIE!$B$4,"/",SAISIE!$B$5)))</f>
        <v/>
      </c>
      <c r="C336" s="63" t="str">
        <f>IF(SAISIE!L30="","",SAISIE!$L$8)</f>
        <v/>
      </c>
      <c r="D336" s="63" t="str">
        <f>IF(SAISIE!L30="","",SAISIE!E30)</f>
        <v/>
      </c>
      <c r="E336" s="63" t="str">
        <f>IF(SAISIE!L30="","",SAISIE!F30)</f>
        <v/>
      </c>
      <c r="F336" s="70" t="str">
        <f>IF(SAISIE!$L30="","",IF(SAISIE!$N30="","",SAISIE!$N30))</f>
        <v/>
      </c>
      <c r="G336" s="63" t="str">
        <f>IF(SAISIE!L30="","",SAISIE!L30)</f>
        <v/>
      </c>
      <c r="H336" s="63"/>
      <c r="I336" s="72"/>
      <c r="J336" s="71"/>
    </row>
    <row r="337" spans="1:15" x14ac:dyDescent="0.25">
      <c r="A337" s="63" t="str">
        <f>IF(AND(G337="",H337=""),"SUPPR",SAISIE!$B$3)</f>
        <v>SUPPR</v>
      </c>
      <c r="B337" s="63" t="str">
        <f>IF(SAISIE!M30="","",IF(LEN(SAISIE!B30)=1,CONCATENATE("0",SAISIE!B30,"/",SAISIE!$B$4,"/",SAISIE!$B$5),CONCATENATE(SAISIE!B30,"/",SAISIE!$B$4,"/",SAISIE!$B$5)))</f>
        <v/>
      </c>
      <c r="C337" s="74" t="str">
        <f>IF(SAISIE!M30="","",SAISIE!$M$8)</f>
        <v/>
      </c>
      <c r="D337" s="74" t="str">
        <f>IF(SAISIE!M30="","",SAISIE!E30)</f>
        <v/>
      </c>
      <c r="E337" s="74" t="str">
        <f>IF(SAISIE!M30="","",SAISIE!F30)</f>
        <v/>
      </c>
      <c r="F337" s="75" t="str">
        <f>IF(SAISIE!$M30="","",IF(SAISIE!$N30="","",SAISIE!$N30))</f>
        <v/>
      </c>
      <c r="G337" s="74" t="str">
        <f>IF(SAISIE!M30="","",SAISIE!M30)</f>
        <v/>
      </c>
      <c r="H337" s="76"/>
      <c r="I337" s="77"/>
      <c r="J337" s="78"/>
    </row>
    <row r="338" spans="1:15" x14ac:dyDescent="0.25">
      <c r="A338" s="63" t="str">
        <f>IF(AND(G338="",H338=""),"SUPPR",SAISIE!$B$3)</f>
        <v>SUPPR</v>
      </c>
      <c r="B338" s="64" t="str">
        <f>IF(SAISIE!B31="","",IF(LEN(SAISIE!B31)=1,CONCATENATE("0",SAISIE!B31,"/",SAISIE!$B$4,"/",SAISIE!$B$5),CONCATENATE(SAISIE!B31,"/",SAISIE!$B$4,"/",SAISIE!$B$5)))</f>
        <v/>
      </c>
      <c r="C338" s="64" t="str">
        <f>IF(SAISIE!B31="","",CONCATENATE($M$2,SAISIE!C31))</f>
        <v/>
      </c>
      <c r="D338" s="64" t="str">
        <f>IF(SAISIE!B31="","",SAISIE!E31)</f>
        <v/>
      </c>
      <c r="E338" s="64" t="str">
        <f>IF(SAISIE!B31="","",SAISIE!F31)</f>
        <v/>
      </c>
      <c r="F338" s="65" t="str">
        <f>IF(A338="SUPPR","",IF(SAISIE!N31="","",SAISIE!N31))</f>
        <v/>
      </c>
      <c r="G338" s="64"/>
      <c r="H338" s="64" t="str">
        <f>IF(SAISIE!B31="","",SAISIE!D31)</f>
        <v/>
      </c>
      <c r="I338" s="66"/>
      <c r="J338" s="67" t="str">
        <f>IF(AZ31="","","")</f>
        <v/>
      </c>
      <c r="O338" s="69">
        <f>O322+1</f>
        <v>31</v>
      </c>
    </row>
    <row r="339" spans="1:15" x14ac:dyDescent="0.25">
      <c r="A339" s="63" t="str">
        <f>IF(AND(G339="",H339=""),"SUPPR",SAISIE!$B$3)</f>
        <v>SUPPR</v>
      </c>
      <c r="B339" s="63" t="str">
        <f>IF(SAISIE!P31="","",IF(LEN(SAISIE!B31)=1,CONCATENATE("0",SAISIE!B31,"/",SAISIE!$B$4,"/",SAISIE!$B$5),CONCATENATE(SAISIE!B31,"/",SAISIE!$B$4,"/",SAISIE!$B$5)))</f>
        <v/>
      </c>
      <c r="C339" s="63" t="str">
        <f>IF(SAISIE!P31="","",SAISIE!O31)</f>
        <v/>
      </c>
      <c r="D339" s="63" t="str">
        <f>IF(SAISIE!P31="","",SAISIE!E31)</f>
        <v/>
      </c>
      <c r="E339" s="63" t="str">
        <f>IF(SAISIE!P31="","",SAISIE!F31)</f>
        <v/>
      </c>
      <c r="F339" s="70" t="str">
        <f>IF(SAISIE!$P31="","",IF(SAISIE!$N31="","",SAISIE!$N31))</f>
        <v/>
      </c>
      <c r="G339" s="63" t="str">
        <f>IF(SAISIE!P31="","",SAISIE!P31)</f>
        <v/>
      </c>
      <c r="H339" s="63"/>
      <c r="I339" s="63" t="str">
        <f>IF(SAISIE!$P31="","",SAISIE!$Q31)</f>
        <v/>
      </c>
      <c r="J339" s="71" t="str">
        <f>IF(COUNTBLANK(SAISIE!$J$6:$M$6)=4,"",IF(SAISIE!P31="","",IF(SAISIE!J31&gt;0,SAISIE!$J$6,IF(SAISIE!K31&gt;0,SAISIE!$K$6,IF(SAISIE!L31&gt;0,SAISIE!$L$6,IF(SAISIE!M31&gt;0,SAISIE!$M$6,""))))))</f>
        <v/>
      </c>
      <c r="O339" s="59" t="s">
        <v>50</v>
      </c>
    </row>
    <row r="340" spans="1:15" x14ac:dyDescent="0.25">
      <c r="A340" s="63" t="str">
        <f>IF(AND(G340="",H340=""),"SUPPR",SAISIE!$B$3)</f>
        <v>SUPPR</v>
      </c>
      <c r="B340" s="63" t="str">
        <f>IF(SAISIE!G31="","",IF(LEN(SAISIE!B31)=1,CONCATENATE("0",SAISIE!B31,"/",SAISIE!$B$4,"/",SAISIE!$B$5),CONCATENATE(SAISIE!B31,"/",SAISIE!$B$4,"/",SAISIE!$B$5)))</f>
        <v/>
      </c>
      <c r="C340" s="63" t="str">
        <f>IF(SAISIE!G31="","",SAISIE!$G$8)</f>
        <v/>
      </c>
      <c r="D340" s="63" t="str">
        <f>IF(SAISIE!G31="","",SAISIE!E31)</f>
        <v/>
      </c>
      <c r="E340" s="63" t="str">
        <f>IF(SAISIE!G31="","",SAISIE!F31)</f>
        <v/>
      </c>
      <c r="F340" s="70" t="str">
        <f>IF(SAISIE!$G31="","",IF(SAISIE!$N31="","",SAISIE!$N31))</f>
        <v/>
      </c>
      <c r="G340" s="63" t="str">
        <f>IF(SAISIE!G31="","",SAISIE!G31)</f>
        <v/>
      </c>
      <c r="H340" s="63"/>
      <c r="I340" s="63" t="str">
        <f>IF(SAISIE!$G31="","",SAISIE!$Q31)</f>
        <v/>
      </c>
      <c r="J340" s="71" t="str">
        <f>IF(COUNTBLANK(SAISIE!$J$6:$M$6)=4,"",IF(SAISIE!G31="","",IF(SAISIE!J31&gt;0,SAISIE!$J$6,IF(SAISIE!K31&gt;0,SAISIE!$K$6,IF(SAISIE!L31&gt;0,SAISIE!$L$6,IF(SAISIE!M31&gt;0,SAISIE!$M$6,""))))))</f>
        <v/>
      </c>
      <c r="O340" s="59" t="s">
        <v>51</v>
      </c>
    </row>
    <row r="341" spans="1:15" x14ac:dyDescent="0.25">
      <c r="A341" s="63" t="str">
        <f>IF(AND(G341="",H341=""),"SUPPR",SAISIE!$B$3)</f>
        <v>SUPPR</v>
      </c>
      <c r="B341" s="63" t="str">
        <f>IF(SAISIE!H31="","",IF(LEN(SAISIE!B31)=1,CONCATENATE("0",SAISIE!B31,"/",SAISIE!$B$4,"/",SAISIE!$B$5),CONCATENATE(SAISIE!B31,"/",SAISIE!$B$4,"/",SAISIE!$B$5)))</f>
        <v/>
      </c>
      <c r="C341" s="63" t="str">
        <f>IF(SAISIE!H31="","",SAISIE!$H$8)</f>
        <v/>
      </c>
      <c r="D341" s="63" t="str">
        <f>IF(SAISIE!H31="","",SAISIE!E31)</f>
        <v/>
      </c>
      <c r="E341" s="63" t="str">
        <f>IF(SAISIE!H31="","",SAISIE!F31)</f>
        <v/>
      </c>
      <c r="F341" s="70" t="str">
        <f>IF(SAISIE!$H31="","",IF(SAISIE!$N31="","",SAISIE!$N31))</f>
        <v/>
      </c>
      <c r="G341" s="63" t="str">
        <f>IF(SAISIE!H31="","",SAISIE!H31)</f>
        <v/>
      </c>
      <c r="H341" s="63"/>
      <c r="I341" s="63" t="str">
        <f>IF(SAISIE!$H31="","",SAISIE!$Q31)</f>
        <v/>
      </c>
      <c r="J341" s="71" t="str">
        <f>IF(COUNTBLANK(SAISIE!$J$6:$M$6)=4,"",IF(SAISIE!H31="","",IF(SAISIE!J31&gt;0,SAISIE!$J$6,IF(SAISIE!K31&gt;0,SAISIE!$K$6,IF(SAISIE!L31&gt;0,SAISIE!$L$6,IF(SAISIE!M31&gt;0,SAISIE!$M$6,""))))))</f>
        <v/>
      </c>
      <c r="O341" s="59" t="s">
        <v>52</v>
      </c>
    </row>
    <row r="342" spans="1:15" x14ac:dyDescent="0.25">
      <c r="A342" s="63" t="str">
        <f>IF(AND(G342="",H342=""),"SUPPR",SAISIE!$B$3)</f>
        <v>SUPPR</v>
      </c>
      <c r="B342" s="63" t="str">
        <f>IF(SAISIE!I31="","",IF(LEN(SAISIE!B31)=1,CONCATENATE("0",SAISIE!B31,"/",SAISIE!$B$4,"/",SAISIE!$B$5),CONCATENATE(SAISIE!B31,"/",SAISIE!$B$4,"/",SAISIE!$B$5)))</f>
        <v/>
      </c>
      <c r="C342" s="63" t="str">
        <f>IF(SAISIE!I31="","",SAISIE!$I$8)</f>
        <v/>
      </c>
      <c r="D342" s="63" t="str">
        <f>IF(SAISIE!I31="","",SAISIE!E31)</f>
        <v/>
      </c>
      <c r="E342" s="63" t="str">
        <f>IF(SAISIE!I31="","",SAISIE!F31)</f>
        <v/>
      </c>
      <c r="F342" s="70" t="str">
        <f>IF(SAISIE!$I31="","",IF(SAISIE!$N31="","",SAISIE!$N31))</f>
        <v/>
      </c>
      <c r="G342" s="63" t="str">
        <f>IF(SAISIE!I31="","",SAISIE!I31)</f>
        <v/>
      </c>
      <c r="H342" s="63"/>
      <c r="I342" s="63" t="str">
        <f>IF(SAISIE!$I31="","",SAISIE!$Q31)</f>
        <v/>
      </c>
      <c r="J342" s="71" t="str">
        <f>IF(COUNTBLANK(SAISIE!$J$6:$M$6)=4,"",IF(SAISIE!I31="","",IF(SAISIE!J31&gt;0,SAISIE!$J$6,IF(SAISIE!K31&gt;0,SAISIE!$K$6,IF(SAISIE!L31&gt;0,SAISIE!$L$6,IF(SAISIE!M31&gt;0,SAISIE!$M$6,""))))))</f>
        <v/>
      </c>
      <c r="O342" s="59" t="s">
        <v>53</v>
      </c>
    </row>
    <row r="343" spans="1:15" x14ac:dyDescent="0.25">
      <c r="A343" s="63" t="e">
        <f>IF(AND(G343="",H343=""),"SUPPR",SAISIE!$B$3)</f>
        <v>#REF!</v>
      </c>
      <c r="B343" s="63" t="e">
        <f>IF(SAISIE!#REF!="","",IF(LEN(SAISIE!B31)=1,CONCATENATE("0",SAISIE!B31,"/",SAISIE!$B$4,"/",SAISIE!$B$5),CONCATENATE(SAISIE!B31,"/",SAISIE!$B$4,"/",SAISIE!$B$5)))</f>
        <v>#REF!</v>
      </c>
      <c r="C343" s="63" t="e">
        <f>IF(SAISIE!#REF!="","",SAISIE!#REF!)</f>
        <v>#REF!</v>
      </c>
      <c r="D343" s="63" t="e">
        <f>IF(SAISIE!#REF!="","",SAISIE!E31)</f>
        <v>#REF!</v>
      </c>
      <c r="E343" s="63" t="e">
        <f>IF(SAISIE!#REF!="","",SAISIE!F31)</f>
        <v>#REF!</v>
      </c>
      <c r="F343" s="70" t="e">
        <f>IF(SAISIE!#REF!="","",IF(SAISIE!$N31="","",SAISIE!$N31))</f>
        <v>#REF!</v>
      </c>
      <c r="G343" s="63" t="e">
        <f>IF(SAISIE!#REF!="","",SAISIE!#REF!)</f>
        <v>#REF!</v>
      </c>
      <c r="H343" s="63"/>
      <c r="I343" s="63" t="e">
        <f>IF(SAISIE!#REF!="","",SAISIE!$Q31)</f>
        <v>#REF!</v>
      </c>
      <c r="J343" s="71" t="str">
        <f>IF(COUNTBLANK(SAISIE!$J$6:$M$6)=4,"",IF(SAISIE!#REF!="","",IF(SAISIE!J31&gt;0,SAISIE!$J$6,IF(SAISIE!K31&gt;0,SAISIE!$K$6,IF(SAISIE!L31&gt;0,SAISIE!$L$6,IF(SAISIE!M31&gt;0,SAISIE!$M$6,""))))))</f>
        <v/>
      </c>
      <c r="O343" s="59" t="s">
        <v>54</v>
      </c>
    </row>
    <row r="344" spans="1:15" x14ac:dyDescent="0.25">
      <c r="A344" s="63" t="e">
        <f>IF(AND(G344="",H344=""),"SUPPR",SAISIE!$B$3)</f>
        <v>#REF!</v>
      </c>
      <c r="B344" s="63" t="e">
        <f>IF(SAISIE!#REF!="","",IF(LEN(SAISIE!B31)=1,CONCATENATE("0",SAISIE!B31,"/",SAISIE!$B$4,"/",SAISIE!$B$5),CONCATENATE(SAISIE!B31,"/",SAISIE!$B$4,"/",SAISIE!$B$5)))</f>
        <v>#REF!</v>
      </c>
      <c r="C344" s="63" t="e">
        <f>IF(SAISIE!#REF!="","",SAISIE!#REF!)</f>
        <v>#REF!</v>
      </c>
      <c r="D344" s="63" t="e">
        <f>IF(SAISIE!#REF!="","",SAISIE!E31)</f>
        <v>#REF!</v>
      </c>
      <c r="E344" s="63" t="e">
        <f>IF(SAISIE!#REF!="","",SAISIE!F31)</f>
        <v>#REF!</v>
      </c>
      <c r="F344" s="70" t="e">
        <f>IF(SAISIE!#REF!="","",IF(SAISIE!$N31="","",SAISIE!$N31))</f>
        <v>#REF!</v>
      </c>
      <c r="G344" s="63" t="e">
        <f>IF(SAISIE!#REF!="","",SAISIE!#REF!)</f>
        <v>#REF!</v>
      </c>
      <c r="H344" s="63"/>
      <c r="I344" s="63" t="e">
        <f>IF(SAISIE!#REF!="","",SAISIE!$Q31)</f>
        <v>#REF!</v>
      </c>
      <c r="J344" s="71" t="str">
        <f>IF(COUNTBLANK(SAISIE!$J$6:$M$6)=4,"",IF(SAISIE!#REF!="","",IF(SAISIE!J31&gt;0,SAISIE!$J$6,IF(SAISIE!K31&gt;0,SAISIE!$K$6,IF(SAISIE!L31&gt;0,SAISIE!$L$6,IF(SAISIE!M31&gt;0,SAISIE!$M$6,""))))))</f>
        <v/>
      </c>
      <c r="O344" s="59" t="s">
        <v>55</v>
      </c>
    </row>
    <row r="345" spans="1:15" x14ac:dyDescent="0.25">
      <c r="A345" s="63" t="e">
        <f>IF(AND(G345="",H345=""),"SUPPR",SAISIE!$B$3)</f>
        <v>#REF!</v>
      </c>
      <c r="B345" s="63" t="e">
        <f>IF(SAISIE!#REF!="","",IF(LEN(SAISIE!B31)=1,CONCATENATE("0",SAISIE!B31,"/",SAISIE!$B$4,"/",SAISIE!$B$5),CONCATENATE(SAISIE!B31,"/",SAISIE!$B$4,"/",SAISIE!$B$5)))</f>
        <v>#REF!</v>
      </c>
      <c r="C345" s="63" t="e">
        <f>IF(SAISIE!#REF!="","",SAISIE!#REF!)</f>
        <v>#REF!</v>
      </c>
      <c r="D345" s="63" t="e">
        <f>IF(SAISIE!#REF!="","",SAISIE!E31)</f>
        <v>#REF!</v>
      </c>
      <c r="E345" s="63" t="e">
        <f>IF(SAISIE!#REF!="","",SAISIE!F31)</f>
        <v>#REF!</v>
      </c>
      <c r="F345" s="70" t="e">
        <f>IF(SAISIE!#REF!="","",IF(SAISIE!$N31="","",SAISIE!$N31))</f>
        <v>#REF!</v>
      </c>
      <c r="G345" s="63" t="e">
        <f>IF(SAISIE!#REF!="","",SAISIE!#REF!)</f>
        <v>#REF!</v>
      </c>
      <c r="H345" s="63"/>
      <c r="I345" s="63" t="e">
        <f>IF(SAISIE!#REF!="","",SAISIE!$Q31)</f>
        <v>#REF!</v>
      </c>
      <c r="J345" s="71" t="str">
        <f>IF(COUNTBLANK(SAISIE!$J$6:$M$6)=4,"",IF(SAISIE!#REF!="","",IF(SAISIE!J31&gt;0,SAISIE!$J$6,IF(SAISIE!K31&gt;0,SAISIE!$K$6,IF(SAISIE!L31&gt;0,SAISIE!$L$6,IF(SAISIE!M31&gt;0,SAISIE!$M$6,""))))))</f>
        <v/>
      </c>
      <c r="O345" s="59" t="s">
        <v>56</v>
      </c>
    </row>
    <row r="346" spans="1:15" x14ac:dyDescent="0.25">
      <c r="A346" s="63" t="e">
        <f>IF(AND(G346="",H346=""),"SUPPR",SAISIE!$B$3)</f>
        <v>#REF!</v>
      </c>
      <c r="B346" s="63" t="e">
        <f>IF(SAISIE!#REF!="","",IF(LEN(SAISIE!B31)=1,CONCATENATE("0",SAISIE!B31,"/",SAISIE!$B$4,"/",SAISIE!$B$5),CONCATENATE(SAISIE!B31,"/",SAISIE!$B$4,"/",SAISIE!$B$5)))</f>
        <v>#REF!</v>
      </c>
      <c r="C346" s="63" t="e">
        <f>IF(SAISIE!#REF!="","",SAISIE!#REF!)</f>
        <v>#REF!</v>
      </c>
      <c r="D346" s="63" t="e">
        <f>IF(SAISIE!#REF!="","",SAISIE!E31)</f>
        <v>#REF!</v>
      </c>
      <c r="E346" s="63" t="e">
        <f>IF(SAISIE!#REF!="","",SAISIE!F31)</f>
        <v>#REF!</v>
      </c>
      <c r="F346" s="70" t="e">
        <f>IF(SAISIE!#REF!="","",IF(SAISIE!$N31="","",SAISIE!$N31))</f>
        <v>#REF!</v>
      </c>
      <c r="G346" s="63" t="e">
        <f>IF(SAISIE!#REF!="","",SAISIE!#REF!)</f>
        <v>#REF!</v>
      </c>
      <c r="H346" s="63"/>
      <c r="I346" s="63" t="e">
        <f>IF(SAISIE!#REF!="","",SAISIE!$Q31)</f>
        <v>#REF!</v>
      </c>
      <c r="J346" s="71" t="str">
        <f>IF(COUNTBLANK(SAISIE!$J$6:$M$6)=4,"",IF(SAISIE!#REF!="","",IF(SAISIE!J31&gt;0,SAISIE!$J$6,IF(SAISIE!K31&gt;0,SAISIE!$K$6,IF(SAISIE!L31&gt;0,SAISIE!$L$6,IF(SAISIE!M31&gt;0,SAISIE!$M$6,""))))))</f>
        <v/>
      </c>
      <c r="O346" s="59" t="s">
        <v>57</v>
      </c>
    </row>
    <row r="347" spans="1:15" x14ac:dyDescent="0.25">
      <c r="A347" s="63" t="e">
        <f>IF(AND(G347="",H347=""),"SUPPR",SAISIE!$B$3)</f>
        <v>#REF!</v>
      </c>
      <c r="B347" s="63" t="e">
        <f>IF(SAISIE!#REF!="","",IF(LEN(SAISIE!B31)=1,CONCATENATE("0",SAISIE!B31,"/",SAISIE!$B$4,"/",SAISIE!$B$5),CONCATENATE(SAISIE!B31,"/",SAISIE!$B$4,"/",SAISIE!$B$5)))</f>
        <v>#REF!</v>
      </c>
      <c r="C347" s="63" t="e">
        <f>IF(SAISIE!#REF!="","",SAISIE!#REF!)</f>
        <v>#REF!</v>
      </c>
      <c r="D347" s="63" t="e">
        <f>IF(SAISIE!#REF!="","",SAISIE!E31)</f>
        <v>#REF!</v>
      </c>
      <c r="E347" s="63" t="e">
        <f>IF(SAISIE!#REF!="","",SAISIE!F31)</f>
        <v>#REF!</v>
      </c>
      <c r="F347" s="70" t="e">
        <f>IF(SAISIE!#REF!="","",IF(SAISIE!$N31="","",SAISIE!$N31))</f>
        <v>#REF!</v>
      </c>
      <c r="G347" s="63" t="e">
        <f>IF(SAISIE!#REF!="","",SAISIE!#REF!)</f>
        <v>#REF!</v>
      </c>
      <c r="H347" s="63"/>
      <c r="I347" s="63" t="e">
        <f>IF(SAISIE!#REF!="","",SAISIE!$Q31)</f>
        <v>#REF!</v>
      </c>
      <c r="J347" s="71" t="str">
        <f>IF(COUNTBLANK(SAISIE!$J$6:$M$6)=4,"",IF(SAISIE!#REF!="","",IF(SAISIE!J31&gt;0,SAISIE!$J$6,IF(SAISIE!K31&gt;0,SAISIE!$K$6,IF(SAISIE!L31&gt;0,SAISIE!$L$6,IF(SAISIE!M31&gt;0,SAISIE!$M$6,""))))))</f>
        <v/>
      </c>
      <c r="O347" s="59" t="s">
        <v>58</v>
      </c>
    </row>
    <row r="348" spans="1:15" x14ac:dyDescent="0.25">
      <c r="A348" s="63" t="e">
        <f>IF(AND(G348="",H348=""),"SUPPR",SAISIE!$B$3)</f>
        <v>#REF!</v>
      </c>
      <c r="B348" s="63" t="e">
        <f>IF(SAISIE!#REF!="","",IF(LEN(SAISIE!B31)=1,CONCATENATE("0",SAISIE!B31,"/",SAISIE!$B$4,"/",SAISIE!$B$5),CONCATENATE(SAISIE!B31,"/",SAISIE!$B$4,"/",SAISIE!$B$5)))</f>
        <v>#REF!</v>
      </c>
      <c r="C348" s="63" t="e">
        <f>IF(SAISIE!#REF!="","",SAISIE!#REF!)</f>
        <v>#REF!</v>
      </c>
      <c r="D348" s="63" t="e">
        <f>IF(SAISIE!#REF!="","",SAISIE!E31)</f>
        <v>#REF!</v>
      </c>
      <c r="E348" s="63" t="e">
        <f>IF(SAISIE!#REF!="","",SAISIE!F31)</f>
        <v>#REF!</v>
      </c>
      <c r="F348" s="70" t="e">
        <f>IF(SAISIE!#REF!="","",IF(SAISIE!$N31="","",SAISIE!$N31))</f>
        <v>#REF!</v>
      </c>
      <c r="G348" s="63" t="e">
        <f>IF(SAISIE!#REF!="","",SAISIE!#REF!)</f>
        <v>#REF!</v>
      </c>
      <c r="H348" s="63"/>
      <c r="I348" s="63" t="e">
        <f>IF(SAISIE!#REF!="","",SAISIE!$Q31)</f>
        <v>#REF!</v>
      </c>
      <c r="J348" s="71" t="str">
        <f>IF(COUNTBLANK(SAISIE!$J$6:$M$6)=4,"",IF(SAISIE!#REF!="","",IF(SAISIE!J31&gt;0,SAISIE!$J$6,IF(SAISIE!K31&gt;0,SAISIE!$K$6,IF(SAISIE!L31&gt;0,SAISIE!$L$6,IF(SAISIE!M31&gt;0,SAISIE!$M$6,""))))))</f>
        <v/>
      </c>
      <c r="O348" s="59" t="s">
        <v>59</v>
      </c>
    </row>
    <row r="349" spans="1:15" x14ac:dyDescent="0.25">
      <c r="A349" s="63" t="e">
        <f>IF(AND(G349="",H349=""),"SUPPR",SAISIE!$B$3)</f>
        <v>#REF!</v>
      </c>
      <c r="B349" s="63" t="e">
        <f>IF(SAISIE!#REF!="","",IF(LEN(SAISIE!B31)=1,CONCATENATE("0",SAISIE!B31,"/",SAISIE!$B$4,"/",SAISIE!$B$5),CONCATENATE(SAISIE!B31,"/",SAISIE!$B$4,"/",SAISIE!$B$5)))</f>
        <v>#REF!</v>
      </c>
      <c r="C349" s="63" t="e">
        <f>IF(SAISIE!#REF!="","",SAISIE!#REF!)</f>
        <v>#REF!</v>
      </c>
      <c r="D349" s="63" t="e">
        <f>IF(SAISIE!#REF!="","",SAISIE!E31)</f>
        <v>#REF!</v>
      </c>
      <c r="E349" s="63" t="e">
        <f>IF(SAISIE!#REF!="","",SAISIE!F31)</f>
        <v>#REF!</v>
      </c>
      <c r="F349" s="70" t="e">
        <f>IF(SAISIE!#REF!="","",IF(SAISIE!$N31="","",SAISIE!$N31))</f>
        <v>#REF!</v>
      </c>
      <c r="G349" s="63" t="e">
        <f>IF(SAISIE!#REF!="","",SAISIE!#REF!)</f>
        <v>#REF!</v>
      </c>
      <c r="H349" s="63"/>
      <c r="I349" s="63" t="e">
        <f>IF(SAISIE!#REF!="","",SAISIE!$Q31)</f>
        <v>#REF!</v>
      </c>
      <c r="J349" s="71" t="str">
        <f>IF(COUNTBLANK(SAISIE!$J$6:$M$6)=4,"",IF(SAISIE!#REF!="","",IF(SAISIE!J31&gt;0,SAISIE!$J$6,IF(SAISIE!K31&gt;0,SAISIE!$K$6,IF(SAISIE!L31&gt;0,SAISIE!$L$6,IF(SAISIE!M31&gt;0,SAISIE!$M$6,""))))))</f>
        <v/>
      </c>
      <c r="O349" s="59" t="s">
        <v>60</v>
      </c>
    </row>
    <row r="350" spans="1:15" x14ac:dyDescent="0.25">
      <c r="A350" s="63" t="str">
        <f>IF(AND(G350="",H350=""),"SUPPR",SAISIE!$B$3)</f>
        <v>SUPPR</v>
      </c>
      <c r="B350" s="63" t="str">
        <f>IF(SAISIE!J31="","",IF(LEN(SAISIE!B31)=1,CONCATENATE("0",SAISIE!B31,"/",SAISIE!$B$4,"/",SAISIE!$B$5),CONCATENATE(SAISIE!B31,"/",SAISIE!$B$4,"/",SAISIE!$B$5)))</f>
        <v/>
      </c>
      <c r="C350" s="63" t="str">
        <f>IF(SAISIE!J31="","",SAISIE!$J$8)</f>
        <v/>
      </c>
      <c r="D350" s="63" t="str">
        <f>IF(SAISIE!J31="","",SAISIE!E31)</f>
        <v/>
      </c>
      <c r="E350" s="63" t="str">
        <f>IF(SAISIE!J31="","",SAISIE!F31)</f>
        <v/>
      </c>
      <c r="F350" s="70" t="str">
        <f>IF(SAISIE!$J31="","",IF(SAISIE!$N31="","",SAISIE!$N31))</f>
        <v/>
      </c>
      <c r="G350" s="63" t="str">
        <f>IF(SAISIE!J31="","",SAISIE!J31)</f>
        <v/>
      </c>
      <c r="H350" s="63"/>
      <c r="I350" s="72"/>
      <c r="J350" s="71"/>
      <c r="O350" s="73"/>
    </row>
    <row r="351" spans="1:15" x14ac:dyDescent="0.25">
      <c r="A351" s="63" t="str">
        <f>IF(AND(G351="",H351=""),"SUPPR",SAISIE!$B$3)</f>
        <v>SUPPR</v>
      </c>
      <c r="B351" s="63" t="str">
        <f>IF(SAISIE!K31="","",IF(LEN(SAISIE!B31)=1,CONCATENATE("0",SAISIE!B31,"/",SAISIE!$B$4,"/",SAISIE!$B$5),CONCATENATE(SAISIE!B31,"/",SAISIE!$B$4,"/",SAISIE!$B$5)))</f>
        <v/>
      </c>
      <c r="C351" s="63" t="str">
        <f>IF(SAISIE!K31="","",SAISIE!$K$8)</f>
        <v/>
      </c>
      <c r="D351" s="63" t="str">
        <f>IF(SAISIE!K31="","",SAISIE!E31)</f>
        <v/>
      </c>
      <c r="E351" s="63" t="str">
        <f>IF(SAISIE!K31="","",SAISIE!F31)</f>
        <v/>
      </c>
      <c r="F351" s="70" t="str">
        <f>IF(SAISIE!$K31="","",IF(SAISIE!$N31="","",SAISIE!$N31))</f>
        <v/>
      </c>
      <c r="G351" s="63" t="str">
        <f>IF(SAISIE!K31="","",SAISIE!K31)</f>
        <v/>
      </c>
      <c r="H351" s="63"/>
      <c r="I351" s="72"/>
      <c r="J351" s="71"/>
    </row>
    <row r="352" spans="1:15" x14ac:dyDescent="0.25">
      <c r="A352" s="63" t="str">
        <f>IF(AND(G352="",H352=""),"SUPPR",SAISIE!$B$3)</f>
        <v>SUPPR</v>
      </c>
      <c r="B352" s="63" t="str">
        <f>IF(SAISIE!L31="","",IF(LEN(SAISIE!B31)=1,CONCATENATE("0",SAISIE!B31,"/",SAISIE!$B$4,"/",SAISIE!$B$5),CONCATENATE(SAISIE!B31,"/",SAISIE!$B$4,"/",SAISIE!$B$5)))</f>
        <v/>
      </c>
      <c r="C352" s="63" t="str">
        <f>IF(SAISIE!L31="","",SAISIE!$L$8)</f>
        <v/>
      </c>
      <c r="D352" s="63" t="str">
        <f>IF(SAISIE!L31="","",SAISIE!E31)</f>
        <v/>
      </c>
      <c r="E352" s="63" t="str">
        <f>IF(SAISIE!L31="","",SAISIE!F31)</f>
        <v/>
      </c>
      <c r="F352" s="70" t="str">
        <f>IF(SAISIE!$L31="","",IF(SAISIE!$N31="","",SAISIE!$N31))</f>
        <v/>
      </c>
      <c r="G352" s="63" t="str">
        <f>IF(SAISIE!L31="","",SAISIE!L31)</f>
        <v/>
      </c>
      <c r="H352" s="63"/>
      <c r="I352" s="72"/>
      <c r="J352" s="71"/>
    </row>
    <row r="353" spans="1:15" x14ac:dyDescent="0.25">
      <c r="A353" s="63" t="str">
        <f>IF(AND(G353="",H353=""),"SUPPR",SAISIE!$B$3)</f>
        <v>SUPPR</v>
      </c>
      <c r="B353" s="63" t="str">
        <f>IF(SAISIE!M31="","",IF(LEN(SAISIE!B31)=1,CONCATENATE("0",SAISIE!B31,"/",SAISIE!$B$4,"/",SAISIE!$B$5),CONCATENATE(SAISIE!B31,"/",SAISIE!$B$4,"/",SAISIE!$B$5)))</f>
        <v/>
      </c>
      <c r="C353" s="74" t="str">
        <f>IF(SAISIE!M31="","",SAISIE!$M$8)</f>
        <v/>
      </c>
      <c r="D353" s="74" t="str">
        <f>IF(SAISIE!M31="","",SAISIE!E31)</f>
        <v/>
      </c>
      <c r="E353" s="74" t="str">
        <f>IF(SAISIE!M31="","",SAISIE!F31)</f>
        <v/>
      </c>
      <c r="F353" s="75" t="str">
        <f>IF(SAISIE!$M31="","",IF(SAISIE!$N31="","",SAISIE!$N31))</f>
        <v/>
      </c>
      <c r="G353" s="74" t="str">
        <f>IF(SAISIE!M31="","",SAISIE!M31)</f>
        <v/>
      </c>
      <c r="H353" s="76"/>
      <c r="I353" s="77"/>
      <c r="J353" s="78"/>
    </row>
    <row r="354" spans="1:15" x14ac:dyDescent="0.25">
      <c r="A354" s="63" t="str">
        <f>IF(AND(G354="",H354=""),"SUPPR",SAISIE!$B$3)</f>
        <v>SUPPR</v>
      </c>
      <c r="B354" s="64" t="str">
        <f>IF(SAISIE!B32="","",IF(LEN(SAISIE!B32)=1,CONCATENATE("0",SAISIE!B32,"/",SAISIE!$B$4,"/",SAISIE!$B$5),CONCATENATE(SAISIE!B32,"/",SAISIE!$B$4,"/",SAISIE!$B$5)))</f>
        <v/>
      </c>
      <c r="C354" s="64" t="str">
        <f>IF(SAISIE!B32="","",CONCATENATE($M$2,SAISIE!C32))</f>
        <v/>
      </c>
      <c r="D354" s="64" t="str">
        <f>IF(SAISIE!B32="","",SAISIE!E32)</f>
        <v/>
      </c>
      <c r="E354" s="64" t="str">
        <f>IF(SAISIE!B32="","",SAISIE!F32)</f>
        <v/>
      </c>
      <c r="F354" s="65" t="str">
        <f>IF(A354="SUPPR","",IF(SAISIE!$N32="","",SAISIE!$N32))</f>
        <v/>
      </c>
      <c r="G354" s="64"/>
      <c r="H354" s="64" t="str">
        <f>IF(SAISIE!B32="","",SAISIE!D32)</f>
        <v/>
      </c>
      <c r="I354" s="66"/>
      <c r="J354" s="67" t="str">
        <f>IF(AZ32="","","")</f>
        <v/>
      </c>
      <c r="O354" s="69">
        <f>O338+1</f>
        <v>32</v>
      </c>
    </row>
    <row r="355" spans="1:15" x14ac:dyDescent="0.25">
      <c r="A355" s="63" t="str">
        <f>IF(AND(G355="",H355=""),"SUPPR",SAISIE!$B$3)</f>
        <v>SUPPR</v>
      </c>
      <c r="B355" s="63" t="str">
        <f>IF(SAISIE!P32="","",IF(LEN(SAISIE!B32)=1,CONCATENATE("0",SAISIE!B32,"/",SAISIE!$B$4,"/",SAISIE!$B$5),CONCATENATE(SAISIE!B32,"/",SAISIE!$B$4,"/",SAISIE!$B$5)))</f>
        <v/>
      </c>
      <c r="C355" s="63" t="str">
        <f>IF(SAISIE!P32="","",SAISIE!O32)</f>
        <v/>
      </c>
      <c r="D355" s="63" t="str">
        <f>IF(SAISIE!P32="","",SAISIE!E32)</f>
        <v/>
      </c>
      <c r="E355" s="63" t="str">
        <f>IF(SAISIE!P32="","",SAISIE!F32)</f>
        <v/>
      </c>
      <c r="F355" s="70" t="str">
        <f>IF(SAISIE!$P32="","",IF(SAISIE!$N32="","",SAISIE!$N32))</f>
        <v/>
      </c>
      <c r="G355" s="63" t="str">
        <f>IF(SAISIE!P32="","",SAISIE!P32)</f>
        <v/>
      </c>
      <c r="H355" s="63"/>
      <c r="I355" s="63" t="str">
        <f>IF(SAISIE!$P32="","",SAISIE!$Q32)</f>
        <v/>
      </c>
      <c r="J355" s="71" t="str">
        <f>IF(COUNTBLANK(SAISIE!$J$6:$M$6)=4,"",IF(SAISIE!P32="","",IF(SAISIE!J32&gt;0,SAISIE!$J$6,IF(SAISIE!K32&gt;0,SAISIE!$K$6,IF(SAISIE!L32&gt;0,SAISIE!$L$6,IF(SAISIE!M32&gt;0,SAISIE!$M$6,""))))))</f>
        <v/>
      </c>
      <c r="O355" s="59" t="s">
        <v>50</v>
      </c>
    </row>
    <row r="356" spans="1:15" x14ac:dyDescent="0.25">
      <c r="A356" s="63" t="str">
        <f>IF(AND(G356="",H356=""),"SUPPR",SAISIE!$B$3)</f>
        <v>SUPPR</v>
      </c>
      <c r="B356" s="63" t="str">
        <f>IF(SAISIE!G32="","",IF(LEN(SAISIE!B32)=1,CONCATENATE("0",SAISIE!B32,"/",SAISIE!$B$4,"/",SAISIE!$B$5),CONCATENATE(SAISIE!B32,"/",SAISIE!$B$4,"/",SAISIE!$B$5)))</f>
        <v/>
      </c>
      <c r="C356" s="63" t="str">
        <f>IF(SAISIE!G32="","",SAISIE!$G$8)</f>
        <v/>
      </c>
      <c r="D356" s="63" t="str">
        <f>IF(SAISIE!G32="","",SAISIE!E32)</f>
        <v/>
      </c>
      <c r="E356" s="63" t="str">
        <f>IF(SAISIE!G32="","",SAISIE!F32)</f>
        <v/>
      </c>
      <c r="F356" s="70" t="str">
        <f>IF(SAISIE!$G32="","",IF(SAISIE!$N32="","",SAISIE!$N32))</f>
        <v/>
      </c>
      <c r="G356" s="63" t="str">
        <f>IF(SAISIE!G32="","",SAISIE!G32)</f>
        <v/>
      </c>
      <c r="H356" s="63"/>
      <c r="I356" s="63" t="str">
        <f>IF(SAISIE!$G32="","",SAISIE!$Q32)</f>
        <v/>
      </c>
      <c r="J356" s="71" t="str">
        <f>IF(COUNTBLANK(SAISIE!$J$6:$M$6)=4,"",IF(SAISIE!G32="","",IF(SAISIE!J32&gt;0,SAISIE!$J$6,IF(SAISIE!K32&gt;0,SAISIE!$K$6,IF(SAISIE!L32&gt;0,SAISIE!$L$6,IF(SAISIE!M32&gt;0,SAISIE!$M$6,""))))))</f>
        <v/>
      </c>
      <c r="O356" s="59" t="s">
        <v>51</v>
      </c>
    </row>
    <row r="357" spans="1:15" x14ac:dyDescent="0.25">
      <c r="A357" s="63" t="str">
        <f>IF(AND(G357="",H357=""),"SUPPR",SAISIE!$B$3)</f>
        <v>SUPPR</v>
      </c>
      <c r="B357" s="63" t="str">
        <f>IF(SAISIE!H32="","",IF(LEN(SAISIE!B32)=1,CONCATENATE("0",SAISIE!B32,"/",SAISIE!$B$4,"/",SAISIE!$B$5),CONCATENATE(SAISIE!B32,"/",SAISIE!$B$4,"/",SAISIE!$B$5)))</f>
        <v/>
      </c>
      <c r="C357" s="63" t="str">
        <f>IF(SAISIE!H32="","",SAISIE!$H$8)</f>
        <v/>
      </c>
      <c r="D357" s="63" t="str">
        <f>IF(SAISIE!H32="","",SAISIE!E32)</f>
        <v/>
      </c>
      <c r="E357" s="63" t="str">
        <f>IF(SAISIE!H32="","",SAISIE!F32)</f>
        <v/>
      </c>
      <c r="F357" s="70" t="str">
        <f>IF(SAISIE!$H32="","",IF(SAISIE!$N32="","",SAISIE!$N32))</f>
        <v/>
      </c>
      <c r="G357" s="63" t="str">
        <f>IF(SAISIE!H32="","",SAISIE!H32)</f>
        <v/>
      </c>
      <c r="H357" s="63"/>
      <c r="I357" s="63" t="str">
        <f>IF(SAISIE!$H32="","",SAISIE!$Q32)</f>
        <v/>
      </c>
      <c r="J357" s="71" t="str">
        <f>IF(COUNTBLANK(SAISIE!$J$6:$M$6)=4,"",IF(SAISIE!H32="","",IF(SAISIE!J32&gt;0,SAISIE!$J$6,IF(SAISIE!K32&gt;0,SAISIE!$K$6,IF(SAISIE!L32&gt;0,SAISIE!$L$6,IF(SAISIE!M32&gt;0,SAISIE!$M$6,""))))))</f>
        <v/>
      </c>
      <c r="O357" s="59" t="s">
        <v>52</v>
      </c>
    </row>
    <row r="358" spans="1:15" x14ac:dyDescent="0.25">
      <c r="A358" s="63" t="str">
        <f>IF(AND(G358="",H358=""),"SUPPR",SAISIE!$B$3)</f>
        <v>SUPPR</v>
      </c>
      <c r="B358" s="63" t="str">
        <f>IF(SAISIE!I32="","",IF(LEN(SAISIE!B32)=1,CONCATENATE("0",SAISIE!B32,"/",SAISIE!$B$4,"/",SAISIE!$B$5),CONCATENATE(SAISIE!B32,"/",SAISIE!$B$4,"/",SAISIE!$B$5)))</f>
        <v/>
      </c>
      <c r="C358" s="63" t="str">
        <f>IF(SAISIE!I32="","",SAISIE!$I$8)</f>
        <v/>
      </c>
      <c r="D358" s="63" t="str">
        <f>IF(SAISIE!I32="","",SAISIE!E32)</f>
        <v/>
      </c>
      <c r="E358" s="63" t="str">
        <f>IF(SAISIE!I32="","",SAISIE!F32)</f>
        <v/>
      </c>
      <c r="F358" s="70" t="str">
        <f>IF(SAISIE!$I32="","",IF(SAISIE!$N32="","",SAISIE!$N32))</f>
        <v/>
      </c>
      <c r="G358" s="63" t="str">
        <f>IF(SAISIE!I32="","",SAISIE!I32)</f>
        <v/>
      </c>
      <c r="H358" s="63"/>
      <c r="I358" s="63" t="str">
        <f>IF(SAISIE!$I32="","",SAISIE!$Q32)</f>
        <v/>
      </c>
      <c r="J358" s="71" t="str">
        <f>IF(COUNTBLANK(SAISIE!$J$6:$M$6)=4,"",IF(SAISIE!I32="","",IF(SAISIE!J32&gt;0,SAISIE!$J$6,IF(SAISIE!K32&gt;0,SAISIE!$K$6,IF(SAISIE!L32&gt;0,SAISIE!$L$6,IF(SAISIE!M32&gt;0,SAISIE!$M$6,""))))))</f>
        <v/>
      </c>
      <c r="O358" s="59" t="s">
        <v>53</v>
      </c>
    </row>
    <row r="359" spans="1:15" x14ac:dyDescent="0.25">
      <c r="A359" s="63" t="e">
        <f>IF(AND(G359="",H359=""),"SUPPR",SAISIE!$B$3)</f>
        <v>#REF!</v>
      </c>
      <c r="B359" s="63" t="e">
        <f>IF(SAISIE!#REF!="","",IF(LEN(SAISIE!B32)=1,CONCATENATE("0",SAISIE!B32,"/",SAISIE!$B$4,"/",SAISIE!$B$5),CONCATENATE(SAISIE!B32,"/",SAISIE!$B$4,"/",SAISIE!$B$5)))</f>
        <v>#REF!</v>
      </c>
      <c r="C359" s="63" t="e">
        <f>IF(SAISIE!#REF!="","",SAISIE!#REF!)</f>
        <v>#REF!</v>
      </c>
      <c r="D359" s="63" t="e">
        <f>IF(SAISIE!#REF!="","",SAISIE!E32)</f>
        <v>#REF!</v>
      </c>
      <c r="E359" s="63" t="e">
        <f>IF(SAISIE!#REF!="","",SAISIE!F32)</f>
        <v>#REF!</v>
      </c>
      <c r="F359" s="70" t="e">
        <f>IF(SAISIE!#REF!="","",IF(SAISIE!$N32="","",SAISIE!$N32))</f>
        <v>#REF!</v>
      </c>
      <c r="G359" s="63" t="e">
        <f>IF(SAISIE!#REF!="","",SAISIE!#REF!)</f>
        <v>#REF!</v>
      </c>
      <c r="H359" s="63"/>
      <c r="I359" s="63" t="e">
        <f>IF(SAISIE!#REF!="","",SAISIE!$Q32)</f>
        <v>#REF!</v>
      </c>
      <c r="J359" s="71" t="str">
        <f>IF(COUNTBLANK(SAISIE!$J$6:$M$6)=4,"",IF(SAISIE!#REF!="","",IF(SAISIE!J32&gt;0,SAISIE!$J$6,IF(SAISIE!K32&gt;0,SAISIE!$K$6,IF(SAISIE!L32&gt;0,SAISIE!$L$6,IF(SAISIE!M32&gt;0,SAISIE!$M$6,""))))))</f>
        <v/>
      </c>
      <c r="O359" s="59" t="s">
        <v>54</v>
      </c>
    </row>
    <row r="360" spans="1:15" x14ac:dyDescent="0.25">
      <c r="A360" s="63" t="e">
        <f>IF(AND(G360="",H360=""),"SUPPR",SAISIE!$B$3)</f>
        <v>#REF!</v>
      </c>
      <c r="B360" s="63" t="e">
        <f>IF(SAISIE!#REF!="","",IF(LEN(SAISIE!B32)=1,CONCATENATE("0",SAISIE!B32,"/",SAISIE!$B$4,"/",SAISIE!$B$5),CONCATENATE(SAISIE!B32,"/",SAISIE!$B$4,"/",SAISIE!$B$5)))</f>
        <v>#REF!</v>
      </c>
      <c r="C360" s="63" t="e">
        <f>IF(SAISIE!#REF!="","",SAISIE!#REF!)</f>
        <v>#REF!</v>
      </c>
      <c r="D360" s="63" t="e">
        <f>IF(SAISIE!#REF!="","",SAISIE!E32)</f>
        <v>#REF!</v>
      </c>
      <c r="E360" s="63" t="e">
        <f>IF(SAISIE!#REF!="","",SAISIE!F32)</f>
        <v>#REF!</v>
      </c>
      <c r="F360" s="70" t="e">
        <f>IF(SAISIE!#REF!="","",IF(SAISIE!$N32="","",SAISIE!$N32))</f>
        <v>#REF!</v>
      </c>
      <c r="G360" s="63" t="e">
        <f>IF(SAISIE!#REF!="","",SAISIE!#REF!)</f>
        <v>#REF!</v>
      </c>
      <c r="H360" s="63"/>
      <c r="I360" s="63" t="e">
        <f>IF(SAISIE!#REF!="","",SAISIE!$Q32)</f>
        <v>#REF!</v>
      </c>
      <c r="J360" s="71" t="str">
        <f>IF(COUNTBLANK(SAISIE!$J$6:$M$6)=4,"",IF(SAISIE!#REF!="","",IF(SAISIE!J32&gt;0,SAISIE!$J$6,IF(SAISIE!K32&gt;0,SAISIE!$K$6,IF(SAISIE!L32&gt;0,SAISIE!$L$6,IF(SAISIE!M32&gt;0,SAISIE!$M$6,""))))))</f>
        <v/>
      </c>
      <c r="O360" s="59" t="s">
        <v>55</v>
      </c>
    </row>
    <row r="361" spans="1:15" x14ac:dyDescent="0.25">
      <c r="A361" s="63" t="e">
        <f>IF(AND(G361="",H361=""),"SUPPR",SAISIE!$B$3)</f>
        <v>#REF!</v>
      </c>
      <c r="B361" s="63" t="e">
        <f>IF(SAISIE!#REF!="","",IF(LEN(SAISIE!B32)=1,CONCATENATE("0",SAISIE!B32,"/",SAISIE!$B$4,"/",SAISIE!$B$5),CONCATENATE(SAISIE!B32,"/",SAISIE!$B$4,"/",SAISIE!$B$5)))</f>
        <v>#REF!</v>
      </c>
      <c r="C361" s="63" t="e">
        <f>IF(SAISIE!#REF!="","",SAISIE!#REF!)</f>
        <v>#REF!</v>
      </c>
      <c r="D361" s="63" t="e">
        <f>IF(SAISIE!#REF!="","",SAISIE!E32)</f>
        <v>#REF!</v>
      </c>
      <c r="E361" s="63" t="e">
        <f>IF(SAISIE!#REF!="","",SAISIE!F32)</f>
        <v>#REF!</v>
      </c>
      <c r="F361" s="70" t="e">
        <f>IF(SAISIE!#REF!="","",IF(SAISIE!$N32="","",SAISIE!$N32))</f>
        <v>#REF!</v>
      </c>
      <c r="G361" s="63" t="e">
        <f>IF(SAISIE!#REF!="","",SAISIE!#REF!)</f>
        <v>#REF!</v>
      </c>
      <c r="H361" s="63"/>
      <c r="I361" s="63" t="e">
        <f>IF(SAISIE!#REF!="","",SAISIE!$Q32)</f>
        <v>#REF!</v>
      </c>
      <c r="J361" s="71" t="str">
        <f>IF(COUNTBLANK(SAISIE!$J$6:$M$6)=4,"",IF(SAISIE!#REF!="","",IF(SAISIE!J32&gt;0,SAISIE!$J$6,IF(SAISIE!K32&gt;0,SAISIE!$K$6,IF(SAISIE!L32&gt;0,SAISIE!$L$6,IF(SAISIE!M32&gt;0,SAISIE!$M$6,""))))))</f>
        <v/>
      </c>
      <c r="O361" s="59" t="s">
        <v>56</v>
      </c>
    </row>
    <row r="362" spans="1:15" x14ac:dyDescent="0.25">
      <c r="A362" s="63" t="e">
        <f>IF(AND(G362="",H362=""),"SUPPR",SAISIE!$B$3)</f>
        <v>#REF!</v>
      </c>
      <c r="B362" s="63" t="e">
        <f>IF(SAISIE!#REF!="","",IF(LEN(SAISIE!B32)=1,CONCATENATE("0",SAISIE!B32,"/",SAISIE!$B$4,"/",SAISIE!$B$5),CONCATENATE(SAISIE!B32,"/",SAISIE!$B$4,"/",SAISIE!$B$5)))</f>
        <v>#REF!</v>
      </c>
      <c r="C362" s="63" t="e">
        <f>IF(SAISIE!#REF!="","",SAISIE!#REF!)</f>
        <v>#REF!</v>
      </c>
      <c r="D362" s="63" t="e">
        <f>IF(SAISIE!#REF!="","",SAISIE!E32)</f>
        <v>#REF!</v>
      </c>
      <c r="E362" s="63" t="e">
        <f>IF(SAISIE!#REF!="","",SAISIE!F32)</f>
        <v>#REF!</v>
      </c>
      <c r="F362" s="70" t="e">
        <f>IF(SAISIE!#REF!="","",IF(SAISIE!$N32="","",SAISIE!$N32))</f>
        <v>#REF!</v>
      </c>
      <c r="G362" s="63" t="e">
        <f>IF(SAISIE!#REF!="","",SAISIE!#REF!)</f>
        <v>#REF!</v>
      </c>
      <c r="H362" s="63"/>
      <c r="I362" s="63" t="e">
        <f>IF(SAISIE!#REF!="","",SAISIE!$Q32)</f>
        <v>#REF!</v>
      </c>
      <c r="J362" s="71" t="str">
        <f>IF(COUNTBLANK(SAISIE!$J$6:$M$6)=4,"",IF(SAISIE!#REF!="","",IF(SAISIE!J32&gt;0,SAISIE!$J$6,IF(SAISIE!K32&gt;0,SAISIE!$K$6,IF(SAISIE!L32&gt;0,SAISIE!$L$6,IF(SAISIE!M32&gt;0,SAISIE!$M$6,""))))))</f>
        <v/>
      </c>
      <c r="O362" s="59" t="s">
        <v>57</v>
      </c>
    </row>
    <row r="363" spans="1:15" x14ac:dyDescent="0.25">
      <c r="A363" s="63" t="e">
        <f>IF(AND(G363="",H363=""),"SUPPR",SAISIE!$B$3)</f>
        <v>#REF!</v>
      </c>
      <c r="B363" s="63" t="e">
        <f>IF(SAISIE!#REF!="","",IF(LEN(SAISIE!B32)=1,CONCATENATE("0",SAISIE!B32,"/",SAISIE!$B$4,"/",SAISIE!$B$5),CONCATENATE(SAISIE!B32,"/",SAISIE!$B$4,"/",SAISIE!$B$5)))</f>
        <v>#REF!</v>
      </c>
      <c r="C363" s="63" t="e">
        <f>IF(SAISIE!#REF!="","",SAISIE!#REF!)</f>
        <v>#REF!</v>
      </c>
      <c r="D363" s="63" t="e">
        <f>IF(SAISIE!#REF!="","",SAISIE!E32)</f>
        <v>#REF!</v>
      </c>
      <c r="E363" s="63" t="e">
        <f>IF(SAISIE!#REF!="","",SAISIE!F32)</f>
        <v>#REF!</v>
      </c>
      <c r="F363" s="70" t="e">
        <f>IF(SAISIE!#REF!="","",IF(SAISIE!$N32="","",SAISIE!$N32))</f>
        <v>#REF!</v>
      </c>
      <c r="G363" s="63" t="e">
        <f>IF(SAISIE!#REF!="","",SAISIE!#REF!)</f>
        <v>#REF!</v>
      </c>
      <c r="H363" s="63"/>
      <c r="I363" s="63" t="e">
        <f>IF(SAISIE!#REF!="","",SAISIE!$Q32)</f>
        <v>#REF!</v>
      </c>
      <c r="J363" s="71" t="str">
        <f>IF(COUNTBLANK(SAISIE!$J$6:$M$6)=4,"",IF(SAISIE!#REF!="","",IF(SAISIE!J32&gt;0,SAISIE!$J$6,IF(SAISIE!K32&gt;0,SAISIE!$K$6,IF(SAISIE!L32&gt;0,SAISIE!$L$6,IF(SAISIE!M32&gt;0,SAISIE!$M$6,""))))))</f>
        <v/>
      </c>
      <c r="O363" s="59" t="s">
        <v>58</v>
      </c>
    </row>
    <row r="364" spans="1:15" x14ac:dyDescent="0.25">
      <c r="A364" s="63" t="e">
        <f>IF(AND(G364="",H364=""),"SUPPR",SAISIE!$B$3)</f>
        <v>#REF!</v>
      </c>
      <c r="B364" s="63" t="e">
        <f>IF(SAISIE!#REF!="","",IF(LEN(SAISIE!B32)=1,CONCATENATE("0",SAISIE!B32,"/",SAISIE!$B$4,"/",SAISIE!$B$5),CONCATENATE(SAISIE!B32,"/",SAISIE!$B$4,"/",SAISIE!$B$5)))</f>
        <v>#REF!</v>
      </c>
      <c r="C364" s="63" t="e">
        <f>IF(SAISIE!#REF!="","",SAISIE!#REF!)</f>
        <v>#REF!</v>
      </c>
      <c r="D364" s="63" t="e">
        <f>IF(SAISIE!#REF!="","",SAISIE!E32)</f>
        <v>#REF!</v>
      </c>
      <c r="E364" s="63" t="e">
        <f>IF(SAISIE!#REF!="","",SAISIE!F32)</f>
        <v>#REF!</v>
      </c>
      <c r="F364" s="70" t="e">
        <f>IF(SAISIE!#REF!="","",IF(SAISIE!$N32="","",SAISIE!$N32))</f>
        <v>#REF!</v>
      </c>
      <c r="G364" s="63" t="e">
        <f>IF(SAISIE!#REF!="","",SAISIE!#REF!)</f>
        <v>#REF!</v>
      </c>
      <c r="H364" s="63"/>
      <c r="I364" s="63" t="e">
        <f>IF(SAISIE!#REF!="","",SAISIE!$Q32)</f>
        <v>#REF!</v>
      </c>
      <c r="J364" s="71" t="str">
        <f>IF(COUNTBLANK(SAISIE!$J$6:$M$6)=4,"",IF(SAISIE!#REF!="","",IF(SAISIE!J32&gt;0,SAISIE!$J$6,IF(SAISIE!K32&gt;0,SAISIE!$K$6,IF(SAISIE!L32&gt;0,SAISIE!$L$6,IF(SAISIE!M32&gt;0,SAISIE!$M$6,""))))))</f>
        <v/>
      </c>
      <c r="O364" s="59" t="s">
        <v>59</v>
      </c>
    </row>
    <row r="365" spans="1:15" x14ac:dyDescent="0.25">
      <c r="A365" s="63" t="e">
        <f>IF(AND(G365="",H365=""),"SUPPR",SAISIE!$B$3)</f>
        <v>#REF!</v>
      </c>
      <c r="B365" s="63" t="e">
        <f>IF(SAISIE!#REF!="","",IF(LEN(SAISIE!B32)=1,CONCATENATE("0",SAISIE!B32,"/",SAISIE!$B$4,"/",SAISIE!$B$5),CONCATENATE(SAISIE!B32,"/",SAISIE!$B$4,"/",SAISIE!$B$5)))</f>
        <v>#REF!</v>
      </c>
      <c r="C365" s="63" t="e">
        <f>IF(SAISIE!#REF!="","",SAISIE!#REF!)</f>
        <v>#REF!</v>
      </c>
      <c r="D365" s="63" t="e">
        <f>IF(SAISIE!#REF!="","",SAISIE!E32)</f>
        <v>#REF!</v>
      </c>
      <c r="E365" s="63" t="e">
        <f>IF(SAISIE!#REF!="","",SAISIE!F32)</f>
        <v>#REF!</v>
      </c>
      <c r="F365" s="70" t="e">
        <f>IF(SAISIE!#REF!="","",IF(SAISIE!$N32="","",SAISIE!$N32))</f>
        <v>#REF!</v>
      </c>
      <c r="G365" s="63" t="e">
        <f>IF(SAISIE!#REF!="","",SAISIE!#REF!)</f>
        <v>#REF!</v>
      </c>
      <c r="H365" s="63"/>
      <c r="I365" s="63" t="e">
        <f>IF(SAISIE!#REF!="","",SAISIE!$Q32)</f>
        <v>#REF!</v>
      </c>
      <c r="J365" s="71" t="str">
        <f>IF(COUNTBLANK(SAISIE!$J$6:$M$6)=4,"",IF(SAISIE!#REF!="","",IF(SAISIE!J32&gt;0,SAISIE!$J$6,IF(SAISIE!K32&gt;0,SAISIE!$K$6,IF(SAISIE!L32&gt;0,SAISIE!$L$6,IF(SAISIE!M32&gt;0,SAISIE!$M$6,""))))))</f>
        <v/>
      </c>
      <c r="O365" s="59" t="s">
        <v>60</v>
      </c>
    </row>
    <row r="366" spans="1:15" x14ac:dyDescent="0.25">
      <c r="A366" s="63" t="str">
        <f>IF(AND(G366="",H366=""),"SUPPR",SAISIE!$B$3)</f>
        <v>SUPPR</v>
      </c>
      <c r="B366" s="63" t="str">
        <f>IF(SAISIE!J32="","",IF(LEN(SAISIE!B32)=1,CONCATENATE("0",SAISIE!B32,"/",SAISIE!$B$4,"/",SAISIE!$B$5),CONCATENATE(SAISIE!B32,"/",SAISIE!$B$4,"/",SAISIE!$B$5)))</f>
        <v/>
      </c>
      <c r="C366" s="63" t="str">
        <f>IF(SAISIE!J32="","",SAISIE!$J$8)</f>
        <v/>
      </c>
      <c r="D366" s="63" t="str">
        <f>IF(SAISIE!J32="","",SAISIE!E32)</f>
        <v/>
      </c>
      <c r="E366" s="63" t="str">
        <f>IF(SAISIE!J32="","",SAISIE!F32)</f>
        <v/>
      </c>
      <c r="F366" s="70" t="str">
        <f>IF(SAISIE!$J32="","",IF(SAISIE!$N32="","",SAISIE!$N32))</f>
        <v/>
      </c>
      <c r="G366" s="63" t="str">
        <f>IF(SAISIE!J32="","",SAISIE!J32)</f>
        <v/>
      </c>
      <c r="H366" s="63"/>
      <c r="I366" s="72"/>
      <c r="J366" s="71"/>
      <c r="O366" s="73"/>
    </row>
    <row r="367" spans="1:15" x14ac:dyDescent="0.25">
      <c r="A367" s="63" t="str">
        <f>IF(AND(G367="",H367=""),"SUPPR",SAISIE!$B$3)</f>
        <v>SUPPR</v>
      </c>
      <c r="B367" s="63" t="str">
        <f>IF(SAISIE!K32="","",IF(LEN(SAISIE!B32)=1,CONCATENATE("0",SAISIE!B32,"/",SAISIE!$B$4,"/",SAISIE!$B$5),CONCATENATE(SAISIE!B32,"/",SAISIE!$B$4,"/",SAISIE!$B$5)))</f>
        <v/>
      </c>
      <c r="C367" s="63" t="str">
        <f>IF(SAISIE!K32="","",SAISIE!$K$8)</f>
        <v/>
      </c>
      <c r="D367" s="63" t="str">
        <f>IF(SAISIE!K32="","",SAISIE!E32)</f>
        <v/>
      </c>
      <c r="E367" s="63" t="str">
        <f>IF(SAISIE!K32="","",SAISIE!F32)</f>
        <v/>
      </c>
      <c r="F367" s="70" t="str">
        <f>IF(SAISIE!$K32="","",IF(SAISIE!$N32="","",SAISIE!$N32))</f>
        <v/>
      </c>
      <c r="G367" s="63" t="str">
        <f>IF(SAISIE!K32="","",SAISIE!K32)</f>
        <v/>
      </c>
      <c r="H367" s="63"/>
      <c r="I367" s="72"/>
      <c r="J367" s="71"/>
    </row>
    <row r="368" spans="1:15" x14ac:dyDescent="0.25">
      <c r="A368" s="63" t="str">
        <f>IF(AND(G368="",H368=""),"SUPPR",SAISIE!$B$3)</f>
        <v>SUPPR</v>
      </c>
      <c r="B368" s="63" t="str">
        <f>IF(SAISIE!L32="","",IF(LEN(SAISIE!B32)=1,CONCATENATE("0",SAISIE!B32,"/",SAISIE!$B$4,"/",SAISIE!$B$5),CONCATENATE(SAISIE!B32,"/",SAISIE!$B$4,"/",SAISIE!$B$5)))</f>
        <v/>
      </c>
      <c r="C368" s="63" t="str">
        <f>IF(SAISIE!L32="","",SAISIE!$L$8)</f>
        <v/>
      </c>
      <c r="D368" s="63" t="str">
        <f>IF(SAISIE!L32="","",SAISIE!E32)</f>
        <v/>
      </c>
      <c r="E368" s="63" t="str">
        <f>IF(SAISIE!L32="","",SAISIE!F32)</f>
        <v/>
      </c>
      <c r="F368" s="70" t="str">
        <f>IF(SAISIE!$L32="","",IF(SAISIE!$N32="","",SAISIE!$N32))</f>
        <v/>
      </c>
      <c r="G368" s="63" t="str">
        <f>IF(SAISIE!L32="","",SAISIE!L32)</f>
        <v/>
      </c>
      <c r="H368" s="63"/>
      <c r="I368" s="72"/>
      <c r="J368" s="71"/>
    </row>
    <row r="369" spans="1:15" x14ac:dyDescent="0.25">
      <c r="A369" s="63" t="str">
        <f>IF(AND(G369="",H369=""),"SUPPR",SAISIE!$B$3)</f>
        <v>SUPPR</v>
      </c>
      <c r="B369" s="63" t="str">
        <f>IF(SAISIE!M32="","",IF(LEN(SAISIE!B32)=1,CONCATENATE("0",SAISIE!B32,"/",SAISIE!$B$4,"/",SAISIE!$B$5),CONCATENATE(SAISIE!B32,"/",SAISIE!$B$4,"/",SAISIE!$B$5)))</f>
        <v/>
      </c>
      <c r="C369" s="74" t="str">
        <f>IF(SAISIE!M32="","",SAISIE!$M$8)</f>
        <v/>
      </c>
      <c r="D369" s="74" t="str">
        <f>IF(SAISIE!M32="","",SAISIE!E32)</f>
        <v/>
      </c>
      <c r="E369" s="74" t="str">
        <f>IF(SAISIE!M32="","",SAISIE!F32)</f>
        <v/>
      </c>
      <c r="F369" s="75" t="str">
        <f>IF(SAISIE!$M32="","",IF(SAISIE!$N32="","",SAISIE!$N32))</f>
        <v/>
      </c>
      <c r="G369" s="74" t="str">
        <f>IF(SAISIE!M32="","",SAISIE!M32)</f>
        <v/>
      </c>
      <c r="H369" s="76"/>
      <c r="I369" s="77"/>
      <c r="J369" s="78"/>
    </row>
    <row r="370" spans="1:15" x14ac:dyDescent="0.25">
      <c r="A370" s="63" t="str">
        <f>IF(AND(G370="",H370=""),"SUPPR",SAISIE!$B$3)</f>
        <v>SUPPR</v>
      </c>
      <c r="B370" s="64" t="str">
        <f>IF(SAISIE!B33="","",IF(LEN(SAISIE!B33)=1,CONCATENATE("0",SAISIE!B33,"/",SAISIE!$B$4,"/",SAISIE!$B$5),CONCATENATE(SAISIE!B33,"/",SAISIE!$B$4,"/",SAISIE!$B$5)))</f>
        <v/>
      </c>
      <c r="C370" s="64" t="str">
        <f>IF(SAISIE!B33="","",CONCATENATE($M$2,SAISIE!C33))</f>
        <v/>
      </c>
      <c r="D370" s="64" t="str">
        <f>IF(SAISIE!B33="","",SAISIE!E33)</f>
        <v/>
      </c>
      <c r="E370" s="64" t="str">
        <f>IF(SAISIE!B33="","",SAISIE!F33)</f>
        <v/>
      </c>
      <c r="F370" s="65" t="str">
        <f>IF(A370="SUPPR","",IF(SAISIE!N33="","",SAISIE!N33))</f>
        <v/>
      </c>
      <c r="G370" s="64"/>
      <c r="H370" s="64" t="str">
        <f>IF(SAISIE!B33="","",SAISIE!D33)</f>
        <v/>
      </c>
      <c r="I370" s="66"/>
      <c r="J370" s="67" t="str">
        <f>IF(AZ33="","","")</f>
        <v/>
      </c>
      <c r="O370" s="69">
        <f>O354+1</f>
        <v>33</v>
      </c>
    </row>
    <row r="371" spans="1:15" x14ac:dyDescent="0.25">
      <c r="A371" s="63" t="str">
        <f>IF(AND(G371="",H371=""),"SUPPR",SAISIE!$B$3)</f>
        <v>SUPPR</v>
      </c>
      <c r="B371" s="63" t="str">
        <f>IF(SAISIE!P33="","",IF(LEN(SAISIE!B33)=1,CONCATENATE("0",SAISIE!B33,"/",SAISIE!$B$4,"/",SAISIE!$B$5),CONCATENATE(SAISIE!B33,"/",SAISIE!$B$4,"/",SAISIE!$B$5)))</f>
        <v/>
      </c>
      <c r="C371" s="63" t="str">
        <f>IF(SAISIE!P33="","",SAISIE!O33)</f>
        <v/>
      </c>
      <c r="D371" s="63" t="str">
        <f>IF(SAISIE!P33="","",SAISIE!E33)</f>
        <v/>
      </c>
      <c r="E371" s="63" t="str">
        <f>IF(SAISIE!P33="","",SAISIE!F33)</f>
        <v/>
      </c>
      <c r="F371" s="70" t="str">
        <f>IF(SAISIE!$P33="","",IF(SAISIE!$N33="","",SAISIE!$N33))</f>
        <v/>
      </c>
      <c r="G371" s="63" t="str">
        <f>IF(SAISIE!P33="","",SAISIE!P33)</f>
        <v/>
      </c>
      <c r="H371" s="63"/>
      <c r="I371" s="63" t="str">
        <f>IF(SAISIE!$P33="","",SAISIE!$Q33)</f>
        <v/>
      </c>
      <c r="J371" s="71" t="str">
        <f>IF(COUNTBLANK(SAISIE!$J$6:$M$6)=4,"",IF(SAISIE!P33="","",IF(SAISIE!J33&gt;0,SAISIE!$J$6,IF(SAISIE!K33&gt;0,SAISIE!$K$6,IF(SAISIE!L33&gt;0,SAISIE!$L$6,IF(SAISIE!M33&gt;0,SAISIE!$M$6,""))))))</f>
        <v/>
      </c>
      <c r="O371" s="59" t="s">
        <v>50</v>
      </c>
    </row>
    <row r="372" spans="1:15" x14ac:dyDescent="0.25">
      <c r="A372" s="63" t="str">
        <f>IF(AND(G372="",H372=""),"SUPPR",SAISIE!$B$3)</f>
        <v>SUPPR</v>
      </c>
      <c r="B372" s="63" t="str">
        <f>IF(SAISIE!G33="","",IF(LEN(SAISIE!B33)=1,CONCATENATE("0",SAISIE!B33,"/",SAISIE!$B$4,"/",SAISIE!$B$5),CONCATENATE(SAISIE!B33,"/",SAISIE!$B$4,"/",SAISIE!$B$5)))</f>
        <v/>
      </c>
      <c r="C372" s="63" t="str">
        <f>IF(SAISIE!G33="","",SAISIE!$G$8)</f>
        <v/>
      </c>
      <c r="D372" s="63" t="str">
        <f>IF(SAISIE!G33="","",SAISIE!E33)</f>
        <v/>
      </c>
      <c r="E372" s="63" t="str">
        <f>IF(SAISIE!G33="","",SAISIE!F33)</f>
        <v/>
      </c>
      <c r="F372" s="70" t="str">
        <f>IF(SAISIE!$G33="","",IF(SAISIE!$N33="","",SAISIE!$N33))</f>
        <v/>
      </c>
      <c r="G372" s="63" t="str">
        <f>IF(SAISIE!G33="","",SAISIE!G33)</f>
        <v/>
      </c>
      <c r="H372" s="63"/>
      <c r="I372" s="63" t="str">
        <f>IF(SAISIE!$G33="","",SAISIE!$Q33)</f>
        <v/>
      </c>
      <c r="J372" s="71" t="str">
        <f>IF(COUNTBLANK(SAISIE!$J$6:$M$6)=4,"",IF(SAISIE!G33="","",IF(SAISIE!J33&gt;0,SAISIE!$J$6,IF(SAISIE!K33&gt;0,SAISIE!$K$6,IF(SAISIE!L33&gt;0,SAISIE!$L$6,IF(SAISIE!M33&gt;0,SAISIE!$M$6,""))))))</f>
        <v/>
      </c>
      <c r="O372" s="59" t="s">
        <v>51</v>
      </c>
    </row>
    <row r="373" spans="1:15" x14ac:dyDescent="0.25">
      <c r="A373" s="63" t="str">
        <f>IF(AND(G373="",H373=""),"SUPPR",SAISIE!$B$3)</f>
        <v>SUPPR</v>
      </c>
      <c r="B373" s="63" t="str">
        <f>IF(SAISIE!H33="","",IF(LEN(SAISIE!B33)=1,CONCATENATE("0",SAISIE!B33,"/",SAISIE!$B$4,"/",SAISIE!$B$5),CONCATENATE(SAISIE!B33,"/",SAISIE!$B$4,"/",SAISIE!$B$5)))</f>
        <v/>
      </c>
      <c r="C373" s="63" t="str">
        <f>IF(SAISIE!H33="","",SAISIE!$H$8)</f>
        <v/>
      </c>
      <c r="D373" s="63" t="str">
        <f>IF(SAISIE!H33="","",SAISIE!E33)</f>
        <v/>
      </c>
      <c r="E373" s="63" t="str">
        <f>IF(SAISIE!H33="","",SAISIE!F33)</f>
        <v/>
      </c>
      <c r="F373" s="70" t="str">
        <f>IF(SAISIE!$H33="","",IF(SAISIE!$N33="","",SAISIE!$N33))</f>
        <v/>
      </c>
      <c r="G373" s="63" t="str">
        <f>IF(SAISIE!H33="","",SAISIE!H33)</f>
        <v/>
      </c>
      <c r="H373" s="63"/>
      <c r="I373" s="63" t="str">
        <f>IF(SAISIE!$H33="","",SAISIE!$Q33)</f>
        <v/>
      </c>
      <c r="J373" s="71" t="str">
        <f>IF(COUNTBLANK(SAISIE!$J$6:$M$6)=4,"",IF(SAISIE!H33="","",IF(SAISIE!J33&gt;0,SAISIE!$J$6,IF(SAISIE!K33&gt;0,SAISIE!$K$6,IF(SAISIE!L33&gt;0,SAISIE!$L$6,IF(SAISIE!M33&gt;0,SAISIE!$M$6,""))))))</f>
        <v/>
      </c>
      <c r="O373" s="59" t="s">
        <v>52</v>
      </c>
    </row>
    <row r="374" spans="1:15" x14ac:dyDescent="0.25">
      <c r="A374" s="63" t="str">
        <f>IF(AND(G374="",H374=""),"SUPPR",SAISIE!$B$3)</f>
        <v>SUPPR</v>
      </c>
      <c r="B374" s="63" t="str">
        <f>IF(SAISIE!I33="","",IF(LEN(SAISIE!B33)=1,CONCATENATE("0",SAISIE!B33,"/",SAISIE!$B$4,"/",SAISIE!$B$5),CONCATENATE(SAISIE!B33,"/",SAISIE!$B$4,"/",SAISIE!$B$5)))</f>
        <v/>
      </c>
      <c r="C374" s="63" t="str">
        <f>IF(SAISIE!I33="","",SAISIE!$I$8)</f>
        <v/>
      </c>
      <c r="D374" s="63" t="str">
        <f>IF(SAISIE!I33="","",SAISIE!E33)</f>
        <v/>
      </c>
      <c r="E374" s="63" t="str">
        <f>IF(SAISIE!I33="","",SAISIE!F33)</f>
        <v/>
      </c>
      <c r="F374" s="70" t="str">
        <f>IF(SAISIE!$I33="","",IF(SAISIE!$N33="","",SAISIE!$N33))</f>
        <v/>
      </c>
      <c r="G374" s="63" t="str">
        <f>IF(SAISIE!I33="","",SAISIE!I33)</f>
        <v/>
      </c>
      <c r="H374" s="63"/>
      <c r="I374" s="63" t="str">
        <f>IF(SAISIE!$I33="","",SAISIE!$Q33)</f>
        <v/>
      </c>
      <c r="J374" s="71" t="str">
        <f>IF(COUNTBLANK(SAISIE!$J$6:$M$6)=4,"",IF(SAISIE!I33="","",IF(SAISIE!J33&gt;0,SAISIE!$J$6,IF(SAISIE!K33&gt;0,SAISIE!$K$6,IF(SAISIE!L33&gt;0,SAISIE!$L$6,IF(SAISIE!M33&gt;0,SAISIE!$M$6,""))))))</f>
        <v/>
      </c>
      <c r="O374" s="59" t="s">
        <v>53</v>
      </c>
    </row>
    <row r="375" spans="1:15" x14ac:dyDescent="0.25">
      <c r="A375" s="63" t="e">
        <f>IF(AND(G375="",H375=""),"SUPPR",SAISIE!$B$3)</f>
        <v>#REF!</v>
      </c>
      <c r="B375" s="63" t="e">
        <f>IF(SAISIE!#REF!="","",IF(LEN(SAISIE!B33)=1,CONCATENATE("0",SAISIE!B33,"/",SAISIE!$B$4,"/",SAISIE!$B$5),CONCATENATE(SAISIE!B33,"/",SAISIE!$B$4,"/",SAISIE!$B$5)))</f>
        <v>#REF!</v>
      </c>
      <c r="C375" s="63" t="e">
        <f>IF(SAISIE!#REF!="","",SAISIE!#REF!)</f>
        <v>#REF!</v>
      </c>
      <c r="D375" s="63" t="e">
        <f>IF(SAISIE!#REF!="","",SAISIE!E33)</f>
        <v>#REF!</v>
      </c>
      <c r="E375" s="63" t="e">
        <f>IF(SAISIE!#REF!="","",SAISIE!F33)</f>
        <v>#REF!</v>
      </c>
      <c r="F375" s="70" t="e">
        <f>IF(SAISIE!#REF!="","",IF(SAISIE!$N33="","",SAISIE!$N33))</f>
        <v>#REF!</v>
      </c>
      <c r="G375" s="63" t="e">
        <f>IF(SAISIE!#REF!="","",SAISIE!#REF!)</f>
        <v>#REF!</v>
      </c>
      <c r="H375" s="63"/>
      <c r="I375" s="63" t="e">
        <f>IF(SAISIE!#REF!="","",SAISIE!$Q33)</f>
        <v>#REF!</v>
      </c>
      <c r="J375" s="71" t="str">
        <f>IF(COUNTBLANK(SAISIE!$J$6:$M$6)=4,"",IF(SAISIE!#REF!="","",IF(SAISIE!J33&gt;0,SAISIE!$J$6,IF(SAISIE!K33&gt;0,SAISIE!$K$6,IF(SAISIE!L33&gt;0,SAISIE!$L$6,IF(SAISIE!M33&gt;0,SAISIE!$M$6,""))))))</f>
        <v/>
      </c>
      <c r="O375" s="59" t="s">
        <v>54</v>
      </c>
    </row>
    <row r="376" spans="1:15" x14ac:dyDescent="0.25">
      <c r="A376" s="63" t="e">
        <f>IF(AND(G376="",H376=""),"SUPPR",SAISIE!$B$3)</f>
        <v>#REF!</v>
      </c>
      <c r="B376" s="63" t="e">
        <f>IF(SAISIE!#REF!="","",IF(LEN(SAISIE!B33)=1,CONCATENATE("0",SAISIE!B33,"/",SAISIE!$B$4,"/",SAISIE!$B$5),CONCATENATE(SAISIE!B33,"/",SAISIE!$B$4,"/",SAISIE!$B$5)))</f>
        <v>#REF!</v>
      </c>
      <c r="C376" s="63" t="e">
        <f>IF(SAISIE!#REF!="","",SAISIE!#REF!)</f>
        <v>#REF!</v>
      </c>
      <c r="D376" s="63" t="e">
        <f>IF(SAISIE!#REF!="","",SAISIE!E33)</f>
        <v>#REF!</v>
      </c>
      <c r="E376" s="63" t="e">
        <f>IF(SAISIE!#REF!="","",SAISIE!F33)</f>
        <v>#REF!</v>
      </c>
      <c r="F376" s="70" t="e">
        <f>IF(SAISIE!#REF!="","",IF(SAISIE!$N33="","",SAISIE!$N33))</f>
        <v>#REF!</v>
      </c>
      <c r="G376" s="63" t="e">
        <f>IF(SAISIE!#REF!="","",SAISIE!#REF!)</f>
        <v>#REF!</v>
      </c>
      <c r="H376" s="63"/>
      <c r="I376" s="63" t="e">
        <f>IF(SAISIE!#REF!="","",SAISIE!$Q33)</f>
        <v>#REF!</v>
      </c>
      <c r="J376" s="71" t="str">
        <f>IF(COUNTBLANK(SAISIE!$J$6:$M$6)=4,"",IF(SAISIE!#REF!="","",IF(SAISIE!J33&gt;0,SAISIE!$J$6,IF(SAISIE!K33&gt;0,SAISIE!$K$6,IF(SAISIE!L33&gt;0,SAISIE!$L$6,IF(SAISIE!M33&gt;0,SAISIE!$M$6,""))))))</f>
        <v/>
      </c>
      <c r="O376" s="59" t="s">
        <v>55</v>
      </c>
    </row>
    <row r="377" spans="1:15" x14ac:dyDescent="0.25">
      <c r="A377" s="63" t="e">
        <f>IF(AND(G377="",H377=""),"SUPPR",SAISIE!$B$3)</f>
        <v>#REF!</v>
      </c>
      <c r="B377" s="63" t="e">
        <f>IF(SAISIE!#REF!="","",IF(LEN(SAISIE!B33)=1,CONCATENATE("0",SAISIE!B33,"/",SAISIE!$B$4,"/",SAISIE!$B$5),CONCATENATE(SAISIE!B33,"/",SAISIE!$B$4,"/",SAISIE!$B$5)))</f>
        <v>#REF!</v>
      </c>
      <c r="C377" s="63" t="e">
        <f>IF(SAISIE!#REF!="","",SAISIE!#REF!)</f>
        <v>#REF!</v>
      </c>
      <c r="D377" s="63" t="e">
        <f>IF(SAISIE!#REF!="","",SAISIE!E33)</f>
        <v>#REF!</v>
      </c>
      <c r="E377" s="63" t="e">
        <f>IF(SAISIE!#REF!="","",SAISIE!F33)</f>
        <v>#REF!</v>
      </c>
      <c r="F377" s="70" t="e">
        <f>IF(SAISIE!#REF!="","",IF(SAISIE!$N33="","",SAISIE!$N33))</f>
        <v>#REF!</v>
      </c>
      <c r="G377" s="63" t="e">
        <f>IF(SAISIE!#REF!="","",SAISIE!#REF!)</f>
        <v>#REF!</v>
      </c>
      <c r="H377" s="63"/>
      <c r="I377" s="63" t="e">
        <f>IF(SAISIE!#REF!="","",SAISIE!$Q33)</f>
        <v>#REF!</v>
      </c>
      <c r="J377" s="71" t="str">
        <f>IF(COUNTBLANK(SAISIE!$J$6:$M$6)=4,"",IF(SAISIE!#REF!="","",IF(SAISIE!J33&gt;0,SAISIE!$J$6,IF(SAISIE!K33&gt;0,SAISIE!$K$6,IF(SAISIE!L33&gt;0,SAISIE!$L$6,IF(SAISIE!M33&gt;0,SAISIE!$M$6,""))))))</f>
        <v/>
      </c>
      <c r="O377" s="59" t="s">
        <v>56</v>
      </c>
    </row>
    <row r="378" spans="1:15" x14ac:dyDescent="0.25">
      <c r="A378" s="63" t="e">
        <f>IF(AND(G378="",H378=""),"SUPPR",SAISIE!$B$3)</f>
        <v>#REF!</v>
      </c>
      <c r="B378" s="63" t="e">
        <f>IF(SAISIE!#REF!="","",IF(LEN(SAISIE!B33)=1,CONCATENATE("0",SAISIE!B33,"/",SAISIE!$B$4,"/",SAISIE!$B$5),CONCATENATE(SAISIE!B33,"/",SAISIE!$B$4,"/",SAISIE!$B$5)))</f>
        <v>#REF!</v>
      </c>
      <c r="C378" s="63" t="e">
        <f>IF(SAISIE!#REF!="","",SAISIE!#REF!)</f>
        <v>#REF!</v>
      </c>
      <c r="D378" s="63" t="e">
        <f>IF(SAISIE!#REF!="","",SAISIE!E33)</f>
        <v>#REF!</v>
      </c>
      <c r="E378" s="63" t="e">
        <f>IF(SAISIE!#REF!="","",SAISIE!F33)</f>
        <v>#REF!</v>
      </c>
      <c r="F378" s="70" t="e">
        <f>IF(SAISIE!#REF!="","",IF(SAISIE!$N33="","",SAISIE!$N33))</f>
        <v>#REF!</v>
      </c>
      <c r="G378" s="63" t="e">
        <f>IF(SAISIE!#REF!="","",SAISIE!#REF!)</f>
        <v>#REF!</v>
      </c>
      <c r="H378" s="63"/>
      <c r="I378" s="63" t="e">
        <f>IF(SAISIE!#REF!="","",SAISIE!$Q33)</f>
        <v>#REF!</v>
      </c>
      <c r="J378" s="71" t="str">
        <f>IF(COUNTBLANK(SAISIE!$J$6:$M$6)=4,"",IF(SAISIE!#REF!="","",IF(SAISIE!J33&gt;0,SAISIE!$J$6,IF(SAISIE!K33&gt;0,SAISIE!$K$6,IF(SAISIE!L33&gt;0,SAISIE!$L$6,IF(SAISIE!M33&gt;0,SAISIE!$M$6,""))))))</f>
        <v/>
      </c>
      <c r="O378" s="59" t="s">
        <v>57</v>
      </c>
    </row>
    <row r="379" spans="1:15" x14ac:dyDescent="0.25">
      <c r="A379" s="63" t="e">
        <f>IF(AND(G379="",H379=""),"SUPPR",SAISIE!$B$3)</f>
        <v>#REF!</v>
      </c>
      <c r="B379" s="63" t="e">
        <f>IF(SAISIE!#REF!="","",IF(LEN(SAISIE!B33)=1,CONCATENATE("0",SAISIE!B33,"/",SAISIE!$B$4,"/",SAISIE!$B$5),CONCATENATE(SAISIE!B33,"/",SAISIE!$B$4,"/",SAISIE!$B$5)))</f>
        <v>#REF!</v>
      </c>
      <c r="C379" s="63" t="e">
        <f>IF(SAISIE!#REF!="","",SAISIE!#REF!)</f>
        <v>#REF!</v>
      </c>
      <c r="D379" s="63" t="e">
        <f>IF(SAISIE!#REF!="","",SAISIE!E33)</f>
        <v>#REF!</v>
      </c>
      <c r="E379" s="63" t="e">
        <f>IF(SAISIE!#REF!="","",SAISIE!F33)</f>
        <v>#REF!</v>
      </c>
      <c r="F379" s="70" t="e">
        <f>IF(SAISIE!#REF!="","",IF(SAISIE!$N33="","",SAISIE!$N33))</f>
        <v>#REF!</v>
      </c>
      <c r="G379" s="63" t="e">
        <f>IF(SAISIE!#REF!="","",SAISIE!#REF!)</f>
        <v>#REF!</v>
      </c>
      <c r="H379" s="63"/>
      <c r="I379" s="63" t="e">
        <f>IF(SAISIE!#REF!="","",SAISIE!$Q33)</f>
        <v>#REF!</v>
      </c>
      <c r="J379" s="71" t="str">
        <f>IF(COUNTBLANK(SAISIE!$J$6:$M$6)=4,"",IF(SAISIE!#REF!="","",IF(SAISIE!J33&gt;0,SAISIE!$J$6,IF(SAISIE!K33&gt;0,SAISIE!$K$6,IF(SAISIE!L33&gt;0,SAISIE!$L$6,IF(SAISIE!M33&gt;0,SAISIE!$M$6,""))))))</f>
        <v/>
      </c>
      <c r="O379" s="59" t="s">
        <v>58</v>
      </c>
    </row>
    <row r="380" spans="1:15" x14ac:dyDescent="0.25">
      <c r="A380" s="63" t="e">
        <f>IF(AND(G380="",H380=""),"SUPPR",SAISIE!$B$3)</f>
        <v>#REF!</v>
      </c>
      <c r="B380" s="63" t="e">
        <f>IF(SAISIE!#REF!="","",IF(LEN(SAISIE!B33)=1,CONCATENATE("0",SAISIE!B33,"/",SAISIE!$B$4,"/",SAISIE!$B$5),CONCATENATE(SAISIE!B33,"/",SAISIE!$B$4,"/",SAISIE!$B$5)))</f>
        <v>#REF!</v>
      </c>
      <c r="C380" s="63" t="e">
        <f>IF(SAISIE!#REF!="","",SAISIE!#REF!)</f>
        <v>#REF!</v>
      </c>
      <c r="D380" s="63" t="e">
        <f>IF(SAISIE!#REF!="","",SAISIE!E33)</f>
        <v>#REF!</v>
      </c>
      <c r="E380" s="63" t="e">
        <f>IF(SAISIE!#REF!="","",SAISIE!F33)</f>
        <v>#REF!</v>
      </c>
      <c r="F380" s="70" t="e">
        <f>IF(SAISIE!#REF!="","",IF(SAISIE!$N33="","",SAISIE!$N33))</f>
        <v>#REF!</v>
      </c>
      <c r="G380" s="63" t="e">
        <f>IF(SAISIE!#REF!="","",SAISIE!#REF!)</f>
        <v>#REF!</v>
      </c>
      <c r="H380" s="63"/>
      <c r="I380" s="63" t="e">
        <f>IF(SAISIE!#REF!="","",SAISIE!$Q33)</f>
        <v>#REF!</v>
      </c>
      <c r="J380" s="71" t="str">
        <f>IF(COUNTBLANK(SAISIE!$J$6:$M$6)=4,"",IF(SAISIE!#REF!="","",IF(SAISIE!J33&gt;0,SAISIE!$J$6,IF(SAISIE!K33&gt;0,SAISIE!$K$6,IF(SAISIE!L33&gt;0,SAISIE!$L$6,IF(SAISIE!M33&gt;0,SAISIE!$M$6,""))))))</f>
        <v/>
      </c>
      <c r="O380" s="59" t="s">
        <v>59</v>
      </c>
    </row>
    <row r="381" spans="1:15" x14ac:dyDescent="0.25">
      <c r="A381" s="63" t="e">
        <f>IF(AND(G381="",H381=""),"SUPPR",SAISIE!$B$3)</f>
        <v>#REF!</v>
      </c>
      <c r="B381" s="63" t="e">
        <f>IF(SAISIE!#REF!="","",IF(LEN(SAISIE!B33)=1,CONCATENATE("0",SAISIE!B33,"/",SAISIE!$B$4,"/",SAISIE!$B$5),CONCATENATE(SAISIE!B33,"/",SAISIE!$B$4,"/",SAISIE!$B$5)))</f>
        <v>#REF!</v>
      </c>
      <c r="C381" s="63" t="e">
        <f>IF(SAISIE!#REF!="","",SAISIE!#REF!)</f>
        <v>#REF!</v>
      </c>
      <c r="D381" s="63" t="e">
        <f>IF(SAISIE!#REF!="","",SAISIE!E33)</f>
        <v>#REF!</v>
      </c>
      <c r="E381" s="63" t="e">
        <f>IF(SAISIE!#REF!="","",SAISIE!F33)</f>
        <v>#REF!</v>
      </c>
      <c r="F381" s="70" t="e">
        <f>IF(SAISIE!#REF!="","",IF(SAISIE!$N33="","",SAISIE!$N33))</f>
        <v>#REF!</v>
      </c>
      <c r="G381" s="63" t="e">
        <f>IF(SAISIE!#REF!="","",SAISIE!#REF!)</f>
        <v>#REF!</v>
      </c>
      <c r="H381" s="63"/>
      <c r="I381" s="63" t="e">
        <f>IF(SAISIE!#REF!="","",SAISIE!$Q33)</f>
        <v>#REF!</v>
      </c>
      <c r="J381" s="71" t="str">
        <f>IF(COUNTBLANK(SAISIE!$J$6:$M$6)=4,"",IF(SAISIE!#REF!="","",IF(SAISIE!J33&gt;0,SAISIE!$J$6,IF(SAISIE!K33&gt;0,SAISIE!$K$6,IF(SAISIE!L33&gt;0,SAISIE!$L$6,IF(SAISIE!M33&gt;0,SAISIE!$M$6,""))))))</f>
        <v/>
      </c>
      <c r="O381" s="59" t="s">
        <v>60</v>
      </c>
    </row>
    <row r="382" spans="1:15" x14ac:dyDescent="0.25">
      <c r="A382" s="63" t="str">
        <f>IF(AND(G382="",H382=""),"SUPPR",SAISIE!$B$3)</f>
        <v>SUPPR</v>
      </c>
      <c r="B382" s="63" t="str">
        <f>IF(SAISIE!J33="","",IF(LEN(SAISIE!B33)=1,CONCATENATE("0",SAISIE!B33,"/",SAISIE!$B$4,"/",SAISIE!$B$5),CONCATENATE(SAISIE!B33,"/",SAISIE!$B$4,"/",SAISIE!$B$5)))</f>
        <v/>
      </c>
      <c r="C382" s="63" t="str">
        <f>IF(SAISIE!J33="","",SAISIE!$J$8)</f>
        <v/>
      </c>
      <c r="D382" s="63" t="str">
        <f>IF(SAISIE!J33="","",SAISIE!E33)</f>
        <v/>
      </c>
      <c r="E382" s="63" t="str">
        <f>IF(SAISIE!J33="","",SAISIE!F33)</f>
        <v/>
      </c>
      <c r="F382" s="70" t="str">
        <f>IF(SAISIE!$J33="","",IF(SAISIE!$N33="","",SAISIE!$N33))</f>
        <v/>
      </c>
      <c r="G382" s="63" t="str">
        <f>IF(SAISIE!J33="","",SAISIE!J33)</f>
        <v/>
      </c>
      <c r="H382" s="63"/>
      <c r="I382" s="72"/>
      <c r="J382" s="71"/>
      <c r="O382" s="73"/>
    </row>
    <row r="383" spans="1:15" x14ac:dyDescent="0.25">
      <c r="A383" s="63" t="str">
        <f>IF(AND(G383="",H383=""),"SUPPR",SAISIE!$B$3)</f>
        <v>SUPPR</v>
      </c>
      <c r="B383" s="63" t="str">
        <f>IF(SAISIE!K33="","",IF(LEN(SAISIE!B33)=1,CONCATENATE("0",SAISIE!B33,"/",SAISIE!$B$4,"/",SAISIE!$B$5),CONCATENATE(SAISIE!B33,"/",SAISIE!$B$4,"/",SAISIE!$B$5)))</f>
        <v/>
      </c>
      <c r="C383" s="63" t="str">
        <f>IF(SAISIE!K33="","",SAISIE!$K$8)</f>
        <v/>
      </c>
      <c r="D383" s="63" t="str">
        <f>IF(SAISIE!K33="","",SAISIE!E33)</f>
        <v/>
      </c>
      <c r="E383" s="63" t="str">
        <f>IF(SAISIE!K33="","",SAISIE!F33)</f>
        <v/>
      </c>
      <c r="F383" s="70" t="str">
        <f>IF(SAISIE!$K33="","",IF(SAISIE!$N33="","",SAISIE!$N33))</f>
        <v/>
      </c>
      <c r="G383" s="63" t="str">
        <f>IF(SAISIE!K33="","",SAISIE!K33)</f>
        <v/>
      </c>
      <c r="H383" s="63"/>
      <c r="I383" s="72"/>
      <c r="J383" s="71"/>
    </row>
    <row r="384" spans="1:15" x14ac:dyDescent="0.25">
      <c r="A384" s="63" t="str">
        <f>IF(AND(G384="",H384=""),"SUPPR",SAISIE!$B$3)</f>
        <v>SUPPR</v>
      </c>
      <c r="B384" s="63" t="str">
        <f>IF(SAISIE!L33="","",IF(LEN(SAISIE!B33)=1,CONCATENATE("0",SAISIE!B33,"/",SAISIE!$B$4,"/",SAISIE!$B$5),CONCATENATE(SAISIE!B33,"/",SAISIE!$B$4,"/",SAISIE!$B$5)))</f>
        <v/>
      </c>
      <c r="C384" s="63" t="str">
        <f>IF(SAISIE!L33="","",SAISIE!$L$8)</f>
        <v/>
      </c>
      <c r="D384" s="63" t="str">
        <f>IF(SAISIE!L33="","",SAISIE!E33)</f>
        <v/>
      </c>
      <c r="E384" s="63" t="str">
        <f>IF(SAISIE!L33="","",SAISIE!F33)</f>
        <v/>
      </c>
      <c r="F384" s="70" t="str">
        <f>IF(SAISIE!$L33="","",IF(SAISIE!$N33="","",SAISIE!$N33))</f>
        <v/>
      </c>
      <c r="G384" s="63" t="str">
        <f>IF(SAISIE!L33="","",SAISIE!L33)</f>
        <v/>
      </c>
      <c r="H384" s="63"/>
      <c r="I384" s="72"/>
      <c r="J384" s="71"/>
    </row>
    <row r="385" spans="1:15" x14ac:dyDescent="0.25">
      <c r="A385" s="63" t="str">
        <f>IF(AND(G385="",H385=""),"SUPPR",SAISIE!$B$3)</f>
        <v>SUPPR</v>
      </c>
      <c r="B385" s="63" t="str">
        <f>IF(SAISIE!M33="","",IF(LEN(SAISIE!B33)=1,CONCATENATE("0",SAISIE!B33,"/",SAISIE!$B$4,"/",SAISIE!$B$5),CONCATENATE(SAISIE!B33,"/",SAISIE!$B$4,"/",SAISIE!$B$5)))</f>
        <v/>
      </c>
      <c r="C385" s="74" t="str">
        <f>IF(SAISIE!M33="","",SAISIE!$M$8)</f>
        <v/>
      </c>
      <c r="D385" s="74" t="str">
        <f>IF(SAISIE!M33="","",SAISIE!E33)</f>
        <v/>
      </c>
      <c r="E385" s="74" t="str">
        <f>IF(SAISIE!M33="","",SAISIE!F33)</f>
        <v/>
      </c>
      <c r="F385" s="75" t="str">
        <f>IF(SAISIE!$M33="","",IF(SAISIE!$N33="","",SAISIE!$N33))</f>
        <v/>
      </c>
      <c r="G385" s="74" t="str">
        <f>IF(SAISIE!M33="","",SAISIE!M33)</f>
        <v/>
      </c>
      <c r="H385" s="76"/>
      <c r="I385" s="77"/>
      <c r="J385" s="78"/>
    </row>
    <row r="386" spans="1:15" x14ac:dyDescent="0.25">
      <c r="A386" s="63" t="str">
        <f>IF(AND(G386="",H386=""),"SUPPR",SAISIE!$B$3)</f>
        <v>SUPPR</v>
      </c>
      <c r="B386" s="64" t="str">
        <f>IF(SAISIE!B34="","",IF(LEN(SAISIE!B34)=1,CONCATENATE("0",SAISIE!B34,"/",SAISIE!$B$4,"/",SAISIE!$B$5),CONCATENATE(SAISIE!B34,"/",SAISIE!$B$4,"/",SAISIE!$B$5)))</f>
        <v/>
      </c>
      <c r="C386" s="64" t="str">
        <f>IF(SAISIE!B34="","",CONCATENATE($M$2,SAISIE!C34))</f>
        <v/>
      </c>
      <c r="D386" s="64" t="str">
        <f>IF(SAISIE!B34="","",SAISIE!E34)</f>
        <v/>
      </c>
      <c r="E386" s="64" t="str">
        <f>IF(SAISIE!B34="","",SAISIE!F34)</f>
        <v/>
      </c>
      <c r="F386" s="65" t="str">
        <f>IF(A386="SUPPR","",IF(SAISIE!$N34="","",SAISIE!$N34))</f>
        <v/>
      </c>
      <c r="G386" s="64"/>
      <c r="H386" s="64" t="str">
        <f>IF(SAISIE!B34="","",SAISIE!D34)</f>
        <v/>
      </c>
      <c r="I386" s="66"/>
      <c r="J386" s="67" t="str">
        <f>IF(AZ34="","","")</f>
        <v/>
      </c>
      <c r="O386" s="69">
        <f>O370+1</f>
        <v>34</v>
      </c>
    </row>
    <row r="387" spans="1:15" x14ac:dyDescent="0.25">
      <c r="A387" s="63" t="str">
        <f>IF(AND(G387="",H387=""),"SUPPR",SAISIE!$B$3)</f>
        <v>SUPPR</v>
      </c>
      <c r="B387" s="63" t="str">
        <f>IF(SAISIE!P34="","",IF(LEN(SAISIE!B34)=1,CONCATENATE("0",SAISIE!B34,"/",SAISIE!$B$4,"/",SAISIE!$B$5),CONCATENATE(SAISIE!B34,"/",SAISIE!$B$4,"/",SAISIE!$B$5)))</f>
        <v/>
      </c>
      <c r="C387" s="63" t="str">
        <f>IF(SAISIE!P34="","",SAISIE!O34)</f>
        <v/>
      </c>
      <c r="D387" s="63" t="str">
        <f>IF(SAISIE!P34="","",SAISIE!E34)</f>
        <v/>
      </c>
      <c r="E387" s="63" t="str">
        <f>IF(SAISIE!P34="","",SAISIE!F34)</f>
        <v/>
      </c>
      <c r="F387" s="70" t="str">
        <f>IF(SAISIE!$P34="","",IF(SAISIE!$N34="","",SAISIE!$N34))</f>
        <v/>
      </c>
      <c r="G387" s="63" t="str">
        <f>IF(SAISIE!P34="","",SAISIE!P34)</f>
        <v/>
      </c>
      <c r="H387" s="63"/>
      <c r="I387" s="63" t="str">
        <f>IF(SAISIE!$P34="","",SAISIE!$Q34)</f>
        <v/>
      </c>
      <c r="J387" s="71" t="str">
        <f>IF(COUNTBLANK(SAISIE!$J$6:$M$6)=4,"",IF(SAISIE!P34="","",IF(SAISIE!J34&gt;0,SAISIE!$J$6,IF(SAISIE!K34&gt;0,SAISIE!$K$6,IF(SAISIE!L34&gt;0,SAISIE!$L$6,IF(SAISIE!M34&gt;0,SAISIE!$M$6,""))))))</f>
        <v/>
      </c>
      <c r="O387" s="59" t="s">
        <v>50</v>
      </c>
    </row>
    <row r="388" spans="1:15" x14ac:dyDescent="0.25">
      <c r="A388" s="63" t="str">
        <f>IF(AND(G388="",H388=""),"SUPPR",SAISIE!$B$3)</f>
        <v>SUPPR</v>
      </c>
      <c r="B388" s="63" t="str">
        <f>IF(SAISIE!G34="","",IF(LEN(SAISIE!B34)=1,CONCATENATE("0",SAISIE!B34,"/",SAISIE!$B$4,"/",SAISIE!$B$5),CONCATENATE(SAISIE!B34,"/",SAISIE!$B$4,"/",SAISIE!$B$5)))</f>
        <v/>
      </c>
      <c r="C388" s="63" t="str">
        <f>IF(SAISIE!G34="","",SAISIE!$G$8)</f>
        <v/>
      </c>
      <c r="D388" s="63" t="str">
        <f>IF(SAISIE!G34="","",SAISIE!E34)</f>
        <v/>
      </c>
      <c r="E388" s="63" t="str">
        <f>IF(SAISIE!G34="","",SAISIE!F34)</f>
        <v/>
      </c>
      <c r="F388" s="70" t="str">
        <f>IF(SAISIE!$G34="","",IF(SAISIE!$N34="","",SAISIE!$N34))</f>
        <v/>
      </c>
      <c r="G388" s="63" t="str">
        <f>IF(SAISIE!G34="","",SAISIE!G34)</f>
        <v/>
      </c>
      <c r="H388" s="63"/>
      <c r="I388" s="63" t="str">
        <f>IF(SAISIE!$G34="","",SAISIE!$Q34)</f>
        <v/>
      </c>
      <c r="J388" s="71" t="str">
        <f>IF(COUNTBLANK(SAISIE!$J$6:$M$6)=4,"",IF(SAISIE!G34="","",IF(SAISIE!J34&gt;0,SAISIE!$J$6,IF(SAISIE!K34&gt;0,SAISIE!$K$6,IF(SAISIE!L34&gt;0,SAISIE!$L$6,IF(SAISIE!M34&gt;0,SAISIE!$M$6,""))))))</f>
        <v/>
      </c>
      <c r="O388" s="59" t="s">
        <v>51</v>
      </c>
    </row>
    <row r="389" spans="1:15" x14ac:dyDescent="0.25">
      <c r="A389" s="63" t="str">
        <f>IF(AND(G389="",H389=""),"SUPPR",SAISIE!$B$3)</f>
        <v>SUPPR</v>
      </c>
      <c r="B389" s="63" t="str">
        <f>IF(SAISIE!H34="","",IF(LEN(SAISIE!B34)=1,CONCATENATE("0",SAISIE!B34,"/",SAISIE!$B$4,"/",SAISIE!$B$5),CONCATENATE(SAISIE!B34,"/",SAISIE!$B$4,"/",SAISIE!$B$5)))</f>
        <v/>
      </c>
      <c r="C389" s="63" t="str">
        <f>IF(SAISIE!H34="","",SAISIE!$H$8)</f>
        <v/>
      </c>
      <c r="D389" s="63" t="str">
        <f>IF(SAISIE!H34="","",SAISIE!E34)</f>
        <v/>
      </c>
      <c r="E389" s="63" t="str">
        <f>IF(SAISIE!H34="","",SAISIE!F34)</f>
        <v/>
      </c>
      <c r="F389" s="70" t="str">
        <f>IF(SAISIE!$H34="","",IF(SAISIE!$N34="","",SAISIE!$N34))</f>
        <v/>
      </c>
      <c r="G389" s="63" t="str">
        <f>IF(SAISIE!H34="","",SAISIE!H34)</f>
        <v/>
      </c>
      <c r="H389" s="63"/>
      <c r="I389" s="63" t="str">
        <f>IF(SAISIE!$H34="","",SAISIE!$Q34)</f>
        <v/>
      </c>
      <c r="J389" s="71" t="str">
        <f>IF(COUNTBLANK(SAISIE!$J$6:$M$6)=4,"",IF(SAISIE!H34="","",IF(SAISIE!J34&gt;0,SAISIE!$J$6,IF(SAISIE!K34&gt;0,SAISIE!$K$6,IF(SAISIE!L34&gt;0,SAISIE!$L$6,IF(SAISIE!M34&gt;0,SAISIE!$M$6,""))))))</f>
        <v/>
      </c>
      <c r="O389" s="59" t="s">
        <v>52</v>
      </c>
    </row>
    <row r="390" spans="1:15" x14ac:dyDescent="0.25">
      <c r="A390" s="63" t="str">
        <f>IF(AND(G390="",H390=""),"SUPPR",SAISIE!$B$3)</f>
        <v>SUPPR</v>
      </c>
      <c r="B390" s="63" t="str">
        <f>IF(SAISIE!I34="","",IF(LEN(SAISIE!B34)=1,CONCATENATE("0",SAISIE!B34,"/",SAISIE!$B$4,"/",SAISIE!$B$5),CONCATENATE(SAISIE!B34,"/",SAISIE!$B$4,"/",SAISIE!$B$5)))</f>
        <v/>
      </c>
      <c r="C390" s="63" t="str">
        <f>IF(SAISIE!I34="","",SAISIE!$I$8)</f>
        <v/>
      </c>
      <c r="D390" s="63" t="str">
        <f>IF(SAISIE!I34="","",SAISIE!E34)</f>
        <v/>
      </c>
      <c r="E390" s="63" t="str">
        <f>IF(SAISIE!I34="","",SAISIE!F34)</f>
        <v/>
      </c>
      <c r="F390" s="70" t="str">
        <f>IF(SAISIE!$I34="","",IF(SAISIE!$N34="","",SAISIE!$N34))</f>
        <v/>
      </c>
      <c r="G390" s="63" t="str">
        <f>IF(SAISIE!I34="","",SAISIE!I34)</f>
        <v/>
      </c>
      <c r="H390" s="63"/>
      <c r="I390" s="63" t="str">
        <f>IF(SAISIE!$I34="","",SAISIE!$Q34)</f>
        <v/>
      </c>
      <c r="J390" s="71" t="str">
        <f>IF(COUNTBLANK(SAISIE!$J$6:$M$6)=4,"",IF(SAISIE!I34="","",IF(SAISIE!J34&gt;0,SAISIE!$J$6,IF(SAISIE!K34&gt;0,SAISIE!$K$6,IF(SAISIE!L34&gt;0,SAISIE!$L$6,IF(SAISIE!M34&gt;0,SAISIE!$M$6,""))))))</f>
        <v/>
      </c>
      <c r="O390" s="59" t="s">
        <v>53</v>
      </c>
    </row>
    <row r="391" spans="1:15" x14ac:dyDescent="0.25">
      <c r="A391" s="63" t="e">
        <f>IF(AND(G391="",H391=""),"SUPPR",SAISIE!$B$3)</f>
        <v>#REF!</v>
      </c>
      <c r="B391" s="63" t="e">
        <f>IF(SAISIE!#REF!="","",IF(LEN(SAISIE!B34)=1,CONCATENATE("0",SAISIE!B34,"/",SAISIE!$B$4,"/",SAISIE!$B$5),CONCATENATE(SAISIE!B34,"/",SAISIE!$B$4,"/",SAISIE!$B$5)))</f>
        <v>#REF!</v>
      </c>
      <c r="C391" s="63" t="e">
        <f>IF(SAISIE!#REF!="","",SAISIE!#REF!)</f>
        <v>#REF!</v>
      </c>
      <c r="D391" s="63" t="e">
        <f>IF(SAISIE!#REF!="","",SAISIE!E34)</f>
        <v>#REF!</v>
      </c>
      <c r="E391" s="63" t="e">
        <f>IF(SAISIE!#REF!="","",SAISIE!F34)</f>
        <v>#REF!</v>
      </c>
      <c r="F391" s="70" t="e">
        <f>IF(SAISIE!#REF!="","",IF(SAISIE!$N34="","",SAISIE!$N34))</f>
        <v>#REF!</v>
      </c>
      <c r="G391" s="63" t="e">
        <f>IF(SAISIE!#REF!="","",SAISIE!#REF!)</f>
        <v>#REF!</v>
      </c>
      <c r="H391" s="63"/>
      <c r="I391" s="63" t="e">
        <f>IF(SAISIE!#REF!="","",SAISIE!$Q34)</f>
        <v>#REF!</v>
      </c>
      <c r="J391" s="71" t="str">
        <f>IF(COUNTBLANK(SAISIE!$J$6:$M$6)=4,"",IF(SAISIE!#REF!="","",IF(SAISIE!J34&gt;0,SAISIE!$J$6,IF(SAISIE!K34&gt;0,SAISIE!$K$6,IF(SAISIE!L34&gt;0,SAISIE!$L$6,IF(SAISIE!M34&gt;0,SAISIE!$M$6,""))))))</f>
        <v/>
      </c>
      <c r="O391" s="59" t="s">
        <v>54</v>
      </c>
    </row>
    <row r="392" spans="1:15" x14ac:dyDescent="0.25">
      <c r="A392" s="63" t="e">
        <f>IF(AND(G392="",H392=""),"SUPPR",SAISIE!$B$3)</f>
        <v>#REF!</v>
      </c>
      <c r="B392" s="63" t="e">
        <f>IF(SAISIE!#REF!="","",IF(LEN(SAISIE!B34)=1,CONCATENATE("0",SAISIE!B34,"/",SAISIE!$B$4,"/",SAISIE!$B$5),CONCATENATE(SAISIE!B34,"/",SAISIE!$B$4,"/",SAISIE!$B$5)))</f>
        <v>#REF!</v>
      </c>
      <c r="C392" s="63" t="e">
        <f>IF(SAISIE!#REF!="","",SAISIE!#REF!)</f>
        <v>#REF!</v>
      </c>
      <c r="D392" s="63" t="e">
        <f>IF(SAISIE!#REF!="","",SAISIE!E34)</f>
        <v>#REF!</v>
      </c>
      <c r="E392" s="63" t="e">
        <f>IF(SAISIE!#REF!="","",SAISIE!F34)</f>
        <v>#REF!</v>
      </c>
      <c r="F392" s="70" t="e">
        <f>IF(SAISIE!#REF!="","",IF(SAISIE!$N34="","",SAISIE!$N34))</f>
        <v>#REF!</v>
      </c>
      <c r="G392" s="63" t="e">
        <f>IF(SAISIE!#REF!="","",SAISIE!#REF!)</f>
        <v>#REF!</v>
      </c>
      <c r="H392" s="63"/>
      <c r="I392" s="63" t="e">
        <f>IF(SAISIE!#REF!="","",SAISIE!$Q34)</f>
        <v>#REF!</v>
      </c>
      <c r="J392" s="71" t="str">
        <f>IF(COUNTBLANK(SAISIE!$J$6:$M$6)=4,"",IF(SAISIE!#REF!="","",IF(SAISIE!J34&gt;0,SAISIE!$J$6,IF(SAISIE!K34&gt;0,SAISIE!$K$6,IF(SAISIE!L34&gt;0,SAISIE!$L$6,IF(SAISIE!M34&gt;0,SAISIE!$M$6,""))))))</f>
        <v/>
      </c>
      <c r="O392" s="59" t="s">
        <v>55</v>
      </c>
    </row>
    <row r="393" spans="1:15" x14ac:dyDescent="0.25">
      <c r="A393" s="63" t="e">
        <f>IF(AND(G393="",H393=""),"SUPPR",SAISIE!$B$3)</f>
        <v>#REF!</v>
      </c>
      <c r="B393" s="63" t="e">
        <f>IF(SAISIE!#REF!="","",IF(LEN(SAISIE!B34)=1,CONCATENATE("0",SAISIE!B34,"/",SAISIE!$B$4,"/",SAISIE!$B$5),CONCATENATE(SAISIE!B34,"/",SAISIE!$B$4,"/",SAISIE!$B$5)))</f>
        <v>#REF!</v>
      </c>
      <c r="C393" s="63" t="e">
        <f>IF(SAISIE!#REF!="","",SAISIE!#REF!)</f>
        <v>#REF!</v>
      </c>
      <c r="D393" s="63" t="e">
        <f>IF(SAISIE!#REF!="","",SAISIE!E34)</f>
        <v>#REF!</v>
      </c>
      <c r="E393" s="63" t="e">
        <f>IF(SAISIE!#REF!="","",SAISIE!F34)</f>
        <v>#REF!</v>
      </c>
      <c r="F393" s="70" t="e">
        <f>IF(SAISIE!#REF!="","",IF(SAISIE!$N34="","",SAISIE!$N34))</f>
        <v>#REF!</v>
      </c>
      <c r="G393" s="63" t="e">
        <f>IF(SAISIE!#REF!="","",SAISIE!#REF!)</f>
        <v>#REF!</v>
      </c>
      <c r="H393" s="63"/>
      <c r="I393" s="63" t="e">
        <f>IF(SAISIE!#REF!="","",SAISIE!$Q34)</f>
        <v>#REF!</v>
      </c>
      <c r="J393" s="71" t="str">
        <f>IF(COUNTBLANK(SAISIE!$J$6:$M$6)=4,"",IF(SAISIE!#REF!="","",IF(SAISIE!J34&gt;0,SAISIE!$J$6,IF(SAISIE!K34&gt;0,SAISIE!$K$6,IF(SAISIE!L34&gt;0,SAISIE!$L$6,IF(SAISIE!M34&gt;0,SAISIE!$M$6,""))))))</f>
        <v/>
      </c>
      <c r="O393" s="59" t="s">
        <v>56</v>
      </c>
    </row>
    <row r="394" spans="1:15" x14ac:dyDescent="0.25">
      <c r="A394" s="63" t="e">
        <f>IF(AND(G394="",H394=""),"SUPPR",SAISIE!$B$3)</f>
        <v>#REF!</v>
      </c>
      <c r="B394" s="63" t="e">
        <f>IF(SAISIE!#REF!="","",IF(LEN(SAISIE!B34)=1,CONCATENATE("0",SAISIE!B34,"/",SAISIE!$B$4,"/",SAISIE!$B$5),CONCATENATE(SAISIE!B34,"/",SAISIE!$B$4,"/",SAISIE!$B$5)))</f>
        <v>#REF!</v>
      </c>
      <c r="C394" s="63" t="e">
        <f>IF(SAISIE!#REF!="","",SAISIE!#REF!)</f>
        <v>#REF!</v>
      </c>
      <c r="D394" s="63" t="e">
        <f>IF(SAISIE!#REF!="","",SAISIE!E34)</f>
        <v>#REF!</v>
      </c>
      <c r="E394" s="63" t="e">
        <f>IF(SAISIE!#REF!="","",SAISIE!F34)</f>
        <v>#REF!</v>
      </c>
      <c r="F394" s="70" t="e">
        <f>IF(SAISIE!#REF!="","",IF(SAISIE!$N34="","",SAISIE!$N34))</f>
        <v>#REF!</v>
      </c>
      <c r="G394" s="63" t="e">
        <f>IF(SAISIE!#REF!="","",SAISIE!#REF!)</f>
        <v>#REF!</v>
      </c>
      <c r="H394" s="63"/>
      <c r="I394" s="63" t="e">
        <f>IF(SAISIE!#REF!="","",SAISIE!$Q34)</f>
        <v>#REF!</v>
      </c>
      <c r="J394" s="71" t="str">
        <f>IF(COUNTBLANK(SAISIE!$J$6:$M$6)=4,"",IF(SAISIE!#REF!="","",IF(SAISIE!J34&gt;0,SAISIE!$J$6,IF(SAISIE!K34&gt;0,SAISIE!$K$6,IF(SAISIE!L34&gt;0,SAISIE!$L$6,IF(SAISIE!M34&gt;0,SAISIE!$M$6,""))))))</f>
        <v/>
      </c>
      <c r="O394" s="59" t="s">
        <v>57</v>
      </c>
    </row>
    <row r="395" spans="1:15" x14ac:dyDescent="0.25">
      <c r="A395" s="63" t="e">
        <f>IF(AND(G395="",H395=""),"SUPPR",SAISIE!$B$3)</f>
        <v>#REF!</v>
      </c>
      <c r="B395" s="63" t="e">
        <f>IF(SAISIE!#REF!="","",IF(LEN(SAISIE!B34)=1,CONCATENATE("0",SAISIE!B34,"/",SAISIE!$B$4,"/",SAISIE!$B$5),CONCATENATE(SAISIE!B34,"/",SAISIE!$B$4,"/",SAISIE!$B$5)))</f>
        <v>#REF!</v>
      </c>
      <c r="C395" s="63" t="e">
        <f>IF(SAISIE!#REF!="","",SAISIE!#REF!)</f>
        <v>#REF!</v>
      </c>
      <c r="D395" s="63" t="e">
        <f>IF(SAISIE!#REF!="","",SAISIE!E34)</f>
        <v>#REF!</v>
      </c>
      <c r="E395" s="63" t="e">
        <f>IF(SAISIE!#REF!="","",SAISIE!F34)</f>
        <v>#REF!</v>
      </c>
      <c r="F395" s="70" t="e">
        <f>IF(SAISIE!#REF!="","",IF(SAISIE!$N34="","",SAISIE!$N34))</f>
        <v>#REF!</v>
      </c>
      <c r="G395" s="63" t="e">
        <f>IF(SAISIE!#REF!="","",SAISIE!#REF!)</f>
        <v>#REF!</v>
      </c>
      <c r="H395" s="63"/>
      <c r="I395" s="63" t="e">
        <f>IF(SAISIE!#REF!="","",SAISIE!$Q34)</f>
        <v>#REF!</v>
      </c>
      <c r="J395" s="71" t="str">
        <f>IF(COUNTBLANK(SAISIE!$J$6:$M$6)=4,"",IF(SAISIE!#REF!="","",IF(SAISIE!J34&gt;0,SAISIE!$J$6,IF(SAISIE!K34&gt;0,SAISIE!$K$6,IF(SAISIE!L34&gt;0,SAISIE!$L$6,IF(SAISIE!M34&gt;0,SAISIE!$M$6,""))))))</f>
        <v/>
      </c>
      <c r="O395" s="59" t="s">
        <v>58</v>
      </c>
    </row>
    <row r="396" spans="1:15" x14ac:dyDescent="0.25">
      <c r="A396" s="63" t="e">
        <f>IF(AND(G396="",H396=""),"SUPPR",SAISIE!$B$3)</f>
        <v>#REF!</v>
      </c>
      <c r="B396" s="63" t="e">
        <f>IF(SAISIE!#REF!="","",IF(LEN(SAISIE!B34)=1,CONCATENATE("0",SAISIE!B34,"/",SAISIE!$B$4,"/",SAISIE!$B$5),CONCATENATE(SAISIE!B34,"/",SAISIE!$B$4,"/",SAISIE!$B$5)))</f>
        <v>#REF!</v>
      </c>
      <c r="C396" s="63" t="e">
        <f>IF(SAISIE!#REF!="","",SAISIE!#REF!)</f>
        <v>#REF!</v>
      </c>
      <c r="D396" s="63" t="e">
        <f>IF(SAISIE!#REF!="","",SAISIE!E34)</f>
        <v>#REF!</v>
      </c>
      <c r="E396" s="63" t="e">
        <f>IF(SAISIE!#REF!="","",SAISIE!F34)</f>
        <v>#REF!</v>
      </c>
      <c r="F396" s="70" t="e">
        <f>IF(SAISIE!#REF!="","",IF(SAISIE!$N34="","",SAISIE!$N34))</f>
        <v>#REF!</v>
      </c>
      <c r="G396" s="63" t="e">
        <f>IF(SAISIE!#REF!="","",SAISIE!#REF!)</f>
        <v>#REF!</v>
      </c>
      <c r="H396" s="63"/>
      <c r="I396" s="63" t="e">
        <f>IF(SAISIE!#REF!="","",SAISIE!$Q34)</f>
        <v>#REF!</v>
      </c>
      <c r="J396" s="71" t="str">
        <f>IF(COUNTBLANK(SAISIE!$J$6:$M$6)=4,"",IF(SAISIE!#REF!="","",IF(SAISIE!J34&gt;0,SAISIE!$J$6,IF(SAISIE!K34&gt;0,SAISIE!$K$6,IF(SAISIE!L34&gt;0,SAISIE!$L$6,IF(SAISIE!M34&gt;0,SAISIE!$M$6,""))))))</f>
        <v/>
      </c>
      <c r="O396" s="59" t="s">
        <v>59</v>
      </c>
    </row>
    <row r="397" spans="1:15" x14ac:dyDescent="0.25">
      <c r="A397" s="63" t="e">
        <f>IF(AND(G397="",H397=""),"SUPPR",SAISIE!$B$3)</f>
        <v>#REF!</v>
      </c>
      <c r="B397" s="63" t="e">
        <f>IF(SAISIE!#REF!="","",IF(LEN(SAISIE!B34)=1,CONCATENATE("0",SAISIE!B34,"/",SAISIE!$B$4,"/",SAISIE!$B$5),CONCATENATE(SAISIE!B34,"/",SAISIE!$B$4,"/",SAISIE!$B$5)))</f>
        <v>#REF!</v>
      </c>
      <c r="C397" s="63" t="e">
        <f>IF(SAISIE!#REF!="","",SAISIE!#REF!)</f>
        <v>#REF!</v>
      </c>
      <c r="D397" s="63" t="e">
        <f>IF(SAISIE!#REF!="","",SAISIE!E34)</f>
        <v>#REF!</v>
      </c>
      <c r="E397" s="63" t="e">
        <f>IF(SAISIE!#REF!="","",SAISIE!F34)</f>
        <v>#REF!</v>
      </c>
      <c r="F397" s="70" t="e">
        <f>IF(SAISIE!#REF!="","",IF(SAISIE!$N34="","",SAISIE!$N34))</f>
        <v>#REF!</v>
      </c>
      <c r="G397" s="63" t="e">
        <f>IF(SAISIE!#REF!="","",SAISIE!#REF!)</f>
        <v>#REF!</v>
      </c>
      <c r="H397" s="63"/>
      <c r="I397" s="63" t="e">
        <f>IF(SAISIE!#REF!="","",SAISIE!$Q34)</f>
        <v>#REF!</v>
      </c>
      <c r="J397" s="71" t="str">
        <f>IF(COUNTBLANK(SAISIE!$J$6:$M$6)=4,"",IF(SAISIE!#REF!="","",IF(SAISIE!J34&gt;0,SAISIE!$J$6,IF(SAISIE!K34&gt;0,SAISIE!$K$6,IF(SAISIE!L34&gt;0,SAISIE!$L$6,IF(SAISIE!M34&gt;0,SAISIE!$M$6,""))))))</f>
        <v/>
      </c>
      <c r="O397" s="59" t="s">
        <v>60</v>
      </c>
    </row>
    <row r="398" spans="1:15" x14ac:dyDescent="0.25">
      <c r="A398" s="63" t="str">
        <f>IF(AND(G398="",H398=""),"SUPPR",SAISIE!$B$3)</f>
        <v>SUPPR</v>
      </c>
      <c r="B398" s="63" t="str">
        <f>IF(SAISIE!J34="","",IF(LEN(SAISIE!B34)=1,CONCATENATE("0",SAISIE!B34,"/",SAISIE!$B$4,"/",SAISIE!$B$5),CONCATENATE(SAISIE!B34,"/",SAISIE!$B$4,"/",SAISIE!$B$5)))</f>
        <v/>
      </c>
      <c r="C398" s="63" t="str">
        <f>IF(SAISIE!J34="","",SAISIE!$J$8)</f>
        <v/>
      </c>
      <c r="D398" s="63" t="str">
        <f>IF(SAISIE!J34="","",SAISIE!E34)</f>
        <v/>
      </c>
      <c r="E398" s="63" t="str">
        <f>IF(SAISIE!J34="","",SAISIE!F34)</f>
        <v/>
      </c>
      <c r="F398" s="70" t="str">
        <f>IF(SAISIE!$J34="","",IF(SAISIE!$N34="","",SAISIE!$N34))</f>
        <v/>
      </c>
      <c r="G398" s="63" t="str">
        <f>IF(SAISIE!J34="","",SAISIE!J34)</f>
        <v/>
      </c>
      <c r="H398" s="63"/>
      <c r="I398" s="72"/>
      <c r="J398" s="71"/>
      <c r="O398" s="73"/>
    </row>
    <row r="399" spans="1:15" x14ac:dyDescent="0.25">
      <c r="A399" s="63" t="str">
        <f>IF(AND(G399="",H399=""),"SUPPR",SAISIE!$B$3)</f>
        <v>SUPPR</v>
      </c>
      <c r="B399" s="63" t="str">
        <f>IF(SAISIE!K34="","",IF(LEN(SAISIE!B34)=1,CONCATENATE("0",SAISIE!B34,"/",SAISIE!$B$4,"/",SAISIE!$B$5),CONCATENATE(SAISIE!B34,"/",SAISIE!$B$4,"/",SAISIE!$B$5)))</f>
        <v/>
      </c>
      <c r="C399" s="63" t="str">
        <f>IF(SAISIE!K34="","",SAISIE!$K$8)</f>
        <v/>
      </c>
      <c r="D399" s="63" t="str">
        <f>IF(SAISIE!K34="","",SAISIE!E34)</f>
        <v/>
      </c>
      <c r="E399" s="63" t="str">
        <f>IF(SAISIE!K34="","",SAISIE!F34)</f>
        <v/>
      </c>
      <c r="F399" s="70" t="str">
        <f>IF(SAISIE!$K34="","",IF(SAISIE!$N34="","",SAISIE!$N34))</f>
        <v/>
      </c>
      <c r="G399" s="63" t="str">
        <f>IF(SAISIE!K34="","",SAISIE!K34)</f>
        <v/>
      </c>
      <c r="H399" s="63"/>
      <c r="I399" s="72"/>
      <c r="J399" s="71"/>
    </row>
    <row r="400" spans="1:15" x14ac:dyDescent="0.25">
      <c r="A400" s="63" t="str">
        <f>IF(AND(G400="",H400=""),"SUPPR",SAISIE!$B$3)</f>
        <v>SUPPR</v>
      </c>
      <c r="B400" s="63" t="str">
        <f>IF(SAISIE!L34="","",IF(LEN(SAISIE!B34)=1,CONCATENATE("0",SAISIE!B34,"/",SAISIE!$B$4,"/",SAISIE!$B$5),CONCATENATE(SAISIE!B34,"/",SAISIE!$B$4,"/",SAISIE!$B$5)))</f>
        <v/>
      </c>
      <c r="C400" s="63" t="str">
        <f>IF(SAISIE!L34="","",SAISIE!$L$8)</f>
        <v/>
      </c>
      <c r="D400" s="63" t="str">
        <f>IF(SAISIE!L34="","",SAISIE!E34)</f>
        <v/>
      </c>
      <c r="E400" s="63" t="str">
        <f>IF(SAISIE!L34="","",SAISIE!F34)</f>
        <v/>
      </c>
      <c r="F400" s="70" t="str">
        <f>IF(SAISIE!$L34="","",IF(SAISIE!$N34="","",SAISIE!$N34))</f>
        <v/>
      </c>
      <c r="G400" s="63" t="str">
        <f>IF(SAISIE!L34="","",SAISIE!L34)</f>
        <v/>
      </c>
      <c r="H400" s="63"/>
      <c r="I400" s="72"/>
      <c r="J400" s="71"/>
    </row>
    <row r="401" spans="1:15" x14ac:dyDescent="0.25">
      <c r="A401" s="63" t="str">
        <f>IF(AND(G401="",H401=""),"SUPPR",SAISIE!$B$3)</f>
        <v>SUPPR</v>
      </c>
      <c r="B401" s="63" t="str">
        <f>IF(SAISIE!M34="","",IF(LEN(SAISIE!B34)=1,CONCATENATE("0",SAISIE!B34,"/",SAISIE!$B$4,"/",SAISIE!$B$5),CONCATENATE(SAISIE!B34,"/",SAISIE!$B$4,"/",SAISIE!$B$5)))</f>
        <v/>
      </c>
      <c r="C401" s="74" t="str">
        <f>IF(SAISIE!M34="","",SAISIE!$M$8)</f>
        <v/>
      </c>
      <c r="D401" s="74" t="str">
        <f>IF(SAISIE!M34="","",SAISIE!E34)</f>
        <v/>
      </c>
      <c r="E401" s="74" t="str">
        <f>IF(SAISIE!M34="","",SAISIE!F34)</f>
        <v/>
      </c>
      <c r="F401" s="75" t="str">
        <f>IF(SAISIE!$M34="","",IF(SAISIE!$N34="","",SAISIE!$N34))</f>
        <v/>
      </c>
      <c r="G401" s="74" t="str">
        <f>IF(SAISIE!M34="","",SAISIE!M34)</f>
        <v/>
      </c>
      <c r="H401" s="76"/>
      <c r="I401" s="77"/>
      <c r="J401" s="78"/>
    </row>
    <row r="402" spans="1:15" x14ac:dyDescent="0.25">
      <c r="A402" s="63" t="str">
        <f>IF(AND(G402="",H402=""),"SUPPR",SAISIE!$B$3)</f>
        <v>SUPPR</v>
      </c>
      <c r="B402" s="64" t="str">
        <f>IF(SAISIE!B35="","",IF(LEN(SAISIE!B35)=1,CONCATENATE("0",SAISIE!B35,"/",SAISIE!$B$4,"/",SAISIE!$B$5),CONCATENATE(SAISIE!B35,"/",SAISIE!$B$4,"/",SAISIE!$B$5)))</f>
        <v/>
      </c>
      <c r="C402" s="64" t="str">
        <f>IF(SAISIE!B35="","",CONCATENATE($M$2,SAISIE!C35))</f>
        <v/>
      </c>
      <c r="D402" s="64" t="str">
        <f>IF(SAISIE!B35="","",SAISIE!E35)</f>
        <v/>
      </c>
      <c r="E402" s="64" t="str">
        <f>IF(SAISIE!B35="","",SAISIE!F35)</f>
        <v/>
      </c>
      <c r="F402" s="65" t="str">
        <f>IF(A402="SUPPR","",IF(SAISIE!N35="","",SAISIE!N35))</f>
        <v/>
      </c>
      <c r="G402" s="64"/>
      <c r="H402" s="64" t="str">
        <f>IF(SAISIE!B35="","",SAISIE!D35)</f>
        <v/>
      </c>
      <c r="I402" s="66"/>
      <c r="J402" s="67" t="str">
        <f>IF(AZ35="","","")</f>
        <v/>
      </c>
      <c r="O402" s="69">
        <f>O386+1</f>
        <v>35</v>
      </c>
    </row>
    <row r="403" spans="1:15" x14ac:dyDescent="0.25">
      <c r="A403" s="63" t="str">
        <f>IF(AND(G403="",H403=""),"SUPPR",SAISIE!$B$3)</f>
        <v>SUPPR</v>
      </c>
      <c r="B403" s="63" t="str">
        <f>IF(SAISIE!P35="","",IF(LEN(SAISIE!B35)=1,CONCATENATE("0",SAISIE!B35,"/",SAISIE!$B$4,"/",SAISIE!$B$5),CONCATENATE(SAISIE!B35,"/",SAISIE!$B$4,"/",SAISIE!$B$5)))</f>
        <v/>
      </c>
      <c r="C403" s="63" t="str">
        <f>IF(SAISIE!P35="","",SAISIE!O35)</f>
        <v/>
      </c>
      <c r="D403" s="63" t="str">
        <f>IF(SAISIE!P35="","",SAISIE!E35)</f>
        <v/>
      </c>
      <c r="E403" s="63" t="str">
        <f>IF(SAISIE!P35="","",SAISIE!F35)</f>
        <v/>
      </c>
      <c r="F403" s="70" t="str">
        <f>IF(SAISIE!$P35="","",IF(SAISIE!$N35="","",SAISIE!$N35))</f>
        <v/>
      </c>
      <c r="G403" s="63" t="str">
        <f>IF(SAISIE!P35="","",SAISIE!P35)</f>
        <v/>
      </c>
      <c r="H403" s="63"/>
      <c r="I403" s="63" t="str">
        <f>IF(SAISIE!$P35="","",SAISIE!$Q35)</f>
        <v/>
      </c>
      <c r="J403" s="71" t="str">
        <f>IF(COUNTBLANK(SAISIE!$J$6:$M$6)=4,"",IF(SAISIE!P35="","",IF(SAISIE!J35&gt;0,SAISIE!$J$6,IF(SAISIE!K35&gt;0,SAISIE!$K$6,IF(SAISIE!L35&gt;0,SAISIE!$L$6,IF(SAISIE!M35&gt;0,SAISIE!$M$6,""))))))</f>
        <v/>
      </c>
      <c r="O403" s="59" t="s">
        <v>50</v>
      </c>
    </row>
    <row r="404" spans="1:15" x14ac:dyDescent="0.25">
      <c r="A404" s="63" t="str">
        <f>IF(AND(G404="",H404=""),"SUPPR",SAISIE!$B$3)</f>
        <v>SUPPR</v>
      </c>
      <c r="B404" s="63" t="str">
        <f>IF(SAISIE!G35="","",IF(LEN(SAISIE!B35)=1,CONCATENATE("0",SAISIE!B35,"/",SAISIE!$B$4,"/",SAISIE!$B$5),CONCATENATE(SAISIE!B35,"/",SAISIE!$B$4,"/",SAISIE!$B$5)))</f>
        <v/>
      </c>
      <c r="C404" s="63" t="str">
        <f>IF(SAISIE!G35="","",SAISIE!$G$8)</f>
        <v/>
      </c>
      <c r="D404" s="63" t="str">
        <f>IF(SAISIE!G35="","",SAISIE!E35)</f>
        <v/>
      </c>
      <c r="E404" s="63" t="str">
        <f>IF(SAISIE!G35="","",SAISIE!F35)</f>
        <v/>
      </c>
      <c r="F404" s="70" t="str">
        <f>IF(SAISIE!$G35="","",IF(SAISIE!$N35="","",SAISIE!$N35))</f>
        <v/>
      </c>
      <c r="G404" s="63" t="str">
        <f>IF(SAISIE!G35="","",SAISIE!G35)</f>
        <v/>
      </c>
      <c r="H404" s="63"/>
      <c r="I404" s="63" t="str">
        <f>IF(SAISIE!$G35="","",SAISIE!$Q35)</f>
        <v/>
      </c>
      <c r="J404" s="71" t="str">
        <f>IF(COUNTBLANK(SAISIE!$J$6:$M$6)=4,"",IF(SAISIE!G35="","",IF(SAISIE!J35&gt;0,SAISIE!$J$6,IF(SAISIE!K35&gt;0,SAISIE!$K$6,IF(SAISIE!L35&gt;0,SAISIE!$L$6,IF(SAISIE!M35&gt;0,SAISIE!$M$6,""))))))</f>
        <v/>
      </c>
      <c r="O404" s="59" t="s">
        <v>51</v>
      </c>
    </row>
    <row r="405" spans="1:15" x14ac:dyDescent="0.25">
      <c r="A405" s="63" t="str">
        <f>IF(AND(G405="",H405=""),"SUPPR",SAISIE!$B$3)</f>
        <v>SUPPR</v>
      </c>
      <c r="B405" s="63" t="str">
        <f>IF(SAISIE!H35="","",IF(LEN(SAISIE!B35)=1,CONCATENATE("0",SAISIE!B35,"/",SAISIE!$B$4,"/",SAISIE!$B$5),CONCATENATE(SAISIE!B35,"/",SAISIE!$B$4,"/",SAISIE!$B$5)))</f>
        <v/>
      </c>
      <c r="C405" s="63" t="str">
        <f>IF(SAISIE!H35="","",SAISIE!$H$8)</f>
        <v/>
      </c>
      <c r="D405" s="63" t="str">
        <f>IF(SAISIE!H35="","",SAISIE!E35)</f>
        <v/>
      </c>
      <c r="E405" s="63" t="str">
        <f>IF(SAISIE!H35="","",SAISIE!F35)</f>
        <v/>
      </c>
      <c r="F405" s="70" t="str">
        <f>IF(SAISIE!$H35="","",IF(SAISIE!$N35="","",SAISIE!$N35))</f>
        <v/>
      </c>
      <c r="G405" s="63" t="str">
        <f>IF(SAISIE!H35="","",SAISIE!H35)</f>
        <v/>
      </c>
      <c r="H405" s="63"/>
      <c r="I405" s="63" t="str">
        <f>IF(SAISIE!$H35="","",SAISIE!$Q35)</f>
        <v/>
      </c>
      <c r="J405" s="71" t="str">
        <f>IF(COUNTBLANK(SAISIE!$J$6:$M$6)=4,"",IF(SAISIE!H35="","",IF(SAISIE!J35&gt;0,SAISIE!$J$6,IF(SAISIE!K35&gt;0,SAISIE!$K$6,IF(SAISIE!L35&gt;0,SAISIE!$L$6,IF(SAISIE!M35&gt;0,SAISIE!$M$6,""))))))</f>
        <v/>
      </c>
      <c r="O405" s="59" t="s">
        <v>52</v>
      </c>
    </row>
    <row r="406" spans="1:15" x14ac:dyDescent="0.25">
      <c r="A406" s="63" t="str">
        <f>IF(AND(G406="",H406=""),"SUPPR",SAISIE!$B$3)</f>
        <v>SUPPR</v>
      </c>
      <c r="B406" s="63" t="str">
        <f>IF(SAISIE!I35="","",IF(LEN(SAISIE!B35)=1,CONCATENATE("0",SAISIE!B35,"/",SAISIE!$B$4,"/",SAISIE!$B$5),CONCATENATE(SAISIE!B35,"/",SAISIE!$B$4,"/",SAISIE!$B$5)))</f>
        <v/>
      </c>
      <c r="C406" s="63" t="str">
        <f>IF(SAISIE!I35="","",SAISIE!$I$8)</f>
        <v/>
      </c>
      <c r="D406" s="63" t="str">
        <f>IF(SAISIE!I35="","",SAISIE!E35)</f>
        <v/>
      </c>
      <c r="E406" s="63" t="str">
        <f>IF(SAISIE!I35="","",SAISIE!F35)</f>
        <v/>
      </c>
      <c r="F406" s="70" t="str">
        <f>IF(SAISIE!$I35="","",IF(SAISIE!$N35="","",SAISIE!$N35))</f>
        <v/>
      </c>
      <c r="G406" s="63" t="str">
        <f>IF(SAISIE!I35="","",SAISIE!I35)</f>
        <v/>
      </c>
      <c r="H406" s="63"/>
      <c r="I406" s="63" t="str">
        <f>IF(SAISIE!$I35="","",SAISIE!$Q35)</f>
        <v/>
      </c>
      <c r="J406" s="71" t="str">
        <f>IF(COUNTBLANK(SAISIE!$J$6:$M$6)=4,"",IF(SAISIE!I35="","",IF(SAISIE!J35&gt;0,SAISIE!$J$6,IF(SAISIE!K35&gt;0,SAISIE!$K$6,IF(SAISIE!L35&gt;0,SAISIE!$L$6,IF(SAISIE!M35&gt;0,SAISIE!$M$6,""))))))</f>
        <v/>
      </c>
      <c r="O406" s="59" t="s">
        <v>53</v>
      </c>
    </row>
    <row r="407" spans="1:15" x14ac:dyDescent="0.25">
      <c r="A407" s="63" t="e">
        <f>IF(AND(G407="",H407=""),"SUPPR",SAISIE!$B$3)</f>
        <v>#REF!</v>
      </c>
      <c r="B407" s="63" t="e">
        <f>IF(SAISIE!#REF!="","",IF(LEN(SAISIE!B35)=1,CONCATENATE("0",SAISIE!B35,"/",SAISIE!$B$4,"/",SAISIE!$B$5),CONCATENATE(SAISIE!B35,"/",SAISIE!$B$4,"/",SAISIE!$B$5)))</f>
        <v>#REF!</v>
      </c>
      <c r="C407" s="63" t="e">
        <f>IF(SAISIE!#REF!="","",SAISIE!#REF!)</f>
        <v>#REF!</v>
      </c>
      <c r="D407" s="63" t="e">
        <f>IF(SAISIE!#REF!="","",SAISIE!E35)</f>
        <v>#REF!</v>
      </c>
      <c r="E407" s="63" t="e">
        <f>IF(SAISIE!#REF!="","",SAISIE!F35)</f>
        <v>#REF!</v>
      </c>
      <c r="F407" s="70" t="e">
        <f>IF(SAISIE!#REF!="","",IF(SAISIE!$N35="","",SAISIE!$N35))</f>
        <v>#REF!</v>
      </c>
      <c r="G407" s="63" t="e">
        <f>IF(SAISIE!#REF!="","",SAISIE!#REF!)</f>
        <v>#REF!</v>
      </c>
      <c r="H407" s="63"/>
      <c r="I407" s="63" t="e">
        <f>IF(SAISIE!#REF!="","",SAISIE!$Q35)</f>
        <v>#REF!</v>
      </c>
      <c r="J407" s="71" t="str">
        <f>IF(COUNTBLANK(SAISIE!$J$6:$M$6)=4,"",IF(SAISIE!#REF!="","",IF(SAISIE!J35&gt;0,SAISIE!$J$6,IF(SAISIE!K35&gt;0,SAISIE!$K$6,IF(SAISIE!L35&gt;0,SAISIE!$L$6,IF(SAISIE!M35&gt;0,SAISIE!$M$6,""))))))</f>
        <v/>
      </c>
      <c r="O407" s="59" t="s">
        <v>54</v>
      </c>
    </row>
    <row r="408" spans="1:15" x14ac:dyDescent="0.25">
      <c r="A408" s="63" t="e">
        <f>IF(AND(G408="",H408=""),"SUPPR",SAISIE!$B$3)</f>
        <v>#REF!</v>
      </c>
      <c r="B408" s="63" t="e">
        <f>IF(SAISIE!#REF!="","",IF(LEN(SAISIE!B35)=1,CONCATENATE("0",SAISIE!B35,"/",SAISIE!$B$4,"/",SAISIE!$B$5),CONCATENATE(SAISIE!B35,"/",SAISIE!$B$4,"/",SAISIE!$B$5)))</f>
        <v>#REF!</v>
      </c>
      <c r="C408" s="63" t="e">
        <f>IF(SAISIE!#REF!="","",SAISIE!#REF!)</f>
        <v>#REF!</v>
      </c>
      <c r="D408" s="63" t="e">
        <f>IF(SAISIE!#REF!="","",SAISIE!E35)</f>
        <v>#REF!</v>
      </c>
      <c r="E408" s="63" t="e">
        <f>IF(SAISIE!#REF!="","",SAISIE!F35)</f>
        <v>#REF!</v>
      </c>
      <c r="F408" s="70" t="e">
        <f>IF(SAISIE!#REF!="","",IF(SAISIE!$N35="","",SAISIE!$N35))</f>
        <v>#REF!</v>
      </c>
      <c r="G408" s="63" t="e">
        <f>IF(SAISIE!#REF!="","",SAISIE!#REF!)</f>
        <v>#REF!</v>
      </c>
      <c r="H408" s="63"/>
      <c r="I408" s="63" t="e">
        <f>IF(SAISIE!#REF!="","",SAISIE!$Q35)</f>
        <v>#REF!</v>
      </c>
      <c r="J408" s="71" t="str">
        <f>IF(COUNTBLANK(SAISIE!$J$6:$M$6)=4,"",IF(SAISIE!#REF!="","",IF(SAISIE!J35&gt;0,SAISIE!$J$6,IF(SAISIE!K35&gt;0,SAISIE!$K$6,IF(SAISIE!L35&gt;0,SAISIE!$L$6,IF(SAISIE!M35&gt;0,SAISIE!$M$6,""))))))</f>
        <v/>
      </c>
      <c r="O408" s="59" t="s">
        <v>55</v>
      </c>
    </row>
    <row r="409" spans="1:15" x14ac:dyDescent="0.25">
      <c r="A409" s="63" t="e">
        <f>IF(AND(G409="",H409=""),"SUPPR",SAISIE!$B$3)</f>
        <v>#REF!</v>
      </c>
      <c r="B409" s="63" t="e">
        <f>IF(SAISIE!#REF!="","",IF(LEN(SAISIE!B35)=1,CONCATENATE("0",SAISIE!B35,"/",SAISIE!$B$4,"/",SAISIE!$B$5),CONCATENATE(SAISIE!B35,"/",SAISIE!$B$4,"/",SAISIE!$B$5)))</f>
        <v>#REF!</v>
      </c>
      <c r="C409" s="63" t="e">
        <f>IF(SAISIE!#REF!="","",SAISIE!#REF!)</f>
        <v>#REF!</v>
      </c>
      <c r="D409" s="63" t="e">
        <f>IF(SAISIE!#REF!="","",SAISIE!E35)</f>
        <v>#REF!</v>
      </c>
      <c r="E409" s="63" t="e">
        <f>IF(SAISIE!#REF!="","",SAISIE!F35)</f>
        <v>#REF!</v>
      </c>
      <c r="F409" s="70" t="e">
        <f>IF(SAISIE!#REF!="","",IF(SAISIE!$N35="","",SAISIE!$N35))</f>
        <v>#REF!</v>
      </c>
      <c r="G409" s="63" t="e">
        <f>IF(SAISIE!#REF!="","",SAISIE!#REF!)</f>
        <v>#REF!</v>
      </c>
      <c r="H409" s="63"/>
      <c r="I409" s="63" t="e">
        <f>IF(SAISIE!#REF!="","",SAISIE!$Q35)</f>
        <v>#REF!</v>
      </c>
      <c r="J409" s="71" t="str">
        <f>IF(COUNTBLANK(SAISIE!$J$6:$M$6)=4,"",IF(SAISIE!#REF!="","",IF(SAISIE!J35&gt;0,SAISIE!$J$6,IF(SAISIE!K35&gt;0,SAISIE!$K$6,IF(SAISIE!L35&gt;0,SAISIE!$L$6,IF(SAISIE!M35&gt;0,SAISIE!$M$6,""))))))</f>
        <v/>
      </c>
      <c r="O409" s="59" t="s">
        <v>56</v>
      </c>
    </row>
    <row r="410" spans="1:15" x14ac:dyDescent="0.25">
      <c r="A410" s="63" t="e">
        <f>IF(AND(G410="",H410=""),"SUPPR",SAISIE!$B$3)</f>
        <v>#REF!</v>
      </c>
      <c r="B410" s="63" t="e">
        <f>IF(SAISIE!#REF!="","",IF(LEN(SAISIE!B35)=1,CONCATENATE("0",SAISIE!B35,"/",SAISIE!$B$4,"/",SAISIE!$B$5),CONCATENATE(SAISIE!B35,"/",SAISIE!$B$4,"/",SAISIE!$B$5)))</f>
        <v>#REF!</v>
      </c>
      <c r="C410" s="63" t="e">
        <f>IF(SAISIE!#REF!="","",SAISIE!#REF!)</f>
        <v>#REF!</v>
      </c>
      <c r="D410" s="63" t="e">
        <f>IF(SAISIE!#REF!="","",SAISIE!E35)</f>
        <v>#REF!</v>
      </c>
      <c r="E410" s="63" t="e">
        <f>IF(SAISIE!#REF!="","",SAISIE!F35)</f>
        <v>#REF!</v>
      </c>
      <c r="F410" s="70" t="e">
        <f>IF(SAISIE!#REF!="","",IF(SAISIE!$N35="","",SAISIE!$N35))</f>
        <v>#REF!</v>
      </c>
      <c r="G410" s="63" t="e">
        <f>IF(SAISIE!#REF!="","",SAISIE!#REF!)</f>
        <v>#REF!</v>
      </c>
      <c r="H410" s="63"/>
      <c r="I410" s="63" t="e">
        <f>IF(SAISIE!#REF!="","",SAISIE!$Q35)</f>
        <v>#REF!</v>
      </c>
      <c r="J410" s="71" t="str">
        <f>IF(COUNTBLANK(SAISIE!$J$6:$M$6)=4,"",IF(SAISIE!#REF!="","",IF(SAISIE!J35&gt;0,SAISIE!$J$6,IF(SAISIE!K35&gt;0,SAISIE!$K$6,IF(SAISIE!L35&gt;0,SAISIE!$L$6,IF(SAISIE!M35&gt;0,SAISIE!$M$6,""))))))</f>
        <v/>
      </c>
      <c r="O410" s="59" t="s">
        <v>57</v>
      </c>
    </row>
    <row r="411" spans="1:15" x14ac:dyDescent="0.25">
      <c r="A411" s="63" t="e">
        <f>IF(AND(G411="",H411=""),"SUPPR",SAISIE!$B$3)</f>
        <v>#REF!</v>
      </c>
      <c r="B411" s="63" t="e">
        <f>IF(SAISIE!#REF!="","",IF(LEN(SAISIE!B35)=1,CONCATENATE("0",SAISIE!B35,"/",SAISIE!$B$4,"/",SAISIE!$B$5),CONCATENATE(SAISIE!B35,"/",SAISIE!$B$4,"/",SAISIE!$B$5)))</f>
        <v>#REF!</v>
      </c>
      <c r="C411" s="63" t="e">
        <f>IF(SAISIE!#REF!="","",SAISIE!#REF!)</f>
        <v>#REF!</v>
      </c>
      <c r="D411" s="63" t="e">
        <f>IF(SAISIE!#REF!="","",SAISIE!E35)</f>
        <v>#REF!</v>
      </c>
      <c r="E411" s="63" t="e">
        <f>IF(SAISIE!#REF!="","",SAISIE!F35)</f>
        <v>#REF!</v>
      </c>
      <c r="F411" s="70" t="e">
        <f>IF(SAISIE!#REF!="","",IF(SAISIE!$N35="","",SAISIE!$N35))</f>
        <v>#REF!</v>
      </c>
      <c r="G411" s="63" t="e">
        <f>IF(SAISIE!#REF!="","",SAISIE!#REF!)</f>
        <v>#REF!</v>
      </c>
      <c r="H411" s="63"/>
      <c r="I411" s="63" t="e">
        <f>IF(SAISIE!#REF!="","",SAISIE!$Q35)</f>
        <v>#REF!</v>
      </c>
      <c r="J411" s="71" t="str">
        <f>IF(COUNTBLANK(SAISIE!$J$6:$M$6)=4,"",IF(SAISIE!#REF!="","",IF(SAISIE!J35&gt;0,SAISIE!$J$6,IF(SAISIE!K35&gt;0,SAISIE!$K$6,IF(SAISIE!L35&gt;0,SAISIE!$L$6,IF(SAISIE!M35&gt;0,SAISIE!$M$6,""))))))</f>
        <v/>
      </c>
      <c r="O411" s="59" t="s">
        <v>58</v>
      </c>
    </row>
    <row r="412" spans="1:15" x14ac:dyDescent="0.25">
      <c r="A412" s="63" t="e">
        <f>IF(AND(G412="",H412=""),"SUPPR",SAISIE!$B$3)</f>
        <v>#REF!</v>
      </c>
      <c r="B412" s="63" t="e">
        <f>IF(SAISIE!#REF!="","",IF(LEN(SAISIE!B35)=1,CONCATENATE("0",SAISIE!B35,"/",SAISIE!$B$4,"/",SAISIE!$B$5),CONCATENATE(SAISIE!B35,"/",SAISIE!$B$4,"/",SAISIE!$B$5)))</f>
        <v>#REF!</v>
      </c>
      <c r="C412" s="63" t="e">
        <f>IF(SAISIE!#REF!="","",SAISIE!#REF!)</f>
        <v>#REF!</v>
      </c>
      <c r="D412" s="63" t="e">
        <f>IF(SAISIE!#REF!="","",SAISIE!E35)</f>
        <v>#REF!</v>
      </c>
      <c r="E412" s="63" t="e">
        <f>IF(SAISIE!#REF!="","",SAISIE!F35)</f>
        <v>#REF!</v>
      </c>
      <c r="F412" s="70" t="e">
        <f>IF(SAISIE!#REF!="","",IF(SAISIE!$N35="","",SAISIE!$N35))</f>
        <v>#REF!</v>
      </c>
      <c r="G412" s="63" t="e">
        <f>IF(SAISIE!#REF!="","",SAISIE!#REF!)</f>
        <v>#REF!</v>
      </c>
      <c r="H412" s="63"/>
      <c r="I412" s="63" t="e">
        <f>IF(SAISIE!#REF!="","",SAISIE!$Q35)</f>
        <v>#REF!</v>
      </c>
      <c r="J412" s="71" t="str">
        <f>IF(COUNTBLANK(SAISIE!$J$6:$M$6)=4,"",IF(SAISIE!#REF!="","",IF(SAISIE!J35&gt;0,SAISIE!$J$6,IF(SAISIE!K35&gt;0,SAISIE!$K$6,IF(SAISIE!L35&gt;0,SAISIE!$L$6,IF(SAISIE!M35&gt;0,SAISIE!$M$6,""))))))</f>
        <v/>
      </c>
      <c r="O412" s="59" t="s">
        <v>59</v>
      </c>
    </row>
    <row r="413" spans="1:15" x14ac:dyDescent="0.25">
      <c r="A413" s="63" t="e">
        <f>IF(AND(G413="",H413=""),"SUPPR",SAISIE!$B$3)</f>
        <v>#REF!</v>
      </c>
      <c r="B413" s="63" t="e">
        <f>IF(SAISIE!#REF!="","",IF(LEN(SAISIE!B35)=1,CONCATENATE("0",SAISIE!B35,"/",SAISIE!$B$4,"/",SAISIE!$B$5),CONCATENATE(SAISIE!B35,"/",SAISIE!$B$4,"/",SAISIE!$B$5)))</f>
        <v>#REF!</v>
      </c>
      <c r="C413" s="63" t="e">
        <f>IF(SAISIE!#REF!="","",SAISIE!#REF!)</f>
        <v>#REF!</v>
      </c>
      <c r="D413" s="63" t="e">
        <f>IF(SAISIE!#REF!="","",SAISIE!E35)</f>
        <v>#REF!</v>
      </c>
      <c r="E413" s="63" t="e">
        <f>IF(SAISIE!#REF!="","",SAISIE!F35)</f>
        <v>#REF!</v>
      </c>
      <c r="F413" s="70" t="e">
        <f>IF(SAISIE!#REF!="","",IF(SAISIE!$N35="","",SAISIE!$N35))</f>
        <v>#REF!</v>
      </c>
      <c r="G413" s="63" t="e">
        <f>IF(SAISIE!#REF!="","",SAISIE!#REF!)</f>
        <v>#REF!</v>
      </c>
      <c r="H413" s="63"/>
      <c r="I413" s="63" t="e">
        <f>IF(SAISIE!#REF!="","",SAISIE!$Q35)</f>
        <v>#REF!</v>
      </c>
      <c r="J413" s="71" t="str">
        <f>IF(COUNTBLANK(SAISIE!$J$6:$M$6)=4,"",IF(SAISIE!#REF!="","",IF(SAISIE!J35&gt;0,SAISIE!$J$6,IF(SAISIE!K35&gt;0,SAISIE!$K$6,IF(SAISIE!L35&gt;0,SAISIE!$L$6,IF(SAISIE!M35&gt;0,SAISIE!$M$6,""))))))</f>
        <v/>
      </c>
      <c r="O413" s="59" t="s">
        <v>60</v>
      </c>
    </row>
    <row r="414" spans="1:15" x14ac:dyDescent="0.25">
      <c r="A414" s="63" t="str">
        <f>IF(AND(G414="",H414=""),"SUPPR",SAISIE!$B$3)</f>
        <v>SUPPR</v>
      </c>
      <c r="B414" s="63" t="str">
        <f>IF(SAISIE!J35="","",IF(LEN(SAISIE!B35)=1,CONCATENATE("0",SAISIE!B35,"/",SAISIE!$B$4,"/",SAISIE!$B$5),CONCATENATE(SAISIE!B35,"/",SAISIE!$B$4,"/",SAISIE!$B$5)))</f>
        <v/>
      </c>
      <c r="C414" s="63" t="str">
        <f>IF(SAISIE!J35="","",SAISIE!$J$8)</f>
        <v/>
      </c>
      <c r="D414" s="63" t="str">
        <f>IF(SAISIE!J35="","",SAISIE!E35)</f>
        <v/>
      </c>
      <c r="E414" s="63" t="str">
        <f>IF(SAISIE!J35="","",SAISIE!F35)</f>
        <v/>
      </c>
      <c r="F414" s="70" t="str">
        <f>IF(SAISIE!$J35="","",IF(SAISIE!$N35="","",SAISIE!$N35))</f>
        <v/>
      </c>
      <c r="G414" s="63" t="str">
        <f>IF(SAISIE!J35="","",SAISIE!J35)</f>
        <v/>
      </c>
      <c r="H414" s="63"/>
      <c r="I414" s="72"/>
      <c r="J414" s="71"/>
      <c r="O414" s="73"/>
    </row>
    <row r="415" spans="1:15" x14ac:dyDescent="0.25">
      <c r="A415" s="63" t="str">
        <f>IF(AND(G415="",H415=""),"SUPPR",SAISIE!$B$3)</f>
        <v>SUPPR</v>
      </c>
      <c r="B415" s="63" t="str">
        <f>IF(SAISIE!K35="","",IF(LEN(SAISIE!B35)=1,CONCATENATE("0",SAISIE!B35,"/",SAISIE!$B$4,"/",SAISIE!$B$5),CONCATENATE(SAISIE!B35,"/",SAISIE!$B$4,"/",SAISIE!$B$5)))</f>
        <v/>
      </c>
      <c r="C415" s="63" t="str">
        <f>IF(SAISIE!K35="","",SAISIE!$K$8)</f>
        <v/>
      </c>
      <c r="D415" s="63" t="str">
        <f>IF(SAISIE!K35="","",SAISIE!E35)</f>
        <v/>
      </c>
      <c r="E415" s="63" t="str">
        <f>IF(SAISIE!K35="","",SAISIE!F35)</f>
        <v/>
      </c>
      <c r="F415" s="70" t="str">
        <f>IF(SAISIE!$K35="","",IF(SAISIE!$N35="","",SAISIE!$N35))</f>
        <v/>
      </c>
      <c r="G415" s="63" t="str">
        <f>IF(SAISIE!K35="","",SAISIE!K35)</f>
        <v/>
      </c>
      <c r="H415" s="63"/>
      <c r="I415" s="72"/>
      <c r="J415" s="71"/>
    </row>
    <row r="416" spans="1:15" x14ac:dyDescent="0.25">
      <c r="A416" s="63" t="str">
        <f>IF(AND(G416="",H416=""),"SUPPR",SAISIE!$B$3)</f>
        <v>SUPPR</v>
      </c>
      <c r="B416" s="63" t="str">
        <f>IF(SAISIE!L35="","",IF(LEN(SAISIE!B35)=1,CONCATENATE("0",SAISIE!B35,"/",SAISIE!$B$4,"/",SAISIE!$B$5),CONCATENATE(SAISIE!B35,"/",SAISIE!$B$4,"/",SAISIE!$B$5)))</f>
        <v/>
      </c>
      <c r="C416" s="63" t="str">
        <f>IF(SAISIE!L35="","",SAISIE!$L$8)</f>
        <v/>
      </c>
      <c r="D416" s="63" t="str">
        <f>IF(SAISIE!L35="","",SAISIE!E35)</f>
        <v/>
      </c>
      <c r="E416" s="63" t="str">
        <f>IF(SAISIE!L35="","",SAISIE!F35)</f>
        <v/>
      </c>
      <c r="F416" s="70" t="str">
        <f>IF(SAISIE!$L35="","",IF(SAISIE!$N35="","",SAISIE!$N35))</f>
        <v/>
      </c>
      <c r="G416" s="63" t="str">
        <f>IF(SAISIE!L35="","",SAISIE!L35)</f>
        <v/>
      </c>
      <c r="H416" s="63"/>
      <c r="I416" s="72"/>
      <c r="J416" s="71"/>
    </row>
    <row r="417" spans="1:15" x14ac:dyDescent="0.25">
      <c r="A417" s="63" t="str">
        <f>IF(AND(G417="",H417=""),"SUPPR",SAISIE!$B$3)</f>
        <v>SUPPR</v>
      </c>
      <c r="B417" s="63" t="str">
        <f>IF(SAISIE!M35="","",IF(LEN(SAISIE!B35)=1,CONCATENATE("0",SAISIE!B35,"/",SAISIE!$B$4,"/",SAISIE!$B$5),CONCATENATE(SAISIE!B35,"/",SAISIE!$B$4,"/",SAISIE!$B$5)))</f>
        <v/>
      </c>
      <c r="C417" s="74" t="str">
        <f>IF(SAISIE!M35="","",SAISIE!$M$8)</f>
        <v/>
      </c>
      <c r="D417" s="74" t="str">
        <f>IF(SAISIE!M35="","",SAISIE!E35)</f>
        <v/>
      </c>
      <c r="E417" s="74" t="str">
        <f>IF(SAISIE!M35="","",SAISIE!F35)</f>
        <v/>
      </c>
      <c r="F417" s="75" t="str">
        <f>IF(SAISIE!$M35="","",IF(SAISIE!$N35="","",SAISIE!$N35))</f>
        <v/>
      </c>
      <c r="G417" s="74" t="str">
        <f>IF(SAISIE!M35="","",SAISIE!M35)</f>
        <v/>
      </c>
      <c r="H417" s="76"/>
      <c r="I417" s="77"/>
      <c r="J417" s="78"/>
    </row>
    <row r="418" spans="1:15" x14ac:dyDescent="0.25">
      <c r="A418" s="63" t="str">
        <f>IF(AND(G418="",H418=""),"SUPPR",SAISIE!$B$3)</f>
        <v>SUPPR</v>
      </c>
      <c r="B418" s="64" t="str">
        <f>IF(SAISIE!B36="","",IF(LEN(SAISIE!B36)=1,CONCATENATE("0",SAISIE!B36,"/",SAISIE!$B$4,"/",SAISIE!$B$5),CONCATENATE(SAISIE!B36,"/",SAISIE!$B$4,"/",SAISIE!$B$5)))</f>
        <v/>
      </c>
      <c r="C418" s="64" t="str">
        <f>IF(SAISIE!B36="","",CONCATENATE($M$2,SAISIE!C36))</f>
        <v/>
      </c>
      <c r="D418" s="64" t="str">
        <f>IF(SAISIE!B36="","",SAISIE!E36)</f>
        <v/>
      </c>
      <c r="E418" s="64" t="str">
        <f>IF(SAISIE!B36="","",SAISIE!F36)</f>
        <v/>
      </c>
      <c r="F418" s="65" t="str">
        <f>IF(A418="SUPPR","",IF(SAISIE!$N36="","",SAISIE!$N36))</f>
        <v/>
      </c>
      <c r="G418" s="64"/>
      <c r="H418" s="64" t="str">
        <f>IF(SAISIE!B36="","",SAISIE!D36)</f>
        <v/>
      </c>
      <c r="I418" s="66"/>
      <c r="J418" s="67" t="str">
        <f>IF(AZ36="","","")</f>
        <v/>
      </c>
      <c r="O418" s="69">
        <f>O402+1</f>
        <v>36</v>
      </c>
    </row>
    <row r="419" spans="1:15" x14ac:dyDescent="0.25">
      <c r="A419" s="63" t="str">
        <f>IF(AND(G419="",H419=""),"SUPPR",SAISIE!$B$3)</f>
        <v>SUPPR</v>
      </c>
      <c r="B419" s="63" t="str">
        <f>IF(SAISIE!P36="","",IF(LEN(SAISIE!B36)=1,CONCATENATE("0",SAISIE!B36,"/",SAISIE!$B$4,"/",SAISIE!$B$5),CONCATENATE(SAISIE!B36,"/",SAISIE!$B$4,"/",SAISIE!$B$5)))</f>
        <v/>
      </c>
      <c r="C419" s="63" t="str">
        <f>IF(SAISIE!P36="","",SAISIE!O36)</f>
        <v/>
      </c>
      <c r="D419" s="63" t="str">
        <f>IF(SAISIE!P36="","",SAISIE!E36)</f>
        <v/>
      </c>
      <c r="E419" s="63" t="str">
        <f>IF(SAISIE!P36="","",SAISIE!F36)</f>
        <v/>
      </c>
      <c r="F419" s="70" t="str">
        <f>IF(SAISIE!$P36="","",IF(SAISIE!$N36="","",SAISIE!$N36))</f>
        <v/>
      </c>
      <c r="G419" s="63" t="str">
        <f>IF(SAISIE!P36="","",SAISIE!P36)</f>
        <v/>
      </c>
      <c r="H419" s="63"/>
      <c r="I419" s="63" t="str">
        <f>IF(SAISIE!$P36="","",SAISIE!$Q36)</f>
        <v/>
      </c>
      <c r="J419" s="71" t="str">
        <f>IF(COUNTBLANK(SAISIE!$J$6:$M$6)=4,"",IF(SAISIE!P36="","",IF(SAISIE!J36&gt;0,SAISIE!$J$6,IF(SAISIE!K36&gt;0,SAISIE!$K$6,IF(SAISIE!L36&gt;0,SAISIE!$L$6,IF(SAISIE!M36&gt;0,SAISIE!$M$6,""))))))</f>
        <v/>
      </c>
      <c r="O419" s="59" t="s">
        <v>50</v>
      </c>
    </row>
    <row r="420" spans="1:15" x14ac:dyDescent="0.25">
      <c r="A420" s="63" t="str">
        <f>IF(AND(G420="",H420=""),"SUPPR",SAISIE!$B$3)</f>
        <v>SUPPR</v>
      </c>
      <c r="B420" s="63" t="str">
        <f>IF(SAISIE!G36="","",IF(LEN(SAISIE!B36)=1,CONCATENATE("0",SAISIE!B36,"/",SAISIE!$B$4,"/",SAISIE!$B$5),CONCATENATE(SAISIE!B36,"/",SAISIE!$B$4,"/",SAISIE!$B$5)))</f>
        <v/>
      </c>
      <c r="C420" s="63" t="str">
        <f>IF(SAISIE!G36="","",SAISIE!$G$8)</f>
        <v/>
      </c>
      <c r="D420" s="63" t="str">
        <f>IF(SAISIE!G36="","",SAISIE!E36)</f>
        <v/>
      </c>
      <c r="E420" s="63" t="str">
        <f>IF(SAISIE!G36="","",SAISIE!F36)</f>
        <v/>
      </c>
      <c r="F420" s="70" t="str">
        <f>IF(SAISIE!$G36="","",IF(SAISIE!$N36="","",SAISIE!$N36))</f>
        <v/>
      </c>
      <c r="G420" s="63" t="str">
        <f>IF(SAISIE!G36="","",SAISIE!G36)</f>
        <v/>
      </c>
      <c r="H420" s="63"/>
      <c r="I420" s="63" t="str">
        <f>IF(SAISIE!$G36="","",SAISIE!$Q36)</f>
        <v/>
      </c>
      <c r="J420" s="71" t="str">
        <f>IF(COUNTBLANK(SAISIE!$J$6:$M$6)=4,"",IF(SAISIE!G36="","",IF(SAISIE!J36&gt;0,SAISIE!$J$6,IF(SAISIE!K36&gt;0,SAISIE!$K$6,IF(SAISIE!L36&gt;0,SAISIE!$L$6,IF(SAISIE!M36&gt;0,SAISIE!$M$6,""))))))</f>
        <v/>
      </c>
      <c r="O420" s="59" t="s">
        <v>51</v>
      </c>
    </row>
    <row r="421" spans="1:15" x14ac:dyDescent="0.25">
      <c r="A421" s="63" t="str">
        <f>IF(AND(G421="",H421=""),"SUPPR",SAISIE!$B$3)</f>
        <v>SUPPR</v>
      </c>
      <c r="B421" s="63" t="str">
        <f>IF(SAISIE!H36="","",IF(LEN(SAISIE!B36)=1,CONCATENATE("0",SAISIE!B36,"/",SAISIE!$B$4,"/",SAISIE!$B$5),CONCATENATE(SAISIE!B36,"/",SAISIE!$B$4,"/",SAISIE!$B$5)))</f>
        <v/>
      </c>
      <c r="C421" s="63" t="str">
        <f>IF(SAISIE!H36="","",SAISIE!$H$8)</f>
        <v/>
      </c>
      <c r="D421" s="63" t="str">
        <f>IF(SAISIE!H36="","",SAISIE!E36)</f>
        <v/>
      </c>
      <c r="E421" s="63" t="str">
        <f>IF(SAISIE!H36="","",SAISIE!F36)</f>
        <v/>
      </c>
      <c r="F421" s="70" t="str">
        <f>IF(SAISIE!$H36="","",IF(SAISIE!$N36="","",SAISIE!$N36))</f>
        <v/>
      </c>
      <c r="G421" s="63" t="str">
        <f>IF(SAISIE!H36="","",SAISIE!H36)</f>
        <v/>
      </c>
      <c r="H421" s="63"/>
      <c r="I421" s="63" t="str">
        <f>IF(SAISIE!$H36="","",SAISIE!$Q36)</f>
        <v/>
      </c>
      <c r="J421" s="71" t="str">
        <f>IF(COUNTBLANK(SAISIE!$J$6:$M$6)=4,"",IF(SAISIE!H36="","",IF(SAISIE!J36&gt;0,SAISIE!$J$6,IF(SAISIE!K36&gt;0,SAISIE!$K$6,IF(SAISIE!L36&gt;0,SAISIE!$L$6,IF(SAISIE!M36&gt;0,SAISIE!$M$6,""))))))</f>
        <v/>
      </c>
      <c r="O421" s="59" t="s">
        <v>52</v>
      </c>
    </row>
    <row r="422" spans="1:15" x14ac:dyDescent="0.25">
      <c r="A422" s="63" t="str">
        <f>IF(AND(G422="",H422=""),"SUPPR",SAISIE!$B$3)</f>
        <v>SUPPR</v>
      </c>
      <c r="B422" s="63" t="str">
        <f>IF(SAISIE!I36="","",IF(LEN(SAISIE!B36)=1,CONCATENATE("0",SAISIE!B36,"/",SAISIE!$B$4,"/",SAISIE!$B$5),CONCATENATE(SAISIE!B36,"/",SAISIE!$B$4,"/",SAISIE!$B$5)))</f>
        <v/>
      </c>
      <c r="C422" s="63" t="str">
        <f>IF(SAISIE!I36="","",SAISIE!$I$8)</f>
        <v/>
      </c>
      <c r="D422" s="63" t="str">
        <f>IF(SAISIE!I36="","",SAISIE!E36)</f>
        <v/>
      </c>
      <c r="E422" s="63" t="str">
        <f>IF(SAISIE!I36="","",SAISIE!F36)</f>
        <v/>
      </c>
      <c r="F422" s="70" t="str">
        <f>IF(SAISIE!$I36="","",IF(SAISIE!$N36="","",SAISIE!$N36))</f>
        <v/>
      </c>
      <c r="G422" s="63" t="str">
        <f>IF(SAISIE!I36="","",SAISIE!I36)</f>
        <v/>
      </c>
      <c r="H422" s="63"/>
      <c r="I422" s="63" t="str">
        <f>IF(SAISIE!$I36="","",SAISIE!$Q36)</f>
        <v/>
      </c>
      <c r="J422" s="71" t="str">
        <f>IF(COUNTBLANK(SAISIE!$J$6:$M$6)=4,"",IF(SAISIE!I36="","",IF(SAISIE!J36&gt;0,SAISIE!$J$6,IF(SAISIE!K36&gt;0,SAISIE!$K$6,IF(SAISIE!L36&gt;0,SAISIE!$L$6,IF(SAISIE!M36&gt;0,SAISIE!$M$6,""))))))</f>
        <v/>
      </c>
      <c r="O422" s="59" t="s">
        <v>53</v>
      </c>
    </row>
    <row r="423" spans="1:15" x14ac:dyDescent="0.25">
      <c r="A423" s="63" t="e">
        <f>IF(AND(G423="",H423=""),"SUPPR",SAISIE!$B$3)</f>
        <v>#REF!</v>
      </c>
      <c r="B423" s="63" t="e">
        <f>IF(SAISIE!#REF!="","",IF(LEN(SAISIE!B36)=1,CONCATENATE("0",SAISIE!B36,"/",SAISIE!$B$4,"/",SAISIE!$B$5),CONCATENATE(SAISIE!B36,"/",SAISIE!$B$4,"/",SAISIE!$B$5)))</f>
        <v>#REF!</v>
      </c>
      <c r="C423" s="63" t="e">
        <f>IF(SAISIE!#REF!="","",SAISIE!#REF!)</f>
        <v>#REF!</v>
      </c>
      <c r="D423" s="63" t="e">
        <f>IF(SAISIE!#REF!="","",SAISIE!E36)</f>
        <v>#REF!</v>
      </c>
      <c r="E423" s="63" t="e">
        <f>IF(SAISIE!#REF!="","",SAISIE!F36)</f>
        <v>#REF!</v>
      </c>
      <c r="F423" s="70" t="e">
        <f>IF(SAISIE!#REF!="","",IF(SAISIE!$N36="","",SAISIE!$N36))</f>
        <v>#REF!</v>
      </c>
      <c r="G423" s="63" t="e">
        <f>IF(SAISIE!#REF!="","",SAISIE!#REF!)</f>
        <v>#REF!</v>
      </c>
      <c r="H423" s="63"/>
      <c r="I423" s="63" t="e">
        <f>IF(SAISIE!#REF!="","",SAISIE!$Q36)</f>
        <v>#REF!</v>
      </c>
      <c r="J423" s="71" t="str">
        <f>IF(COUNTBLANK(SAISIE!$J$6:$M$6)=4,"",IF(SAISIE!#REF!="","",IF(SAISIE!J36&gt;0,SAISIE!$J$6,IF(SAISIE!K36&gt;0,SAISIE!$K$6,IF(SAISIE!L36&gt;0,SAISIE!$L$6,IF(SAISIE!M36&gt;0,SAISIE!$M$6,""))))))</f>
        <v/>
      </c>
      <c r="O423" s="59" t="s">
        <v>54</v>
      </c>
    </row>
    <row r="424" spans="1:15" x14ac:dyDescent="0.25">
      <c r="A424" s="63" t="e">
        <f>IF(AND(G424="",H424=""),"SUPPR",SAISIE!$B$3)</f>
        <v>#REF!</v>
      </c>
      <c r="B424" s="63" t="e">
        <f>IF(SAISIE!#REF!="","",IF(LEN(SAISIE!B36)=1,CONCATENATE("0",SAISIE!B36,"/",SAISIE!$B$4,"/",SAISIE!$B$5),CONCATENATE(SAISIE!B36,"/",SAISIE!$B$4,"/",SAISIE!$B$5)))</f>
        <v>#REF!</v>
      </c>
      <c r="C424" s="63" t="e">
        <f>IF(SAISIE!#REF!="","",SAISIE!#REF!)</f>
        <v>#REF!</v>
      </c>
      <c r="D424" s="63" t="e">
        <f>IF(SAISIE!#REF!="","",SAISIE!E36)</f>
        <v>#REF!</v>
      </c>
      <c r="E424" s="63" t="e">
        <f>IF(SAISIE!#REF!="","",SAISIE!F36)</f>
        <v>#REF!</v>
      </c>
      <c r="F424" s="70" t="e">
        <f>IF(SAISIE!#REF!="","",IF(SAISIE!$N36="","",SAISIE!$N36))</f>
        <v>#REF!</v>
      </c>
      <c r="G424" s="63" t="e">
        <f>IF(SAISIE!#REF!="","",SAISIE!#REF!)</f>
        <v>#REF!</v>
      </c>
      <c r="H424" s="63"/>
      <c r="I424" s="63" t="e">
        <f>IF(SAISIE!#REF!="","",SAISIE!$Q36)</f>
        <v>#REF!</v>
      </c>
      <c r="J424" s="71" t="str">
        <f>IF(COUNTBLANK(SAISIE!$J$6:$M$6)=4,"",IF(SAISIE!#REF!="","",IF(SAISIE!J36&gt;0,SAISIE!$J$6,IF(SAISIE!K36&gt;0,SAISIE!$K$6,IF(SAISIE!L36&gt;0,SAISIE!$L$6,IF(SAISIE!M36&gt;0,SAISIE!$M$6,""))))))</f>
        <v/>
      </c>
      <c r="O424" s="59" t="s">
        <v>55</v>
      </c>
    </row>
    <row r="425" spans="1:15" x14ac:dyDescent="0.25">
      <c r="A425" s="63" t="e">
        <f>IF(AND(G425="",H425=""),"SUPPR",SAISIE!$B$3)</f>
        <v>#REF!</v>
      </c>
      <c r="B425" s="63" t="e">
        <f>IF(SAISIE!#REF!="","",IF(LEN(SAISIE!B36)=1,CONCATENATE("0",SAISIE!B36,"/",SAISIE!$B$4,"/",SAISIE!$B$5),CONCATENATE(SAISIE!B36,"/",SAISIE!$B$4,"/",SAISIE!$B$5)))</f>
        <v>#REF!</v>
      </c>
      <c r="C425" s="63" t="e">
        <f>IF(SAISIE!#REF!="","",SAISIE!#REF!)</f>
        <v>#REF!</v>
      </c>
      <c r="D425" s="63" t="e">
        <f>IF(SAISIE!#REF!="","",SAISIE!E36)</f>
        <v>#REF!</v>
      </c>
      <c r="E425" s="63" t="e">
        <f>IF(SAISIE!#REF!="","",SAISIE!F36)</f>
        <v>#REF!</v>
      </c>
      <c r="F425" s="70" t="e">
        <f>IF(SAISIE!#REF!="","",IF(SAISIE!$N36="","",SAISIE!$N36))</f>
        <v>#REF!</v>
      </c>
      <c r="G425" s="63" t="e">
        <f>IF(SAISIE!#REF!="","",SAISIE!#REF!)</f>
        <v>#REF!</v>
      </c>
      <c r="H425" s="63"/>
      <c r="I425" s="63" t="e">
        <f>IF(SAISIE!#REF!="","",SAISIE!$Q36)</f>
        <v>#REF!</v>
      </c>
      <c r="J425" s="71" t="str">
        <f>IF(COUNTBLANK(SAISIE!$J$6:$M$6)=4,"",IF(SAISIE!#REF!="","",IF(SAISIE!J36&gt;0,SAISIE!$J$6,IF(SAISIE!K36&gt;0,SAISIE!$K$6,IF(SAISIE!L36&gt;0,SAISIE!$L$6,IF(SAISIE!M36&gt;0,SAISIE!$M$6,""))))))</f>
        <v/>
      </c>
      <c r="O425" s="59" t="s">
        <v>56</v>
      </c>
    </row>
    <row r="426" spans="1:15" x14ac:dyDescent="0.25">
      <c r="A426" s="63" t="e">
        <f>IF(AND(G426="",H426=""),"SUPPR",SAISIE!$B$3)</f>
        <v>#REF!</v>
      </c>
      <c r="B426" s="63" t="e">
        <f>IF(SAISIE!#REF!="","",IF(LEN(SAISIE!B36)=1,CONCATENATE("0",SAISIE!B36,"/",SAISIE!$B$4,"/",SAISIE!$B$5),CONCATENATE(SAISIE!B36,"/",SAISIE!$B$4,"/",SAISIE!$B$5)))</f>
        <v>#REF!</v>
      </c>
      <c r="C426" s="63" t="e">
        <f>IF(SAISIE!#REF!="","",SAISIE!#REF!)</f>
        <v>#REF!</v>
      </c>
      <c r="D426" s="63" t="e">
        <f>IF(SAISIE!#REF!="","",SAISIE!E36)</f>
        <v>#REF!</v>
      </c>
      <c r="E426" s="63" t="e">
        <f>IF(SAISIE!#REF!="","",SAISIE!F36)</f>
        <v>#REF!</v>
      </c>
      <c r="F426" s="70" t="e">
        <f>IF(SAISIE!#REF!="","",IF(SAISIE!$N36="","",SAISIE!$N36))</f>
        <v>#REF!</v>
      </c>
      <c r="G426" s="63" t="e">
        <f>IF(SAISIE!#REF!="","",SAISIE!#REF!)</f>
        <v>#REF!</v>
      </c>
      <c r="H426" s="63"/>
      <c r="I426" s="63" t="e">
        <f>IF(SAISIE!#REF!="","",SAISIE!$Q36)</f>
        <v>#REF!</v>
      </c>
      <c r="J426" s="71" t="str">
        <f>IF(COUNTBLANK(SAISIE!$J$6:$M$6)=4,"",IF(SAISIE!#REF!="","",IF(SAISIE!J36&gt;0,SAISIE!$J$6,IF(SAISIE!K36&gt;0,SAISIE!$K$6,IF(SAISIE!L36&gt;0,SAISIE!$L$6,IF(SAISIE!M36&gt;0,SAISIE!$M$6,""))))))</f>
        <v/>
      </c>
      <c r="O426" s="59" t="s">
        <v>57</v>
      </c>
    </row>
    <row r="427" spans="1:15" x14ac:dyDescent="0.25">
      <c r="A427" s="63" t="e">
        <f>IF(AND(G427="",H427=""),"SUPPR",SAISIE!$B$3)</f>
        <v>#REF!</v>
      </c>
      <c r="B427" s="63" t="e">
        <f>IF(SAISIE!#REF!="","",IF(LEN(SAISIE!B36)=1,CONCATENATE("0",SAISIE!B36,"/",SAISIE!$B$4,"/",SAISIE!$B$5),CONCATENATE(SAISIE!B36,"/",SAISIE!$B$4,"/",SAISIE!$B$5)))</f>
        <v>#REF!</v>
      </c>
      <c r="C427" s="63" t="e">
        <f>IF(SAISIE!#REF!="","",SAISIE!#REF!)</f>
        <v>#REF!</v>
      </c>
      <c r="D427" s="63" t="e">
        <f>IF(SAISIE!#REF!="","",SAISIE!E36)</f>
        <v>#REF!</v>
      </c>
      <c r="E427" s="63" t="e">
        <f>IF(SAISIE!#REF!="","",SAISIE!F36)</f>
        <v>#REF!</v>
      </c>
      <c r="F427" s="70" t="e">
        <f>IF(SAISIE!#REF!="","",IF(SAISIE!$N36="","",SAISIE!$N36))</f>
        <v>#REF!</v>
      </c>
      <c r="G427" s="63" t="e">
        <f>IF(SAISIE!#REF!="","",SAISIE!#REF!)</f>
        <v>#REF!</v>
      </c>
      <c r="H427" s="63"/>
      <c r="I427" s="63" t="e">
        <f>IF(SAISIE!#REF!="","",SAISIE!$Q36)</f>
        <v>#REF!</v>
      </c>
      <c r="J427" s="71" t="str">
        <f>IF(COUNTBLANK(SAISIE!$J$6:$M$6)=4,"",IF(SAISIE!#REF!="","",IF(SAISIE!J36&gt;0,SAISIE!$J$6,IF(SAISIE!K36&gt;0,SAISIE!$K$6,IF(SAISIE!L36&gt;0,SAISIE!$L$6,IF(SAISIE!M36&gt;0,SAISIE!$M$6,""))))))</f>
        <v/>
      </c>
      <c r="O427" s="59" t="s">
        <v>58</v>
      </c>
    </row>
    <row r="428" spans="1:15" x14ac:dyDescent="0.25">
      <c r="A428" s="63" t="e">
        <f>IF(AND(G428="",H428=""),"SUPPR",SAISIE!$B$3)</f>
        <v>#REF!</v>
      </c>
      <c r="B428" s="63" t="e">
        <f>IF(SAISIE!#REF!="","",IF(LEN(SAISIE!B36)=1,CONCATENATE("0",SAISIE!B36,"/",SAISIE!$B$4,"/",SAISIE!$B$5),CONCATENATE(SAISIE!B36,"/",SAISIE!$B$4,"/",SAISIE!$B$5)))</f>
        <v>#REF!</v>
      </c>
      <c r="C428" s="63" t="e">
        <f>IF(SAISIE!#REF!="","",SAISIE!#REF!)</f>
        <v>#REF!</v>
      </c>
      <c r="D428" s="63" t="e">
        <f>IF(SAISIE!#REF!="","",SAISIE!E36)</f>
        <v>#REF!</v>
      </c>
      <c r="E428" s="63" t="e">
        <f>IF(SAISIE!#REF!="","",SAISIE!F36)</f>
        <v>#REF!</v>
      </c>
      <c r="F428" s="70" t="e">
        <f>IF(SAISIE!#REF!="","",IF(SAISIE!$N36="","",SAISIE!$N36))</f>
        <v>#REF!</v>
      </c>
      <c r="G428" s="63" t="e">
        <f>IF(SAISIE!#REF!="","",SAISIE!#REF!)</f>
        <v>#REF!</v>
      </c>
      <c r="H428" s="63"/>
      <c r="I428" s="63" t="e">
        <f>IF(SAISIE!#REF!="","",SAISIE!$Q36)</f>
        <v>#REF!</v>
      </c>
      <c r="J428" s="71" t="str">
        <f>IF(COUNTBLANK(SAISIE!$J$6:$M$6)=4,"",IF(SAISIE!#REF!="","",IF(SAISIE!J36&gt;0,SAISIE!$J$6,IF(SAISIE!K36&gt;0,SAISIE!$K$6,IF(SAISIE!L36&gt;0,SAISIE!$L$6,IF(SAISIE!M36&gt;0,SAISIE!$M$6,""))))))</f>
        <v/>
      </c>
      <c r="O428" s="59" t="s">
        <v>59</v>
      </c>
    </row>
    <row r="429" spans="1:15" x14ac:dyDescent="0.25">
      <c r="A429" s="63" t="e">
        <f>IF(AND(G429="",H429=""),"SUPPR",SAISIE!$B$3)</f>
        <v>#REF!</v>
      </c>
      <c r="B429" s="63" t="e">
        <f>IF(SAISIE!#REF!="","",IF(LEN(SAISIE!B36)=1,CONCATENATE("0",SAISIE!B36,"/",SAISIE!$B$4,"/",SAISIE!$B$5),CONCATENATE(SAISIE!B36,"/",SAISIE!$B$4,"/",SAISIE!$B$5)))</f>
        <v>#REF!</v>
      </c>
      <c r="C429" s="63" t="e">
        <f>IF(SAISIE!#REF!="","",SAISIE!#REF!)</f>
        <v>#REF!</v>
      </c>
      <c r="D429" s="63" t="e">
        <f>IF(SAISIE!#REF!="","",SAISIE!E36)</f>
        <v>#REF!</v>
      </c>
      <c r="E429" s="63" t="e">
        <f>IF(SAISIE!#REF!="","",SAISIE!F36)</f>
        <v>#REF!</v>
      </c>
      <c r="F429" s="70" t="e">
        <f>IF(SAISIE!#REF!="","",IF(SAISIE!$N36="","",SAISIE!$N36))</f>
        <v>#REF!</v>
      </c>
      <c r="G429" s="63" t="e">
        <f>IF(SAISIE!#REF!="","",SAISIE!#REF!)</f>
        <v>#REF!</v>
      </c>
      <c r="H429" s="63"/>
      <c r="I429" s="63" t="e">
        <f>IF(SAISIE!#REF!="","",SAISIE!$Q36)</f>
        <v>#REF!</v>
      </c>
      <c r="J429" s="71" t="str">
        <f>IF(COUNTBLANK(SAISIE!$J$6:$M$6)=4,"",IF(SAISIE!#REF!="","",IF(SAISIE!J36&gt;0,SAISIE!$J$6,IF(SAISIE!K36&gt;0,SAISIE!$K$6,IF(SAISIE!L36&gt;0,SAISIE!$L$6,IF(SAISIE!M36&gt;0,SAISIE!$M$6,""))))))</f>
        <v/>
      </c>
      <c r="O429" s="59" t="s">
        <v>60</v>
      </c>
    </row>
    <row r="430" spans="1:15" x14ac:dyDescent="0.25">
      <c r="A430" s="63" t="str">
        <f>IF(AND(G430="",H430=""),"SUPPR",SAISIE!$B$3)</f>
        <v>SUPPR</v>
      </c>
      <c r="B430" s="63" t="str">
        <f>IF(SAISIE!J36="","",IF(LEN(SAISIE!B36)=1,CONCATENATE("0",SAISIE!B36,"/",SAISIE!$B$4,"/",SAISIE!$B$5),CONCATENATE(SAISIE!B36,"/",SAISIE!$B$4,"/",SAISIE!$B$5)))</f>
        <v/>
      </c>
      <c r="C430" s="63" t="str">
        <f>IF(SAISIE!J36="","",SAISIE!$J$8)</f>
        <v/>
      </c>
      <c r="D430" s="63" t="str">
        <f>IF(SAISIE!J36="","",SAISIE!E36)</f>
        <v/>
      </c>
      <c r="E430" s="63" t="str">
        <f>IF(SAISIE!J36="","",SAISIE!F36)</f>
        <v/>
      </c>
      <c r="F430" s="70" t="str">
        <f>IF(SAISIE!$J36="","",IF(SAISIE!$N36="","",SAISIE!$N36))</f>
        <v/>
      </c>
      <c r="G430" s="63" t="str">
        <f>IF(SAISIE!J36="","",SAISIE!J36)</f>
        <v/>
      </c>
      <c r="H430" s="63"/>
      <c r="I430" s="72"/>
      <c r="J430" s="71"/>
      <c r="O430" s="73"/>
    </row>
    <row r="431" spans="1:15" x14ac:dyDescent="0.25">
      <c r="A431" s="63" t="str">
        <f>IF(AND(G431="",H431=""),"SUPPR",SAISIE!$B$3)</f>
        <v>SUPPR</v>
      </c>
      <c r="B431" s="63" t="str">
        <f>IF(SAISIE!K36="","",IF(LEN(SAISIE!B36)=1,CONCATENATE("0",SAISIE!B36,"/",SAISIE!$B$4,"/",SAISIE!$B$5),CONCATENATE(SAISIE!B36,"/",SAISIE!$B$4,"/",SAISIE!$B$5)))</f>
        <v/>
      </c>
      <c r="C431" s="63" t="str">
        <f>IF(SAISIE!K36="","",SAISIE!$K$8)</f>
        <v/>
      </c>
      <c r="D431" s="63" t="str">
        <f>IF(SAISIE!K36="","",SAISIE!E36)</f>
        <v/>
      </c>
      <c r="E431" s="63" t="str">
        <f>IF(SAISIE!K36="","",SAISIE!F36)</f>
        <v/>
      </c>
      <c r="F431" s="70" t="str">
        <f>IF(SAISIE!$K36="","",IF(SAISIE!$N36="","",SAISIE!$N36))</f>
        <v/>
      </c>
      <c r="G431" s="63" t="str">
        <f>IF(SAISIE!K36="","",SAISIE!K36)</f>
        <v/>
      </c>
      <c r="H431" s="63"/>
      <c r="I431" s="72"/>
      <c r="J431" s="71"/>
    </row>
    <row r="432" spans="1:15" x14ac:dyDescent="0.25">
      <c r="A432" s="63" t="str">
        <f>IF(AND(G432="",H432=""),"SUPPR",SAISIE!$B$3)</f>
        <v>SUPPR</v>
      </c>
      <c r="B432" s="63" t="str">
        <f>IF(SAISIE!L36="","",IF(LEN(SAISIE!B36)=1,CONCATENATE("0",SAISIE!B36,"/",SAISIE!$B$4,"/",SAISIE!$B$5),CONCATENATE(SAISIE!B36,"/",SAISIE!$B$4,"/",SAISIE!$B$5)))</f>
        <v/>
      </c>
      <c r="C432" s="63" t="str">
        <f>IF(SAISIE!L36="","",SAISIE!$L$8)</f>
        <v/>
      </c>
      <c r="D432" s="63" t="str">
        <f>IF(SAISIE!L36="","",SAISIE!E36)</f>
        <v/>
      </c>
      <c r="E432" s="63" t="str">
        <f>IF(SAISIE!L36="","",SAISIE!F36)</f>
        <v/>
      </c>
      <c r="F432" s="70" t="str">
        <f>IF(SAISIE!$L36="","",IF(SAISIE!$N36="","",SAISIE!$N36))</f>
        <v/>
      </c>
      <c r="G432" s="63" t="str">
        <f>IF(SAISIE!L36="","",SAISIE!L36)</f>
        <v/>
      </c>
      <c r="H432" s="63"/>
      <c r="I432" s="72"/>
      <c r="J432" s="71"/>
    </row>
    <row r="433" spans="1:15" x14ac:dyDescent="0.25">
      <c r="A433" s="63" t="str">
        <f>IF(AND(G433="",H433=""),"SUPPR",SAISIE!$B$3)</f>
        <v>SUPPR</v>
      </c>
      <c r="B433" s="63" t="str">
        <f>IF(SAISIE!M36="","",IF(LEN(SAISIE!B36)=1,CONCATENATE("0",SAISIE!B36,"/",SAISIE!$B$4,"/",SAISIE!$B$5),CONCATENATE(SAISIE!B36,"/",SAISIE!$B$4,"/",SAISIE!$B$5)))</f>
        <v/>
      </c>
      <c r="C433" s="74" t="str">
        <f>IF(SAISIE!M36="","",SAISIE!$M$8)</f>
        <v/>
      </c>
      <c r="D433" s="74" t="str">
        <f>IF(SAISIE!M36="","",SAISIE!E36)</f>
        <v/>
      </c>
      <c r="E433" s="74" t="str">
        <f>IF(SAISIE!M36="","",SAISIE!F36)</f>
        <v/>
      </c>
      <c r="F433" s="75" t="str">
        <f>IF(SAISIE!$M36="","",IF(SAISIE!$N36="","",SAISIE!$N36))</f>
        <v/>
      </c>
      <c r="G433" s="74" t="str">
        <f>IF(SAISIE!M36="","",SAISIE!M36)</f>
        <v/>
      </c>
      <c r="H433" s="76"/>
      <c r="I433" s="77"/>
      <c r="J433" s="78"/>
    </row>
    <row r="434" spans="1:15" x14ac:dyDescent="0.25">
      <c r="A434" s="63" t="str">
        <f>IF(AND(G434="",H434=""),"SUPPR",SAISIE!$B$3)</f>
        <v>SUPPR</v>
      </c>
      <c r="B434" s="64" t="str">
        <f>IF(SAISIE!B37="","",IF(LEN(SAISIE!B37)=1,CONCATENATE("0",SAISIE!B37,"/",SAISIE!$B$4,"/",SAISIE!$B$5),CONCATENATE(SAISIE!B37,"/",SAISIE!$B$4,"/",SAISIE!$B$5)))</f>
        <v/>
      </c>
      <c r="C434" s="64" t="str">
        <f>IF(SAISIE!B37="","",CONCATENATE($M$2,SAISIE!C37))</f>
        <v/>
      </c>
      <c r="D434" s="64" t="str">
        <f>IF(SAISIE!B37="","",SAISIE!E37)</f>
        <v/>
      </c>
      <c r="E434" s="64" t="str">
        <f>IF(SAISIE!B37="","",SAISIE!F37)</f>
        <v/>
      </c>
      <c r="F434" s="65" t="str">
        <f>IF(A434="SUPPR","",IF(SAISIE!$N37="","",SAISIE!$N37))</f>
        <v/>
      </c>
      <c r="G434" s="64"/>
      <c r="H434" s="64" t="str">
        <f>IF(SAISIE!B37="","",SAISIE!D37)</f>
        <v/>
      </c>
      <c r="I434" s="66"/>
      <c r="J434" s="67" t="str">
        <f>IF(AZ37="","","")</f>
        <v/>
      </c>
      <c r="O434" s="69">
        <f>O418+1</f>
        <v>37</v>
      </c>
    </row>
    <row r="435" spans="1:15" x14ac:dyDescent="0.25">
      <c r="A435" s="63" t="str">
        <f>IF(AND(G435="",H435=""),"SUPPR",SAISIE!$B$3)</f>
        <v>SUPPR</v>
      </c>
      <c r="B435" s="63" t="str">
        <f>IF(SAISIE!P37="","",IF(LEN(SAISIE!B37)=1,CONCATENATE("0",SAISIE!B37,"/",SAISIE!$B$4,"/",SAISIE!$B$5),CONCATENATE(SAISIE!B37,"/",SAISIE!$B$4,"/",SAISIE!$B$5)))</f>
        <v/>
      </c>
      <c r="C435" s="63" t="str">
        <f>IF(SAISIE!P37="","",SAISIE!O37)</f>
        <v/>
      </c>
      <c r="D435" s="63" t="str">
        <f>IF(SAISIE!P37="","",SAISIE!E37)</f>
        <v/>
      </c>
      <c r="E435" s="63" t="str">
        <f>IF(SAISIE!P37="","",SAISIE!F37)</f>
        <v/>
      </c>
      <c r="F435" s="70" t="str">
        <f>IF(SAISIE!$P37="","",IF(SAISIE!$N37="","",SAISIE!$N37))</f>
        <v/>
      </c>
      <c r="G435" s="63" t="str">
        <f>IF(SAISIE!P37="","",SAISIE!P37)</f>
        <v/>
      </c>
      <c r="H435" s="63"/>
      <c r="I435" s="63" t="str">
        <f>IF(SAISIE!$P37="","",SAISIE!$Q37)</f>
        <v/>
      </c>
      <c r="J435" s="71" t="str">
        <f>IF(COUNTBLANK(SAISIE!$J$6:$M$6)=4,"",IF(SAISIE!P37="","",IF(SAISIE!J37&gt;0,SAISIE!$J$6,IF(SAISIE!K37&gt;0,SAISIE!$K$6,IF(SAISIE!L37&gt;0,SAISIE!$L$6,IF(SAISIE!M37&gt;0,SAISIE!$M$6,""))))))</f>
        <v/>
      </c>
      <c r="O435" s="59" t="s">
        <v>50</v>
      </c>
    </row>
    <row r="436" spans="1:15" x14ac:dyDescent="0.25">
      <c r="A436" s="63" t="str">
        <f>IF(AND(G436="",H436=""),"SUPPR",SAISIE!$B$3)</f>
        <v>SUPPR</v>
      </c>
      <c r="B436" s="63" t="str">
        <f>IF(SAISIE!G37="","",IF(LEN(SAISIE!B37)=1,CONCATENATE("0",SAISIE!B37,"/",SAISIE!$B$4,"/",SAISIE!$B$5),CONCATENATE(SAISIE!B37,"/",SAISIE!$B$4,"/",SAISIE!$B$5)))</f>
        <v/>
      </c>
      <c r="C436" s="63" t="str">
        <f>IF(SAISIE!G37="","",SAISIE!$G$8)</f>
        <v/>
      </c>
      <c r="D436" s="63" t="str">
        <f>IF(SAISIE!G37="","",SAISIE!E37)</f>
        <v/>
      </c>
      <c r="E436" s="63" t="str">
        <f>IF(SAISIE!G37="","",SAISIE!F37)</f>
        <v/>
      </c>
      <c r="F436" s="70" t="str">
        <f>IF(SAISIE!$G37="","",IF(SAISIE!$N37="","",SAISIE!$N37))</f>
        <v/>
      </c>
      <c r="G436" s="63" t="str">
        <f>IF(SAISIE!G37="","",SAISIE!G37)</f>
        <v/>
      </c>
      <c r="H436" s="63"/>
      <c r="I436" s="63" t="str">
        <f>IF(SAISIE!$G37="","",SAISIE!$Q37)</f>
        <v/>
      </c>
      <c r="J436" s="71" t="str">
        <f>IF(COUNTBLANK(SAISIE!$J$6:$M$6)=4,"",IF(SAISIE!G37="","",IF(SAISIE!J37&gt;0,SAISIE!$J$6,IF(SAISIE!K37&gt;0,SAISIE!$K$6,IF(SAISIE!L37&gt;0,SAISIE!$L$6,IF(SAISIE!M37&gt;0,SAISIE!$M$6,""))))))</f>
        <v/>
      </c>
      <c r="O436" s="59" t="s">
        <v>51</v>
      </c>
    </row>
    <row r="437" spans="1:15" x14ac:dyDescent="0.25">
      <c r="A437" s="63" t="str">
        <f>IF(AND(G437="",H437=""),"SUPPR",SAISIE!$B$3)</f>
        <v>SUPPR</v>
      </c>
      <c r="B437" s="63" t="str">
        <f>IF(SAISIE!H37="","",IF(LEN(SAISIE!B37)=1,CONCATENATE("0",SAISIE!B37,"/",SAISIE!$B$4,"/",SAISIE!$B$5),CONCATENATE(SAISIE!B37,"/",SAISIE!$B$4,"/",SAISIE!$B$5)))</f>
        <v/>
      </c>
      <c r="C437" s="63" t="str">
        <f>IF(SAISIE!H37="","",SAISIE!$H$8)</f>
        <v/>
      </c>
      <c r="D437" s="63" t="str">
        <f>IF(SAISIE!H37="","",SAISIE!E37)</f>
        <v/>
      </c>
      <c r="E437" s="63" t="str">
        <f>IF(SAISIE!H37="","",SAISIE!F37)</f>
        <v/>
      </c>
      <c r="F437" s="70" t="str">
        <f>IF(SAISIE!$H37="","",IF(SAISIE!$N37="","",SAISIE!$N37))</f>
        <v/>
      </c>
      <c r="G437" s="63" t="str">
        <f>IF(SAISIE!H37="","",SAISIE!H37)</f>
        <v/>
      </c>
      <c r="H437" s="63"/>
      <c r="I437" s="63" t="str">
        <f>IF(SAISIE!$H37="","",SAISIE!$Q37)</f>
        <v/>
      </c>
      <c r="J437" s="71" t="str">
        <f>IF(COUNTBLANK(SAISIE!$J$6:$M$6)=4,"",IF(SAISIE!H37="","",IF(SAISIE!J37&gt;0,SAISIE!$J$6,IF(SAISIE!K37&gt;0,SAISIE!$K$6,IF(SAISIE!L37&gt;0,SAISIE!$L$6,IF(SAISIE!M37&gt;0,SAISIE!$M$6,""))))))</f>
        <v/>
      </c>
      <c r="O437" s="59" t="s">
        <v>52</v>
      </c>
    </row>
    <row r="438" spans="1:15" x14ac:dyDescent="0.25">
      <c r="A438" s="63" t="str">
        <f>IF(AND(G438="",H438=""),"SUPPR",SAISIE!$B$3)</f>
        <v>SUPPR</v>
      </c>
      <c r="B438" s="63" t="str">
        <f>IF(SAISIE!I37="","",IF(LEN(SAISIE!B37)=1,CONCATENATE("0",SAISIE!B37,"/",SAISIE!$B$4,"/",SAISIE!$B$5),CONCATENATE(SAISIE!B37,"/",SAISIE!$B$4,"/",SAISIE!$B$5)))</f>
        <v/>
      </c>
      <c r="C438" s="63" t="str">
        <f>IF(SAISIE!I37="","",SAISIE!$I$8)</f>
        <v/>
      </c>
      <c r="D438" s="63" t="str">
        <f>IF(SAISIE!I37="","",SAISIE!E37)</f>
        <v/>
      </c>
      <c r="E438" s="63" t="str">
        <f>IF(SAISIE!I37="","",SAISIE!F37)</f>
        <v/>
      </c>
      <c r="F438" s="70" t="str">
        <f>IF(SAISIE!$I37="","",IF(SAISIE!$N37="","",SAISIE!$N37))</f>
        <v/>
      </c>
      <c r="G438" s="63" t="str">
        <f>IF(SAISIE!I37="","",SAISIE!I37)</f>
        <v/>
      </c>
      <c r="H438" s="63"/>
      <c r="I438" s="63" t="str">
        <f>IF(SAISIE!$I37="","",SAISIE!$Q37)</f>
        <v/>
      </c>
      <c r="J438" s="71" t="str">
        <f>IF(COUNTBLANK(SAISIE!$J$6:$M$6)=4,"",IF(SAISIE!I37="","",IF(SAISIE!J37&gt;0,SAISIE!$J$6,IF(SAISIE!K37&gt;0,SAISIE!$K$6,IF(SAISIE!L37&gt;0,SAISIE!$L$6,IF(SAISIE!M37&gt;0,SAISIE!$M$6,""))))))</f>
        <v/>
      </c>
      <c r="O438" s="59" t="s">
        <v>53</v>
      </c>
    </row>
    <row r="439" spans="1:15" x14ac:dyDescent="0.25">
      <c r="A439" s="63" t="e">
        <f>IF(AND(G439="",H439=""),"SUPPR",SAISIE!$B$3)</f>
        <v>#REF!</v>
      </c>
      <c r="B439" s="63" t="e">
        <f>IF(SAISIE!#REF!="","",IF(LEN(SAISIE!B37)=1,CONCATENATE("0",SAISIE!B37,"/",SAISIE!$B$4,"/",SAISIE!$B$5),CONCATENATE(SAISIE!B37,"/",SAISIE!$B$4,"/",SAISIE!$B$5)))</f>
        <v>#REF!</v>
      </c>
      <c r="C439" s="63" t="e">
        <f>IF(SAISIE!#REF!="","",SAISIE!#REF!)</f>
        <v>#REF!</v>
      </c>
      <c r="D439" s="63" t="e">
        <f>IF(SAISIE!#REF!="","",SAISIE!E37)</f>
        <v>#REF!</v>
      </c>
      <c r="E439" s="63" t="e">
        <f>IF(SAISIE!#REF!="","",SAISIE!F37)</f>
        <v>#REF!</v>
      </c>
      <c r="F439" s="70" t="e">
        <f>IF(SAISIE!#REF!="","",IF(SAISIE!$N37="","",SAISIE!$N37))</f>
        <v>#REF!</v>
      </c>
      <c r="G439" s="63" t="e">
        <f>IF(SAISIE!#REF!="","",SAISIE!#REF!)</f>
        <v>#REF!</v>
      </c>
      <c r="H439" s="63"/>
      <c r="I439" s="63" t="e">
        <f>IF(SAISIE!#REF!="","",SAISIE!$Q37)</f>
        <v>#REF!</v>
      </c>
      <c r="J439" s="71" t="str">
        <f>IF(COUNTBLANK(SAISIE!$J$6:$M$6)=4,"",IF(SAISIE!#REF!="","",IF(SAISIE!J37&gt;0,SAISIE!$J$6,IF(SAISIE!K37&gt;0,SAISIE!$K$6,IF(SAISIE!L37&gt;0,SAISIE!$L$6,IF(SAISIE!M37&gt;0,SAISIE!$M$6,""))))))</f>
        <v/>
      </c>
      <c r="O439" s="59" t="s">
        <v>54</v>
      </c>
    </row>
    <row r="440" spans="1:15" x14ac:dyDescent="0.25">
      <c r="A440" s="63" t="e">
        <f>IF(AND(G440="",H440=""),"SUPPR",SAISIE!$B$3)</f>
        <v>#REF!</v>
      </c>
      <c r="B440" s="63" t="e">
        <f>IF(SAISIE!#REF!="","",IF(LEN(SAISIE!B37)=1,CONCATENATE("0",SAISIE!B37,"/",SAISIE!$B$4,"/",SAISIE!$B$5),CONCATENATE(SAISIE!B37,"/",SAISIE!$B$4,"/",SAISIE!$B$5)))</f>
        <v>#REF!</v>
      </c>
      <c r="C440" s="63" t="e">
        <f>IF(SAISIE!#REF!="","",SAISIE!#REF!)</f>
        <v>#REF!</v>
      </c>
      <c r="D440" s="63" t="e">
        <f>IF(SAISIE!#REF!="","",SAISIE!E37)</f>
        <v>#REF!</v>
      </c>
      <c r="E440" s="63" t="e">
        <f>IF(SAISIE!#REF!="","",SAISIE!F37)</f>
        <v>#REF!</v>
      </c>
      <c r="F440" s="70" t="e">
        <f>IF(SAISIE!#REF!="","",IF(SAISIE!$N37="","",SAISIE!$N37))</f>
        <v>#REF!</v>
      </c>
      <c r="G440" s="63" t="e">
        <f>IF(SAISIE!#REF!="","",SAISIE!#REF!)</f>
        <v>#REF!</v>
      </c>
      <c r="H440" s="63"/>
      <c r="I440" s="63" t="e">
        <f>IF(SAISIE!#REF!="","",SAISIE!$Q37)</f>
        <v>#REF!</v>
      </c>
      <c r="J440" s="71" t="str">
        <f>IF(COUNTBLANK(SAISIE!$J$6:$M$6)=4,"",IF(SAISIE!#REF!="","",IF(SAISIE!J37&gt;0,SAISIE!$J$6,IF(SAISIE!K37&gt;0,SAISIE!$K$6,IF(SAISIE!L37&gt;0,SAISIE!$L$6,IF(SAISIE!M37&gt;0,SAISIE!$M$6,""))))))</f>
        <v/>
      </c>
      <c r="O440" s="59" t="s">
        <v>55</v>
      </c>
    </row>
    <row r="441" spans="1:15" x14ac:dyDescent="0.25">
      <c r="A441" s="63" t="e">
        <f>IF(AND(G441="",H441=""),"SUPPR",SAISIE!$B$3)</f>
        <v>#REF!</v>
      </c>
      <c r="B441" s="63" t="e">
        <f>IF(SAISIE!#REF!="","",IF(LEN(SAISIE!B37)=1,CONCATENATE("0",SAISIE!B37,"/",SAISIE!$B$4,"/",SAISIE!$B$5),CONCATENATE(SAISIE!B37,"/",SAISIE!$B$4,"/",SAISIE!$B$5)))</f>
        <v>#REF!</v>
      </c>
      <c r="C441" s="63" t="e">
        <f>IF(SAISIE!#REF!="","",SAISIE!#REF!)</f>
        <v>#REF!</v>
      </c>
      <c r="D441" s="63" t="e">
        <f>IF(SAISIE!#REF!="","",SAISIE!E37)</f>
        <v>#REF!</v>
      </c>
      <c r="E441" s="63" t="e">
        <f>IF(SAISIE!#REF!="","",SAISIE!F37)</f>
        <v>#REF!</v>
      </c>
      <c r="F441" s="70" t="e">
        <f>IF(SAISIE!#REF!="","",IF(SAISIE!$N37="","",SAISIE!$N37))</f>
        <v>#REF!</v>
      </c>
      <c r="G441" s="63" t="e">
        <f>IF(SAISIE!#REF!="","",SAISIE!#REF!)</f>
        <v>#REF!</v>
      </c>
      <c r="H441" s="63"/>
      <c r="I441" s="63" t="e">
        <f>IF(SAISIE!#REF!="","",SAISIE!$Q37)</f>
        <v>#REF!</v>
      </c>
      <c r="J441" s="71" t="str">
        <f>IF(COUNTBLANK(SAISIE!$J$6:$M$6)=4,"",IF(SAISIE!#REF!="","",IF(SAISIE!J37&gt;0,SAISIE!$J$6,IF(SAISIE!K37&gt;0,SAISIE!$K$6,IF(SAISIE!L37&gt;0,SAISIE!$L$6,IF(SAISIE!M37&gt;0,SAISIE!$M$6,""))))))</f>
        <v/>
      </c>
      <c r="O441" s="59" t="s">
        <v>56</v>
      </c>
    </row>
    <row r="442" spans="1:15" x14ac:dyDescent="0.25">
      <c r="A442" s="63" t="e">
        <f>IF(AND(G442="",H442=""),"SUPPR",SAISIE!$B$3)</f>
        <v>#REF!</v>
      </c>
      <c r="B442" s="63" t="e">
        <f>IF(SAISIE!#REF!="","",IF(LEN(SAISIE!B37)=1,CONCATENATE("0",SAISIE!B37,"/",SAISIE!$B$4,"/",SAISIE!$B$5),CONCATENATE(SAISIE!B37,"/",SAISIE!$B$4,"/",SAISIE!$B$5)))</f>
        <v>#REF!</v>
      </c>
      <c r="C442" s="63" t="e">
        <f>IF(SAISIE!#REF!="","",SAISIE!#REF!)</f>
        <v>#REF!</v>
      </c>
      <c r="D442" s="63" t="e">
        <f>IF(SAISIE!#REF!="","",SAISIE!E37)</f>
        <v>#REF!</v>
      </c>
      <c r="E442" s="63" t="e">
        <f>IF(SAISIE!#REF!="","",SAISIE!F37)</f>
        <v>#REF!</v>
      </c>
      <c r="F442" s="70" t="e">
        <f>IF(SAISIE!#REF!="","",IF(SAISIE!$N37="","",SAISIE!$N37))</f>
        <v>#REF!</v>
      </c>
      <c r="G442" s="63" t="e">
        <f>IF(SAISIE!#REF!="","",SAISIE!#REF!)</f>
        <v>#REF!</v>
      </c>
      <c r="H442" s="63"/>
      <c r="I442" s="63" t="e">
        <f>IF(SAISIE!#REF!="","",SAISIE!$Q37)</f>
        <v>#REF!</v>
      </c>
      <c r="J442" s="71" t="str">
        <f>IF(COUNTBLANK(SAISIE!$J$6:$M$6)=4,"",IF(SAISIE!#REF!="","",IF(SAISIE!J37&gt;0,SAISIE!$J$6,IF(SAISIE!K37&gt;0,SAISIE!$K$6,IF(SAISIE!L37&gt;0,SAISIE!$L$6,IF(SAISIE!M37&gt;0,SAISIE!$M$6,""))))))</f>
        <v/>
      </c>
      <c r="O442" s="59" t="s">
        <v>57</v>
      </c>
    </row>
    <row r="443" spans="1:15" x14ac:dyDescent="0.25">
      <c r="A443" s="63" t="e">
        <f>IF(AND(G443="",H443=""),"SUPPR",SAISIE!$B$3)</f>
        <v>#REF!</v>
      </c>
      <c r="B443" s="63" t="e">
        <f>IF(SAISIE!#REF!="","",IF(LEN(SAISIE!B37)=1,CONCATENATE("0",SAISIE!B37,"/",SAISIE!$B$4,"/",SAISIE!$B$5),CONCATENATE(SAISIE!B37,"/",SAISIE!$B$4,"/",SAISIE!$B$5)))</f>
        <v>#REF!</v>
      </c>
      <c r="C443" s="63" t="e">
        <f>IF(SAISIE!#REF!="","",SAISIE!#REF!)</f>
        <v>#REF!</v>
      </c>
      <c r="D443" s="63" t="e">
        <f>IF(SAISIE!#REF!="","",SAISIE!E37)</f>
        <v>#REF!</v>
      </c>
      <c r="E443" s="63" t="e">
        <f>IF(SAISIE!#REF!="","",SAISIE!F37)</f>
        <v>#REF!</v>
      </c>
      <c r="F443" s="70" t="e">
        <f>IF(SAISIE!#REF!="","",IF(SAISIE!$N37="","",SAISIE!$N37))</f>
        <v>#REF!</v>
      </c>
      <c r="G443" s="63" t="e">
        <f>IF(SAISIE!#REF!="","",SAISIE!#REF!)</f>
        <v>#REF!</v>
      </c>
      <c r="H443" s="63"/>
      <c r="I443" s="63" t="e">
        <f>IF(SAISIE!#REF!="","",SAISIE!$Q37)</f>
        <v>#REF!</v>
      </c>
      <c r="J443" s="71" t="str">
        <f>IF(COUNTBLANK(SAISIE!$J$6:$M$6)=4,"",IF(SAISIE!#REF!="","",IF(SAISIE!J37&gt;0,SAISIE!$J$6,IF(SAISIE!K37&gt;0,SAISIE!$K$6,IF(SAISIE!L37&gt;0,SAISIE!$L$6,IF(SAISIE!M37&gt;0,SAISIE!$M$6,""))))))</f>
        <v/>
      </c>
      <c r="O443" s="59" t="s">
        <v>58</v>
      </c>
    </row>
    <row r="444" spans="1:15" x14ac:dyDescent="0.25">
      <c r="A444" s="63" t="e">
        <f>IF(AND(G444="",H444=""),"SUPPR",SAISIE!$B$3)</f>
        <v>#REF!</v>
      </c>
      <c r="B444" s="63" t="e">
        <f>IF(SAISIE!#REF!="","",IF(LEN(SAISIE!B37)=1,CONCATENATE("0",SAISIE!B37,"/",SAISIE!$B$4,"/",SAISIE!$B$5),CONCATENATE(SAISIE!B37,"/",SAISIE!$B$4,"/",SAISIE!$B$5)))</f>
        <v>#REF!</v>
      </c>
      <c r="C444" s="63" t="e">
        <f>IF(SAISIE!#REF!="","",SAISIE!#REF!)</f>
        <v>#REF!</v>
      </c>
      <c r="D444" s="63" t="e">
        <f>IF(SAISIE!#REF!="","",SAISIE!E37)</f>
        <v>#REF!</v>
      </c>
      <c r="E444" s="63" t="e">
        <f>IF(SAISIE!#REF!="","",SAISIE!F37)</f>
        <v>#REF!</v>
      </c>
      <c r="F444" s="70" t="e">
        <f>IF(SAISIE!#REF!="","",IF(SAISIE!$N37="","",SAISIE!$N37))</f>
        <v>#REF!</v>
      </c>
      <c r="G444" s="63" t="e">
        <f>IF(SAISIE!#REF!="","",SAISIE!#REF!)</f>
        <v>#REF!</v>
      </c>
      <c r="H444" s="63"/>
      <c r="I444" s="63" t="e">
        <f>IF(SAISIE!#REF!="","",SAISIE!$Q37)</f>
        <v>#REF!</v>
      </c>
      <c r="J444" s="71" t="str">
        <f>IF(COUNTBLANK(SAISIE!$J$6:$M$6)=4,"",IF(SAISIE!#REF!="","",IF(SAISIE!J37&gt;0,SAISIE!$J$6,IF(SAISIE!K37&gt;0,SAISIE!$K$6,IF(SAISIE!L37&gt;0,SAISIE!$L$6,IF(SAISIE!M37&gt;0,SAISIE!$M$6,""))))))</f>
        <v/>
      </c>
      <c r="O444" s="59" t="s">
        <v>59</v>
      </c>
    </row>
    <row r="445" spans="1:15" x14ac:dyDescent="0.25">
      <c r="A445" s="63" t="e">
        <f>IF(AND(G445="",H445=""),"SUPPR",SAISIE!$B$3)</f>
        <v>#REF!</v>
      </c>
      <c r="B445" s="63" t="e">
        <f>IF(SAISIE!#REF!="","",IF(LEN(SAISIE!B37)=1,CONCATENATE("0",SAISIE!B37,"/",SAISIE!$B$4,"/",SAISIE!$B$5),CONCATENATE(SAISIE!B37,"/",SAISIE!$B$4,"/",SAISIE!$B$5)))</f>
        <v>#REF!</v>
      </c>
      <c r="C445" s="63" t="e">
        <f>IF(SAISIE!#REF!="","",SAISIE!#REF!)</f>
        <v>#REF!</v>
      </c>
      <c r="D445" s="63" t="e">
        <f>IF(SAISIE!#REF!="","",SAISIE!E37)</f>
        <v>#REF!</v>
      </c>
      <c r="E445" s="63" t="e">
        <f>IF(SAISIE!#REF!="","",SAISIE!F37)</f>
        <v>#REF!</v>
      </c>
      <c r="F445" s="70" t="e">
        <f>IF(SAISIE!#REF!="","",IF(SAISIE!$N37="","",SAISIE!$N37))</f>
        <v>#REF!</v>
      </c>
      <c r="G445" s="63" t="e">
        <f>IF(SAISIE!#REF!="","",SAISIE!#REF!)</f>
        <v>#REF!</v>
      </c>
      <c r="H445" s="63"/>
      <c r="I445" s="63" t="e">
        <f>IF(SAISIE!#REF!="","",SAISIE!$Q37)</f>
        <v>#REF!</v>
      </c>
      <c r="J445" s="71" t="str">
        <f>IF(COUNTBLANK(SAISIE!$J$6:$M$6)=4,"",IF(SAISIE!#REF!="","",IF(SAISIE!J37&gt;0,SAISIE!$J$6,IF(SAISIE!K37&gt;0,SAISIE!$K$6,IF(SAISIE!L37&gt;0,SAISIE!$L$6,IF(SAISIE!M37&gt;0,SAISIE!$M$6,""))))))</f>
        <v/>
      </c>
      <c r="O445" s="59" t="s">
        <v>60</v>
      </c>
    </row>
    <row r="446" spans="1:15" x14ac:dyDescent="0.25">
      <c r="A446" s="63" t="str">
        <f>IF(AND(G446="",H446=""),"SUPPR",SAISIE!$B$3)</f>
        <v>SUPPR</v>
      </c>
      <c r="B446" s="63" t="str">
        <f>IF(SAISIE!J37="","",IF(LEN(SAISIE!B37)=1,CONCATENATE("0",SAISIE!B37,"/",SAISIE!$B$4,"/",SAISIE!$B$5),CONCATENATE(SAISIE!B37,"/",SAISIE!$B$4,"/",SAISIE!$B$5)))</f>
        <v/>
      </c>
      <c r="C446" s="63" t="str">
        <f>IF(SAISIE!J37="","",SAISIE!$J$8)</f>
        <v/>
      </c>
      <c r="D446" s="63" t="str">
        <f>IF(SAISIE!J37="","",SAISIE!E37)</f>
        <v/>
      </c>
      <c r="E446" s="63" t="str">
        <f>IF(SAISIE!J37="","",SAISIE!F37)</f>
        <v/>
      </c>
      <c r="F446" s="70" t="str">
        <f>IF(SAISIE!$J37="","",IF(SAISIE!$N37="","",SAISIE!$N37))</f>
        <v/>
      </c>
      <c r="G446" s="63" t="str">
        <f>IF(SAISIE!J37="","",SAISIE!J37)</f>
        <v/>
      </c>
      <c r="H446" s="63"/>
      <c r="I446" s="72"/>
      <c r="J446" s="71"/>
      <c r="O446" s="73"/>
    </row>
    <row r="447" spans="1:15" x14ac:dyDescent="0.25">
      <c r="A447" s="63" t="str">
        <f>IF(AND(G447="",H447=""),"SUPPR",SAISIE!$B$3)</f>
        <v>SUPPR</v>
      </c>
      <c r="B447" s="63" t="str">
        <f>IF(SAISIE!K37="","",IF(LEN(SAISIE!B37)=1,CONCATENATE("0",SAISIE!B37,"/",SAISIE!$B$4,"/",SAISIE!$B$5),CONCATENATE(SAISIE!B37,"/",SAISIE!$B$4,"/",SAISIE!$B$5)))</f>
        <v/>
      </c>
      <c r="C447" s="63" t="str">
        <f>IF(SAISIE!K37="","",SAISIE!$K$8)</f>
        <v/>
      </c>
      <c r="D447" s="63" t="str">
        <f>IF(SAISIE!K37="","",SAISIE!E37)</f>
        <v/>
      </c>
      <c r="E447" s="63" t="str">
        <f>IF(SAISIE!K37="","",SAISIE!F37)</f>
        <v/>
      </c>
      <c r="F447" s="70" t="str">
        <f>IF(SAISIE!$K37="","",IF(SAISIE!$N37="","",SAISIE!$N37))</f>
        <v/>
      </c>
      <c r="G447" s="63" t="str">
        <f>IF(SAISIE!K37="","",SAISIE!K37)</f>
        <v/>
      </c>
      <c r="H447" s="63"/>
      <c r="I447" s="72"/>
      <c r="J447" s="71"/>
    </row>
    <row r="448" spans="1:15" x14ac:dyDescent="0.25">
      <c r="A448" s="63" t="str">
        <f>IF(AND(G448="",H448=""),"SUPPR",SAISIE!$B$3)</f>
        <v>SUPPR</v>
      </c>
      <c r="B448" s="63" t="str">
        <f>IF(SAISIE!L37="","",IF(LEN(SAISIE!B37)=1,CONCATENATE("0",SAISIE!B37,"/",SAISIE!$B$4,"/",SAISIE!$B$5),CONCATENATE(SAISIE!B37,"/",SAISIE!$B$4,"/",SAISIE!$B$5)))</f>
        <v/>
      </c>
      <c r="C448" s="63" t="str">
        <f>IF(SAISIE!L37="","",SAISIE!$L$8)</f>
        <v/>
      </c>
      <c r="D448" s="63" t="str">
        <f>IF(SAISIE!L37="","",SAISIE!E37)</f>
        <v/>
      </c>
      <c r="E448" s="63" t="str">
        <f>IF(SAISIE!L37="","",SAISIE!F37)</f>
        <v/>
      </c>
      <c r="F448" s="70" t="str">
        <f>IF(SAISIE!$L37="","",IF(SAISIE!$N37="","",SAISIE!$N37))</f>
        <v/>
      </c>
      <c r="G448" s="63" t="str">
        <f>IF(SAISIE!L37="","",SAISIE!L37)</f>
        <v/>
      </c>
      <c r="H448" s="63"/>
      <c r="I448" s="72"/>
      <c r="J448" s="71"/>
    </row>
    <row r="449" spans="1:15" x14ac:dyDescent="0.25">
      <c r="A449" s="63" t="str">
        <f>IF(AND(G449="",H449=""),"SUPPR",SAISIE!$B$3)</f>
        <v>SUPPR</v>
      </c>
      <c r="B449" s="63" t="str">
        <f>IF(SAISIE!M37="","",IF(LEN(SAISIE!B37)=1,CONCATENATE("0",SAISIE!B37,"/",SAISIE!$B$4,"/",SAISIE!$B$5),CONCATENATE(SAISIE!B37,"/",SAISIE!$B$4,"/",SAISIE!$B$5)))</f>
        <v/>
      </c>
      <c r="C449" s="74" t="str">
        <f>IF(SAISIE!M37="","",SAISIE!$M$8)</f>
        <v/>
      </c>
      <c r="D449" s="74" t="str">
        <f>IF(SAISIE!M37="","",SAISIE!E37)</f>
        <v/>
      </c>
      <c r="E449" s="74" t="str">
        <f>IF(SAISIE!M37="","",SAISIE!F37)</f>
        <v/>
      </c>
      <c r="F449" s="75" t="str">
        <f>IF(SAISIE!$M37="","",IF(SAISIE!$N37="","",SAISIE!$N37))</f>
        <v/>
      </c>
      <c r="G449" s="74" t="str">
        <f>IF(SAISIE!M37="","",SAISIE!M37)</f>
        <v/>
      </c>
      <c r="H449" s="76"/>
      <c r="I449" s="77"/>
      <c r="J449" s="78"/>
    </row>
    <row r="450" spans="1:15" x14ac:dyDescent="0.25">
      <c r="A450" s="63" t="str">
        <f>IF(AND(G450="",H450=""),"SUPPR",SAISIE!$B$3)</f>
        <v>SUPPR</v>
      </c>
      <c r="B450" s="64" t="str">
        <f>IF(SAISIE!B38="","",IF(LEN(SAISIE!B38)=1,CONCATENATE("0",SAISIE!B38,"/",SAISIE!$B$4,"/",SAISIE!$B$5),CONCATENATE(SAISIE!B38,"/",SAISIE!$B$4,"/",SAISIE!$B$5)))</f>
        <v/>
      </c>
      <c r="C450" s="64" t="str">
        <f>IF(SAISIE!B38="","",CONCATENATE($M$2,SAISIE!C38))</f>
        <v/>
      </c>
      <c r="D450" s="64" t="str">
        <f>IF(SAISIE!B38="","",SAISIE!E38)</f>
        <v/>
      </c>
      <c r="E450" s="64" t="str">
        <f>IF(SAISIE!B38="","",SAISIE!F38)</f>
        <v/>
      </c>
      <c r="F450" s="65" t="str">
        <f>IF(A450="SUPPR","",IF(SAISIE!$N38="","",SAISIE!$N38))</f>
        <v/>
      </c>
      <c r="G450" s="64"/>
      <c r="H450" s="64" t="str">
        <f>IF(SAISIE!B38="","",SAISIE!D38)</f>
        <v/>
      </c>
      <c r="I450" s="66"/>
      <c r="J450" s="67" t="str">
        <f>IF(AZ38="","","")</f>
        <v/>
      </c>
      <c r="O450" s="69">
        <f>O434+1</f>
        <v>38</v>
      </c>
    </row>
    <row r="451" spans="1:15" x14ac:dyDescent="0.25">
      <c r="A451" s="63" t="str">
        <f>IF(AND(G451="",H451=""),"SUPPR",SAISIE!$B$3)</f>
        <v>SUPPR</v>
      </c>
      <c r="B451" s="63" t="str">
        <f>IF(SAISIE!P38="","",IF(LEN(SAISIE!B38)=1,CONCATENATE("0",SAISIE!B38,"/",SAISIE!$B$4,"/",SAISIE!$B$5),CONCATENATE(SAISIE!B38,"/",SAISIE!$B$4,"/",SAISIE!$B$5)))</f>
        <v/>
      </c>
      <c r="C451" s="63" t="str">
        <f>IF(SAISIE!P38="","",SAISIE!O38)</f>
        <v/>
      </c>
      <c r="D451" s="63" t="str">
        <f>IF(SAISIE!P38="","",SAISIE!E38)</f>
        <v/>
      </c>
      <c r="E451" s="63" t="str">
        <f>IF(SAISIE!P38="","",SAISIE!F38)</f>
        <v/>
      </c>
      <c r="F451" s="70" t="str">
        <f>IF(SAISIE!$P38="","",IF(SAISIE!$N38="","",SAISIE!$N38))</f>
        <v/>
      </c>
      <c r="G451" s="63" t="str">
        <f>IF(SAISIE!P38="","",SAISIE!P38)</f>
        <v/>
      </c>
      <c r="H451" s="63"/>
      <c r="I451" s="63" t="str">
        <f>IF(SAISIE!$P38="","",SAISIE!$Q38)</f>
        <v/>
      </c>
      <c r="J451" s="71" t="str">
        <f>IF(COUNTBLANK(SAISIE!$J$6:$M$6)=4,"",IF(SAISIE!P38="","",IF(SAISIE!J38&gt;0,SAISIE!$J$6,IF(SAISIE!K38&gt;0,SAISIE!$K$6,IF(SAISIE!L38&gt;0,SAISIE!$L$6,IF(SAISIE!M38&gt;0,SAISIE!$M$6,""))))))</f>
        <v/>
      </c>
      <c r="O451" s="59" t="s">
        <v>50</v>
      </c>
    </row>
    <row r="452" spans="1:15" x14ac:dyDescent="0.25">
      <c r="A452" s="63" t="str">
        <f>IF(AND(G452="",H452=""),"SUPPR",SAISIE!$B$3)</f>
        <v>SUPPR</v>
      </c>
      <c r="B452" s="63" t="str">
        <f>IF(SAISIE!G38="","",IF(LEN(SAISIE!B38)=1,CONCATENATE("0",SAISIE!B38,"/",SAISIE!$B$4,"/",SAISIE!$B$5),CONCATENATE(SAISIE!B38,"/",SAISIE!$B$4,"/",SAISIE!$B$5)))</f>
        <v/>
      </c>
      <c r="C452" s="63" t="str">
        <f>IF(SAISIE!G38="","",SAISIE!$G$8)</f>
        <v/>
      </c>
      <c r="D452" s="63" t="str">
        <f>IF(SAISIE!G38="","",SAISIE!E38)</f>
        <v/>
      </c>
      <c r="E452" s="63" t="str">
        <f>IF(SAISIE!G38="","",SAISIE!F38)</f>
        <v/>
      </c>
      <c r="F452" s="70" t="str">
        <f>IF(SAISIE!$G38="","",IF(SAISIE!$N38="","",SAISIE!$N38))</f>
        <v/>
      </c>
      <c r="G452" s="63" t="str">
        <f>IF(SAISIE!G38="","",SAISIE!G38)</f>
        <v/>
      </c>
      <c r="H452" s="63"/>
      <c r="I452" s="63" t="str">
        <f>IF(SAISIE!$G38="","",SAISIE!$Q38)</f>
        <v/>
      </c>
      <c r="J452" s="71" t="str">
        <f>IF(COUNTBLANK(SAISIE!$J$6:$M$6)=4,"",IF(SAISIE!G38="","",IF(SAISIE!J38&gt;0,SAISIE!$J$6,IF(SAISIE!K38&gt;0,SAISIE!$K$6,IF(SAISIE!L38&gt;0,SAISIE!$L$6,IF(SAISIE!M38&gt;0,SAISIE!$M$6,""))))))</f>
        <v/>
      </c>
      <c r="O452" s="59" t="s">
        <v>51</v>
      </c>
    </row>
    <row r="453" spans="1:15" x14ac:dyDescent="0.25">
      <c r="A453" s="63" t="str">
        <f>IF(AND(G453="",H453=""),"SUPPR",SAISIE!$B$3)</f>
        <v>SUPPR</v>
      </c>
      <c r="B453" s="63" t="str">
        <f>IF(SAISIE!H38="","",IF(LEN(SAISIE!B38)=1,CONCATENATE("0",SAISIE!B38,"/",SAISIE!$B$4,"/",SAISIE!$B$5),CONCATENATE(SAISIE!B38,"/",SAISIE!$B$4,"/",SAISIE!$B$5)))</f>
        <v/>
      </c>
      <c r="C453" s="63" t="str">
        <f>IF(SAISIE!H38="","",SAISIE!$H$8)</f>
        <v/>
      </c>
      <c r="D453" s="63" t="str">
        <f>IF(SAISIE!H38="","",SAISIE!E38)</f>
        <v/>
      </c>
      <c r="E453" s="63" t="str">
        <f>IF(SAISIE!H38="","",SAISIE!F38)</f>
        <v/>
      </c>
      <c r="F453" s="70" t="str">
        <f>IF(SAISIE!$H38="","",IF(SAISIE!$N38="","",SAISIE!$N38))</f>
        <v/>
      </c>
      <c r="G453" s="63" t="str">
        <f>IF(SAISIE!H38="","",SAISIE!H38)</f>
        <v/>
      </c>
      <c r="H453" s="63"/>
      <c r="I453" s="63" t="str">
        <f>IF(SAISIE!$H38="","",SAISIE!$Q38)</f>
        <v/>
      </c>
      <c r="J453" s="71" t="str">
        <f>IF(COUNTBLANK(SAISIE!$J$6:$M$6)=4,"",IF(SAISIE!H38="","",IF(SAISIE!J38&gt;0,SAISIE!$J$6,IF(SAISIE!K38&gt;0,SAISIE!$K$6,IF(SAISIE!L38&gt;0,SAISIE!$L$6,IF(SAISIE!M38&gt;0,SAISIE!$M$6,""))))))</f>
        <v/>
      </c>
      <c r="O453" s="59" t="s">
        <v>52</v>
      </c>
    </row>
    <row r="454" spans="1:15" x14ac:dyDescent="0.25">
      <c r="A454" s="63" t="str">
        <f>IF(AND(G454="",H454=""),"SUPPR",SAISIE!$B$3)</f>
        <v>SUPPR</v>
      </c>
      <c r="B454" s="63" t="str">
        <f>IF(SAISIE!I38="","",IF(LEN(SAISIE!B38)=1,CONCATENATE("0",SAISIE!B38,"/",SAISIE!$B$4,"/",SAISIE!$B$5),CONCATENATE(SAISIE!B38,"/",SAISIE!$B$4,"/",SAISIE!$B$5)))</f>
        <v/>
      </c>
      <c r="C454" s="63" t="str">
        <f>IF(SAISIE!I38="","",SAISIE!$I$8)</f>
        <v/>
      </c>
      <c r="D454" s="63" t="str">
        <f>IF(SAISIE!I38="","",SAISIE!E38)</f>
        <v/>
      </c>
      <c r="E454" s="63" t="str">
        <f>IF(SAISIE!I38="","",SAISIE!F38)</f>
        <v/>
      </c>
      <c r="F454" s="70" t="str">
        <f>IF(SAISIE!$I38="","",IF(SAISIE!$N38="","",SAISIE!$N38))</f>
        <v/>
      </c>
      <c r="G454" s="63" t="str">
        <f>IF(SAISIE!I38="","",SAISIE!I38)</f>
        <v/>
      </c>
      <c r="H454" s="63"/>
      <c r="I454" s="63" t="str">
        <f>IF(SAISIE!$I38="","",SAISIE!$Q38)</f>
        <v/>
      </c>
      <c r="J454" s="71" t="str">
        <f>IF(COUNTBLANK(SAISIE!$J$6:$M$6)=4,"",IF(SAISIE!I38="","",IF(SAISIE!J38&gt;0,SAISIE!$J$6,IF(SAISIE!K38&gt;0,SAISIE!$K$6,IF(SAISIE!L38&gt;0,SAISIE!$L$6,IF(SAISIE!M38&gt;0,SAISIE!$M$6,""))))))</f>
        <v/>
      </c>
      <c r="O454" s="59" t="s">
        <v>53</v>
      </c>
    </row>
    <row r="455" spans="1:15" x14ac:dyDescent="0.25">
      <c r="A455" s="63" t="e">
        <f>IF(AND(G455="",H455=""),"SUPPR",SAISIE!$B$3)</f>
        <v>#REF!</v>
      </c>
      <c r="B455" s="63" t="e">
        <f>IF(SAISIE!#REF!="","",IF(LEN(SAISIE!B38)=1,CONCATENATE("0",SAISIE!B38,"/",SAISIE!$B$4,"/",SAISIE!$B$5),CONCATENATE(SAISIE!B38,"/",SAISIE!$B$4,"/",SAISIE!$B$5)))</f>
        <v>#REF!</v>
      </c>
      <c r="C455" s="63" t="e">
        <f>IF(SAISIE!#REF!="","",SAISIE!#REF!)</f>
        <v>#REF!</v>
      </c>
      <c r="D455" s="63" t="e">
        <f>IF(SAISIE!#REF!="","",SAISIE!E38)</f>
        <v>#REF!</v>
      </c>
      <c r="E455" s="63" t="e">
        <f>IF(SAISIE!#REF!="","",SAISIE!F38)</f>
        <v>#REF!</v>
      </c>
      <c r="F455" s="70" t="e">
        <f>IF(SAISIE!#REF!="","",IF(SAISIE!$N38="","",SAISIE!$N38))</f>
        <v>#REF!</v>
      </c>
      <c r="G455" s="63" t="e">
        <f>IF(SAISIE!#REF!="","",SAISIE!#REF!)</f>
        <v>#REF!</v>
      </c>
      <c r="H455" s="63"/>
      <c r="I455" s="63" t="e">
        <f>IF(SAISIE!#REF!="","",SAISIE!$Q38)</f>
        <v>#REF!</v>
      </c>
      <c r="J455" s="71" t="str">
        <f>IF(COUNTBLANK(SAISIE!$J$6:$M$6)=4,"",IF(SAISIE!#REF!="","",IF(SAISIE!J38&gt;0,SAISIE!$J$6,IF(SAISIE!K38&gt;0,SAISIE!$K$6,IF(SAISIE!L38&gt;0,SAISIE!$L$6,IF(SAISIE!M38&gt;0,SAISIE!$M$6,""))))))</f>
        <v/>
      </c>
      <c r="O455" s="59" t="s">
        <v>54</v>
      </c>
    </row>
    <row r="456" spans="1:15" x14ac:dyDescent="0.25">
      <c r="A456" s="63" t="e">
        <f>IF(AND(G456="",H456=""),"SUPPR",SAISIE!$B$3)</f>
        <v>#REF!</v>
      </c>
      <c r="B456" s="63" t="e">
        <f>IF(SAISIE!#REF!="","",IF(LEN(SAISIE!B38)=1,CONCATENATE("0",SAISIE!B38,"/",SAISIE!$B$4,"/",SAISIE!$B$5),CONCATENATE(SAISIE!B38,"/",SAISIE!$B$4,"/",SAISIE!$B$5)))</f>
        <v>#REF!</v>
      </c>
      <c r="C456" s="63" t="e">
        <f>IF(SAISIE!#REF!="","",SAISIE!#REF!)</f>
        <v>#REF!</v>
      </c>
      <c r="D456" s="63" t="e">
        <f>IF(SAISIE!#REF!="","",SAISIE!E38)</f>
        <v>#REF!</v>
      </c>
      <c r="E456" s="63" t="e">
        <f>IF(SAISIE!#REF!="","",SAISIE!F38)</f>
        <v>#REF!</v>
      </c>
      <c r="F456" s="70" t="e">
        <f>IF(SAISIE!#REF!="","",IF(SAISIE!$N38="","",SAISIE!$N38))</f>
        <v>#REF!</v>
      </c>
      <c r="G456" s="63" t="e">
        <f>IF(SAISIE!#REF!="","",SAISIE!#REF!)</f>
        <v>#REF!</v>
      </c>
      <c r="H456" s="63"/>
      <c r="I456" s="63" t="e">
        <f>IF(SAISIE!#REF!="","",SAISIE!$Q38)</f>
        <v>#REF!</v>
      </c>
      <c r="J456" s="71" t="str">
        <f>IF(COUNTBLANK(SAISIE!$J$6:$M$6)=4,"",IF(SAISIE!#REF!="","",IF(SAISIE!J38&gt;0,SAISIE!$J$6,IF(SAISIE!K38&gt;0,SAISIE!$K$6,IF(SAISIE!L38&gt;0,SAISIE!$L$6,IF(SAISIE!M38&gt;0,SAISIE!$M$6,""))))))</f>
        <v/>
      </c>
      <c r="O456" s="59" t="s">
        <v>55</v>
      </c>
    </row>
    <row r="457" spans="1:15" x14ac:dyDescent="0.25">
      <c r="A457" s="63" t="e">
        <f>IF(AND(G457="",H457=""),"SUPPR",SAISIE!$B$3)</f>
        <v>#REF!</v>
      </c>
      <c r="B457" s="63" t="e">
        <f>IF(SAISIE!#REF!="","",IF(LEN(SAISIE!B38)=1,CONCATENATE("0",SAISIE!B38,"/",SAISIE!$B$4,"/",SAISIE!$B$5),CONCATENATE(SAISIE!B38,"/",SAISIE!$B$4,"/",SAISIE!$B$5)))</f>
        <v>#REF!</v>
      </c>
      <c r="C457" s="63" t="e">
        <f>IF(SAISIE!#REF!="","",SAISIE!#REF!)</f>
        <v>#REF!</v>
      </c>
      <c r="D457" s="63" t="e">
        <f>IF(SAISIE!#REF!="","",SAISIE!E38)</f>
        <v>#REF!</v>
      </c>
      <c r="E457" s="63" t="e">
        <f>IF(SAISIE!#REF!="","",SAISIE!F38)</f>
        <v>#REF!</v>
      </c>
      <c r="F457" s="70" t="e">
        <f>IF(SAISIE!#REF!="","",IF(SAISIE!$N38="","",SAISIE!$N38))</f>
        <v>#REF!</v>
      </c>
      <c r="G457" s="63" t="e">
        <f>IF(SAISIE!#REF!="","",SAISIE!#REF!)</f>
        <v>#REF!</v>
      </c>
      <c r="H457" s="63"/>
      <c r="I457" s="63" t="e">
        <f>IF(SAISIE!#REF!="","",SAISIE!$Q38)</f>
        <v>#REF!</v>
      </c>
      <c r="J457" s="71" t="str">
        <f>IF(COUNTBLANK(SAISIE!$J$6:$M$6)=4,"",IF(SAISIE!#REF!="","",IF(SAISIE!J38&gt;0,SAISIE!$J$6,IF(SAISIE!K38&gt;0,SAISIE!$K$6,IF(SAISIE!L38&gt;0,SAISIE!$L$6,IF(SAISIE!M38&gt;0,SAISIE!$M$6,""))))))</f>
        <v/>
      </c>
      <c r="O457" s="59" t="s">
        <v>56</v>
      </c>
    </row>
    <row r="458" spans="1:15" x14ac:dyDescent="0.25">
      <c r="A458" s="63" t="e">
        <f>IF(AND(G458="",H458=""),"SUPPR",SAISIE!$B$3)</f>
        <v>#REF!</v>
      </c>
      <c r="B458" s="63" t="e">
        <f>IF(SAISIE!#REF!="","",IF(LEN(SAISIE!B38)=1,CONCATENATE("0",SAISIE!B38,"/",SAISIE!$B$4,"/",SAISIE!$B$5),CONCATENATE(SAISIE!B38,"/",SAISIE!$B$4,"/",SAISIE!$B$5)))</f>
        <v>#REF!</v>
      </c>
      <c r="C458" s="63" t="e">
        <f>IF(SAISIE!#REF!="","",SAISIE!#REF!)</f>
        <v>#REF!</v>
      </c>
      <c r="D458" s="63" t="e">
        <f>IF(SAISIE!#REF!="","",SAISIE!E38)</f>
        <v>#REF!</v>
      </c>
      <c r="E458" s="63" t="e">
        <f>IF(SAISIE!#REF!="","",SAISIE!F38)</f>
        <v>#REF!</v>
      </c>
      <c r="F458" s="70" t="e">
        <f>IF(SAISIE!#REF!="","",IF(SAISIE!$N38="","",SAISIE!$N38))</f>
        <v>#REF!</v>
      </c>
      <c r="G458" s="63" t="e">
        <f>IF(SAISIE!#REF!="","",SAISIE!#REF!)</f>
        <v>#REF!</v>
      </c>
      <c r="H458" s="63"/>
      <c r="I458" s="63" t="e">
        <f>IF(SAISIE!#REF!="","",SAISIE!$Q38)</f>
        <v>#REF!</v>
      </c>
      <c r="J458" s="71" t="str">
        <f>IF(COUNTBLANK(SAISIE!$J$6:$M$6)=4,"",IF(SAISIE!#REF!="","",IF(SAISIE!J38&gt;0,SAISIE!$J$6,IF(SAISIE!K38&gt;0,SAISIE!$K$6,IF(SAISIE!L38&gt;0,SAISIE!$L$6,IF(SAISIE!M38&gt;0,SAISIE!$M$6,""))))))</f>
        <v/>
      </c>
      <c r="O458" s="59" t="s">
        <v>57</v>
      </c>
    </row>
    <row r="459" spans="1:15" x14ac:dyDescent="0.25">
      <c r="A459" s="63" t="e">
        <f>IF(AND(G459="",H459=""),"SUPPR",SAISIE!$B$3)</f>
        <v>#REF!</v>
      </c>
      <c r="B459" s="63" t="e">
        <f>IF(SAISIE!#REF!="","",IF(LEN(SAISIE!B38)=1,CONCATENATE("0",SAISIE!B38,"/",SAISIE!$B$4,"/",SAISIE!$B$5),CONCATENATE(SAISIE!B38,"/",SAISIE!$B$4,"/",SAISIE!$B$5)))</f>
        <v>#REF!</v>
      </c>
      <c r="C459" s="63" t="e">
        <f>IF(SAISIE!#REF!="","",SAISIE!#REF!)</f>
        <v>#REF!</v>
      </c>
      <c r="D459" s="63" t="e">
        <f>IF(SAISIE!#REF!="","",SAISIE!E38)</f>
        <v>#REF!</v>
      </c>
      <c r="E459" s="63" t="e">
        <f>IF(SAISIE!#REF!="","",SAISIE!F38)</f>
        <v>#REF!</v>
      </c>
      <c r="F459" s="70" t="e">
        <f>IF(SAISIE!#REF!="","",IF(SAISIE!$N38="","",SAISIE!$N38))</f>
        <v>#REF!</v>
      </c>
      <c r="G459" s="63" t="e">
        <f>IF(SAISIE!#REF!="","",SAISIE!#REF!)</f>
        <v>#REF!</v>
      </c>
      <c r="H459" s="63"/>
      <c r="I459" s="63" t="e">
        <f>IF(SAISIE!#REF!="","",SAISIE!$Q38)</f>
        <v>#REF!</v>
      </c>
      <c r="J459" s="71" t="str">
        <f>IF(COUNTBLANK(SAISIE!$J$6:$M$6)=4,"",IF(SAISIE!#REF!="","",IF(SAISIE!J38&gt;0,SAISIE!$J$6,IF(SAISIE!K38&gt;0,SAISIE!$K$6,IF(SAISIE!L38&gt;0,SAISIE!$L$6,IF(SAISIE!M38&gt;0,SAISIE!$M$6,""))))))</f>
        <v/>
      </c>
      <c r="O459" s="59" t="s">
        <v>58</v>
      </c>
    </row>
    <row r="460" spans="1:15" x14ac:dyDescent="0.25">
      <c r="A460" s="63" t="e">
        <f>IF(AND(G460="",H460=""),"SUPPR",SAISIE!$B$3)</f>
        <v>#REF!</v>
      </c>
      <c r="B460" s="63" t="e">
        <f>IF(SAISIE!#REF!="","",IF(LEN(SAISIE!B38)=1,CONCATENATE("0",SAISIE!B38,"/",SAISIE!$B$4,"/",SAISIE!$B$5),CONCATENATE(SAISIE!B38,"/",SAISIE!$B$4,"/",SAISIE!$B$5)))</f>
        <v>#REF!</v>
      </c>
      <c r="C460" s="63" t="e">
        <f>IF(SAISIE!#REF!="","",SAISIE!#REF!)</f>
        <v>#REF!</v>
      </c>
      <c r="D460" s="63" t="e">
        <f>IF(SAISIE!#REF!="","",SAISIE!E38)</f>
        <v>#REF!</v>
      </c>
      <c r="E460" s="63" t="e">
        <f>IF(SAISIE!#REF!="","",SAISIE!F38)</f>
        <v>#REF!</v>
      </c>
      <c r="F460" s="70" t="e">
        <f>IF(SAISIE!#REF!="","",IF(SAISIE!$N38="","",SAISIE!$N38))</f>
        <v>#REF!</v>
      </c>
      <c r="G460" s="63" t="e">
        <f>IF(SAISIE!#REF!="","",SAISIE!#REF!)</f>
        <v>#REF!</v>
      </c>
      <c r="H460" s="63"/>
      <c r="I460" s="63" t="e">
        <f>IF(SAISIE!#REF!="","",SAISIE!$Q38)</f>
        <v>#REF!</v>
      </c>
      <c r="J460" s="71" t="str">
        <f>IF(COUNTBLANK(SAISIE!$J$6:$M$6)=4,"",IF(SAISIE!#REF!="","",IF(SAISIE!J38&gt;0,SAISIE!$J$6,IF(SAISIE!K38&gt;0,SAISIE!$K$6,IF(SAISIE!L38&gt;0,SAISIE!$L$6,IF(SAISIE!M38&gt;0,SAISIE!$M$6,""))))))</f>
        <v/>
      </c>
      <c r="O460" s="59" t="s">
        <v>59</v>
      </c>
    </row>
    <row r="461" spans="1:15" x14ac:dyDescent="0.25">
      <c r="A461" s="63" t="e">
        <f>IF(AND(G461="",H461=""),"SUPPR",SAISIE!$B$3)</f>
        <v>#REF!</v>
      </c>
      <c r="B461" s="63" t="e">
        <f>IF(SAISIE!#REF!="","",IF(LEN(SAISIE!B38)=1,CONCATENATE("0",SAISIE!B38,"/",SAISIE!$B$4,"/",SAISIE!$B$5),CONCATENATE(SAISIE!B38,"/",SAISIE!$B$4,"/",SAISIE!$B$5)))</f>
        <v>#REF!</v>
      </c>
      <c r="C461" s="63" t="e">
        <f>IF(SAISIE!#REF!="","",SAISIE!#REF!)</f>
        <v>#REF!</v>
      </c>
      <c r="D461" s="63" t="e">
        <f>IF(SAISIE!#REF!="","",SAISIE!E38)</f>
        <v>#REF!</v>
      </c>
      <c r="E461" s="63" t="e">
        <f>IF(SAISIE!#REF!="","",SAISIE!F38)</f>
        <v>#REF!</v>
      </c>
      <c r="F461" s="70" t="e">
        <f>IF(SAISIE!#REF!="","",IF(SAISIE!$N38="","",SAISIE!$N38))</f>
        <v>#REF!</v>
      </c>
      <c r="G461" s="63" t="e">
        <f>IF(SAISIE!#REF!="","",SAISIE!#REF!)</f>
        <v>#REF!</v>
      </c>
      <c r="H461" s="63"/>
      <c r="I461" s="63" t="e">
        <f>IF(SAISIE!#REF!="","",SAISIE!$Q38)</f>
        <v>#REF!</v>
      </c>
      <c r="J461" s="71" t="str">
        <f>IF(COUNTBLANK(SAISIE!$J$6:$M$6)=4,"",IF(SAISIE!#REF!="","",IF(SAISIE!J38&gt;0,SAISIE!$J$6,IF(SAISIE!K38&gt;0,SAISIE!$K$6,IF(SAISIE!L38&gt;0,SAISIE!$L$6,IF(SAISIE!M38&gt;0,SAISIE!$M$6,""))))))</f>
        <v/>
      </c>
      <c r="O461" s="59" t="s">
        <v>60</v>
      </c>
    </row>
    <row r="462" spans="1:15" x14ac:dyDescent="0.25">
      <c r="A462" s="63" t="str">
        <f>IF(AND(G462="",H462=""),"SUPPR",SAISIE!$B$3)</f>
        <v>SUPPR</v>
      </c>
      <c r="B462" s="63" t="str">
        <f>IF(SAISIE!J38="","",IF(LEN(SAISIE!B38)=1,CONCATENATE("0",SAISIE!B38,"/",SAISIE!$B$4,"/",SAISIE!$B$5),CONCATENATE(SAISIE!B38,"/",SAISIE!$B$4,"/",SAISIE!$B$5)))</f>
        <v/>
      </c>
      <c r="C462" s="63" t="str">
        <f>IF(SAISIE!J38="","",SAISIE!$J$8)</f>
        <v/>
      </c>
      <c r="D462" s="63" t="str">
        <f>IF(SAISIE!J38="","",SAISIE!E38)</f>
        <v/>
      </c>
      <c r="E462" s="63" t="str">
        <f>IF(SAISIE!J38="","",SAISIE!F38)</f>
        <v/>
      </c>
      <c r="F462" s="70" t="str">
        <f>IF(SAISIE!$J38="","",IF(SAISIE!$N38="","",SAISIE!$N38))</f>
        <v/>
      </c>
      <c r="G462" s="63" t="str">
        <f>IF(SAISIE!J38="","",SAISIE!J38)</f>
        <v/>
      </c>
      <c r="H462" s="63"/>
      <c r="I462" s="72"/>
      <c r="J462" s="71"/>
      <c r="O462" s="73"/>
    </row>
    <row r="463" spans="1:15" x14ac:dyDescent="0.25">
      <c r="A463" s="63" t="str">
        <f>IF(AND(G463="",H463=""),"SUPPR",SAISIE!$B$3)</f>
        <v>SUPPR</v>
      </c>
      <c r="B463" s="63" t="str">
        <f>IF(SAISIE!K38="","",IF(LEN(SAISIE!B38)=1,CONCATENATE("0",SAISIE!B38,"/",SAISIE!$B$4,"/",SAISIE!$B$5),CONCATENATE(SAISIE!B38,"/",SAISIE!$B$4,"/",SAISIE!$B$5)))</f>
        <v/>
      </c>
      <c r="C463" s="63" t="str">
        <f>IF(SAISIE!K38="","",SAISIE!$K$8)</f>
        <v/>
      </c>
      <c r="D463" s="63" t="str">
        <f>IF(SAISIE!K38="","",SAISIE!E38)</f>
        <v/>
      </c>
      <c r="E463" s="63" t="str">
        <f>IF(SAISIE!K38="","",SAISIE!F38)</f>
        <v/>
      </c>
      <c r="F463" s="70" t="str">
        <f>IF(SAISIE!$K38="","",IF(SAISIE!$N38="","",SAISIE!$N38))</f>
        <v/>
      </c>
      <c r="G463" s="63" t="str">
        <f>IF(SAISIE!K38="","",SAISIE!K38)</f>
        <v/>
      </c>
      <c r="H463" s="63"/>
      <c r="I463" s="72"/>
      <c r="J463" s="71"/>
    </row>
    <row r="464" spans="1:15" x14ac:dyDescent="0.25">
      <c r="A464" s="63" t="str">
        <f>IF(AND(G464="",H464=""),"SUPPR",SAISIE!$B$3)</f>
        <v>SUPPR</v>
      </c>
      <c r="B464" s="63" t="str">
        <f>IF(SAISIE!L38="","",IF(LEN(SAISIE!B38)=1,CONCATENATE("0",SAISIE!B38,"/",SAISIE!$B$4,"/",SAISIE!$B$5),CONCATENATE(SAISIE!B38,"/",SAISIE!$B$4,"/",SAISIE!$B$5)))</f>
        <v/>
      </c>
      <c r="C464" s="63" t="str">
        <f>IF(SAISIE!L38="","",SAISIE!$L$8)</f>
        <v/>
      </c>
      <c r="D464" s="63" t="str">
        <f>IF(SAISIE!L38="","",SAISIE!E38)</f>
        <v/>
      </c>
      <c r="E464" s="63" t="str">
        <f>IF(SAISIE!L38="","",SAISIE!F38)</f>
        <v/>
      </c>
      <c r="F464" s="70" t="str">
        <f>IF(SAISIE!$L38="","",IF(SAISIE!$N38="","",SAISIE!$N38))</f>
        <v/>
      </c>
      <c r="G464" s="63" t="str">
        <f>IF(SAISIE!L38="","",SAISIE!L38)</f>
        <v/>
      </c>
      <c r="H464" s="63"/>
      <c r="I464" s="72"/>
      <c r="J464" s="71"/>
    </row>
    <row r="465" spans="1:15" x14ac:dyDescent="0.25">
      <c r="A465" s="63" t="str">
        <f>IF(AND(G465="",H465=""),"SUPPR",SAISIE!$B$3)</f>
        <v>SUPPR</v>
      </c>
      <c r="B465" s="63" t="str">
        <f>IF(SAISIE!M38="","",IF(LEN(SAISIE!B38)=1,CONCATENATE("0",SAISIE!B38,"/",SAISIE!$B$4,"/",SAISIE!$B$5),CONCATENATE(SAISIE!B38,"/",SAISIE!$B$4,"/",SAISIE!$B$5)))</f>
        <v/>
      </c>
      <c r="C465" s="74" t="str">
        <f>IF(SAISIE!M38="","",SAISIE!$M$8)</f>
        <v/>
      </c>
      <c r="D465" s="74" t="str">
        <f>IF(SAISIE!M38="","",SAISIE!E38)</f>
        <v/>
      </c>
      <c r="E465" s="74" t="str">
        <f>IF(SAISIE!M38="","",SAISIE!F38)</f>
        <v/>
      </c>
      <c r="F465" s="75" t="str">
        <f>IF(SAISIE!$M38="","",IF(SAISIE!$N38="","",SAISIE!$N38))</f>
        <v/>
      </c>
      <c r="G465" s="74" t="str">
        <f>IF(SAISIE!M38="","",SAISIE!M38)</f>
        <v/>
      </c>
      <c r="H465" s="76"/>
      <c r="I465" s="77"/>
      <c r="J465" s="78"/>
    </row>
    <row r="466" spans="1:15" x14ac:dyDescent="0.25">
      <c r="A466" s="63" t="str">
        <f>IF(AND(G466="",H466=""),"SUPPR",SAISIE!$B$3)</f>
        <v>SUPPR</v>
      </c>
      <c r="B466" s="64" t="str">
        <f>IF(SAISIE!B39="","",IF(LEN(SAISIE!B39)=1,CONCATENATE("0",SAISIE!B39,"/",SAISIE!$B$4,"/",SAISIE!$B$5),CONCATENATE(SAISIE!B39,"/",SAISIE!$B$4,"/",SAISIE!$B$5)))</f>
        <v/>
      </c>
      <c r="C466" s="64" t="str">
        <f>IF(SAISIE!B39="","",CONCATENATE($M$2,SAISIE!C39))</f>
        <v/>
      </c>
      <c r="D466" s="64" t="str">
        <f>IF(SAISIE!B39="","",SAISIE!E39)</f>
        <v/>
      </c>
      <c r="E466" s="64" t="str">
        <f>IF(SAISIE!B39="","",SAISIE!F39)</f>
        <v/>
      </c>
      <c r="F466" s="65" t="str">
        <f>IF(A466="SUPPR","",IF(SAISIE!$N39="","",SAISIE!$N39))</f>
        <v/>
      </c>
      <c r="G466" s="64"/>
      <c r="H466" s="64" t="str">
        <f>IF(SAISIE!B39="","",SAISIE!D39)</f>
        <v/>
      </c>
      <c r="I466" s="66"/>
      <c r="J466" s="67" t="str">
        <f>IF(AZ39="","","")</f>
        <v/>
      </c>
      <c r="O466" s="69">
        <f>O450+1</f>
        <v>39</v>
      </c>
    </row>
    <row r="467" spans="1:15" x14ac:dyDescent="0.25">
      <c r="A467" s="63" t="str">
        <f>IF(AND(G467="",H467=""),"SUPPR",SAISIE!$B$3)</f>
        <v>SUPPR</v>
      </c>
      <c r="B467" s="63" t="str">
        <f>IF(SAISIE!P39="","",IF(LEN(SAISIE!B39)=1,CONCATENATE("0",SAISIE!B39,"/",SAISIE!$B$4,"/",SAISIE!$B$5),CONCATENATE(SAISIE!B39,"/",SAISIE!$B$4,"/",SAISIE!$B$5)))</f>
        <v/>
      </c>
      <c r="C467" s="63" t="str">
        <f>IF(SAISIE!P39="","",SAISIE!O39)</f>
        <v/>
      </c>
      <c r="D467" s="63" t="str">
        <f>IF(SAISIE!P39="","",SAISIE!E39)</f>
        <v/>
      </c>
      <c r="E467" s="63" t="str">
        <f>IF(SAISIE!P39="","",SAISIE!F39)</f>
        <v/>
      </c>
      <c r="F467" s="70" t="str">
        <f>IF(SAISIE!$P39="","",IF(SAISIE!$N39="","",SAISIE!$N39))</f>
        <v/>
      </c>
      <c r="G467" s="63" t="str">
        <f>IF(SAISIE!P39="","",SAISIE!P39)</f>
        <v/>
      </c>
      <c r="H467" s="63"/>
      <c r="I467" s="63" t="str">
        <f>IF(SAISIE!$P39="","",SAISIE!$Q39)</f>
        <v/>
      </c>
      <c r="J467" s="71" t="str">
        <f>IF(COUNTBLANK(SAISIE!$J$6:$M$6)=4,"",IF(SAISIE!P39="","",IF(SAISIE!J39&gt;0,SAISIE!$J$6,IF(SAISIE!K39&gt;0,SAISIE!$K$6,IF(SAISIE!L39&gt;0,SAISIE!$L$6,IF(SAISIE!M39&gt;0,SAISIE!$M$6,""))))))</f>
        <v/>
      </c>
      <c r="O467" s="59" t="s">
        <v>50</v>
      </c>
    </row>
    <row r="468" spans="1:15" x14ac:dyDescent="0.25">
      <c r="A468" s="63" t="str">
        <f>IF(AND(G468="",H468=""),"SUPPR",SAISIE!$B$3)</f>
        <v>SUPPR</v>
      </c>
      <c r="B468" s="63" t="str">
        <f>IF(SAISIE!G39="","",IF(LEN(SAISIE!B39)=1,CONCATENATE("0",SAISIE!B39,"/",SAISIE!$B$4,"/",SAISIE!$B$5),CONCATENATE(SAISIE!B39,"/",SAISIE!$B$4,"/",SAISIE!$B$5)))</f>
        <v/>
      </c>
      <c r="C468" s="63" t="str">
        <f>IF(SAISIE!G39="","",SAISIE!$G$8)</f>
        <v/>
      </c>
      <c r="D468" s="63" t="str">
        <f>IF(SAISIE!G39="","",SAISIE!E39)</f>
        <v/>
      </c>
      <c r="E468" s="63" t="str">
        <f>IF(SAISIE!G39="","",SAISIE!F39)</f>
        <v/>
      </c>
      <c r="F468" s="70" t="str">
        <f>IF(SAISIE!$G39="","",IF(SAISIE!$N39="","",SAISIE!$N39))</f>
        <v/>
      </c>
      <c r="G468" s="63" t="str">
        <f>IF(SAISIE!G39="","",SAISIE!G39)</f>
        <v/>
      </c>
      <c r="H468" s="63"/>
      <c r="I468" s="63" t="str">
        <f>IF(SAISIE!$G39="","",SAISIE!$Q39)</f>
        <v/>
      </c>
      <c r="J468" s="71" t="str">
        <f>IF(COUNTBLANK(SAISIE!$J$6:$M$6)=4,"",IF(SAISIE!G39="","",IF(SAISIE!J39&gt;0,SAISIE!$J$6,IF(SAISIE!K39&gt;0,SAISIE!$K$6,IF(SAISIE!L39&gt;0,SAISIE!$L$6,IF(SAISIE!M39&gt;0,SAISIE!$M$6,""))))))</f>
        <v/>
      </c>
      <c r="O468" s="59" t="s">
        <v>51</v>
      </c>
    </row>
    <row r="469" spans="1:15" x14ac:dyDescent="0.25">
      <c r="A469" s="63" t="str">
        <f>IF(AND(G469="",H469=""),"SUPPR",SAISIE!$B$3)</f>
        <v>SUPPR</v>
      </c>
      <c r="B469" s="63" t="str">
        <f>IF(SAISIE!H39="","",IF(LEN(SAISIE!B39)=1,CONCATENATE("0",SAISIE!B39,"/",SAISIE!$B$4,"/",SAISIE!$B$5),CONCATENATE(SAISIE!B39,"/",SAISIE!$B$4,"/",SAISIE!$B$5)))</f>
        <v/>
      </c>
      <c r="C469" s="63" t="str">
        <f>IF(SAISIE!H39="","",SAISIE!$H$8)</f>
        <v/>
      </c>
      <c r="D469" s="63" t="str">
        <f>IF(SAISIE!H39="","",SAISIE!E39)</f>
        <v/>
      </c>
      <c r="E469" s="63" t="str">
        <f>IF(SAISIE!H39="","",SAISIE!F39)</f>
        <v/>
      </c>
      <c r="F469" s="70" t="str">
        <f>IF(SAISIE!$H39="","",IF(SAISIE!$N39="","",SAISIE!$N39))</f>
        <v/>
      </c>
      <c r="G469" s="63" t="str">
        <f>IF(SAISIE!H39="","",SAISIE!H39)</f>
        <v/>
      </c>
      <c r="H469" s="63"/>
      <c r="I469" s="63" t="str">
        <f>IF(SAISIE!$H39="","",SAISIE!$Q39)</f>
        <v/>
      </c>
      <c r="J469" s="71" t="str">
        <f>IF(COUNTBLANK(SAISIE!$J$6:$M$6)=4,"",IF(SAISIE!H39="","",IF(SAISIE!J39&gt;0,SAISIE!$J$6,IF(SAISIE!K39&gt;0,SAISIE!$K$6,IF(SAISIE!L39&gt;0,SAISIE!$L$6,IF(SAISIE!M39&gt;0,SAISIE!$M$6,""))))))</f>
        <v/>
      </c>
      <c r="O469" s="59" t="s">
        <v>52</v>
      </c>
    </row>
    <row r="470" spans="1:15" x14ac:dyDescent="0.25">
      <c r="A470" s="63" t="str">
        <f>IF(AND(G470="",H470=""),"SUPPR",SAISIE!$B$3)</f>
        <v>SUPPR</v>
      </c>
      <c r="B470" s="63" t="str">
        <f>IF(SAISIE!I39="","",IF(LEN(SAISIE!B39)=1,CONCATENATE("0",SAISIE!B39,"/",SAISIE!$B$4,"/",SAISIE!$B$5),CONCATENATE(SAISIE!B39,"/",SAISIE!$B$4,"/",SAISIE!$B$5)))</f>
        <v/>
      </c>
      <c r="C470" s="63" t="str">
        <f>IF(SAISIE!I39="","",SAISIE!$I$8)</f>
        <v/>
      </c>
      <c r="D470" s="63" t="str">
        <f>IF(SAISIE!I39="","",SAISIE!E39)</f>
        <v/>
      </c>
      <c r="E470" s="63" t="str">
        <f>IF(SAISIE!I39="","",SAISIE!F39)</f>
        <v/>
      </c>
      <c r="F470" s="70" t="str">
        <f>IF(SAISIE!$I39="","",IF(SAISIE!$N39="","",SAISIE!$N39))</f>
        <v/>
      </c>
      <c r="G470" s="63" t="str">
        <f>IF(SAISIE!I39="","",SAISIE!I39)</f>
        <v/>
      </c>
      <c r="H470" s="63"/>
      <c r="I470" s="63" t="str">
        <f>IF(SAISIE!$I39="","",SAISIE!$Q39)</f>
        <v/>
      </c>
      <c r="J470" s="71" t="str">
        <f>IF(COUNTBLANK(SAISIE!$J$6:$M$6)=4,"",IF(SAISIE!I39="","",IF(SAISIE!J39&gt;0,SAISIE!$J$6,IF(SAISIE!K39&gt;0,SAISIE!$K$6,IF(SAISIE!L39&gt;0,SAISIE!$L$6,IF(SAISIE!M39&gt;0,SAISIE!$M$6,""))))))</f>
        <v/>
      </c>
      <c r="O470" s="59" t="s">
        <v>53</v>
      </c>
    </row>
    <row r="471" spans="1:15" x14ac:dyDescent="0.25">
      <c r="A471" s="63" t="e">
        <f>IF(AND(G471="",H471=""),"SUPPR",SAISIE!$B$3)</f>
        <v>#REF!</v>
      </c>
      <c r="B471" s="63" t="e">
        <f>IF(SAISIE!#REF!="","",IF(LEN(SAISIE!B39)=1,CONCATENATE("0",SAISIE!B39,"/",SAISIE!$B$4,"/",SAISIE!$B$5),CONCATENATE(SAISIE!B39,"/",SAISIE!$B$4,"/",SAISIE!$B$5)))</f>
        <v>#REF!</v>
      </c>
      <c r="C471" s="63" t="e">
        <f>IF(SAISIE!#REF!="","",SAISIE!#REF!)</f>
        <v>#REF!</v>
      </c>
      <c r="D471" s="63" t="e">
        <f>IF(SAISIE!#REF!="","",SAISIE!E39)</f>
        <v>#REF!</v>
      </c>
      <c r="E471" s="63" t="e">
        <f>IF(SAISIE!#REF!="","",SAISIE!F39)</f>
        <v>#REF!</v>
      </c>
      <c r="F471" s="70" t="e">
        <f>IF(SAISIE!#REF!="","",IF(SAISIE!$N39="","",SAISIE!$N39))</f>
        <v>#REF!</v>
      </c>
      <c r="G471" s="63" t="e">
        <f>IF(SAISIE!#REF!="","",SAISIE!#REF!)</f>
        <v>#REF!</v>
      </c>
      <c r="H471" s="63"/>
      <c r="I471" s="63" t="e">
        <f>IF(SAISIE!#REF!="","",SAISIE!$Q39)</f>
        <v>#REF!</v>
      </c>
      <c r="J471" s="71" t="str">
        <f>IF(COUNTBLANK(SAISIE!$J$6:$M$6)=4,"",IF(SAISIE!#REF!="","",IF(SAISIE!J39&gt;0,SAISIE!$J$6,IF(SAISIE!K39&gt;0,SAISIE!$K$6,IF(SAISIE!L39&gt;0,SAISIE!$L$6,IF(SAISIE!M39&gt;0,SAISIE!$M$6,""))))))</f>
        <v/>
      </c>
      <c r="O471" s="59" t="s">
        <v>54</v>
      </c>
    </row>
    <row r="472" spans="1:15" x14ac:dyDescent="0.25">
      <c r="A472" s="63" t="e">
        <f>IF(AND(G472="",H472=""),"SUPPR",SAISIE!$B$3)</f>
        <v>#REF!</v>
      </c>
      <c r="B472" s="63" t="e">
        <f>IF(SAISIE!#REF!="","",IF(LEN(SAISIE!B39)=1,CONCATENATE("0",SAISIE!B39,"/",SAISIE!$B$4,"/",SAISIE!$B$5),CONCATENATE(SAISIE!B39,"/",SAISIE!$B$4,"/",SAISIE!$B$5)))</f>
        <v>#REF!</v>
      </c>
      <c r="C472" s="63" t="e">
        <f>IF(SAISIE!#REF!="","",SAISIE!#REF!)</f>
        <v>#REF!</v>
      </c>
      <c r="D472" s="63" t="e">
        <f>IF(SAISIE!#REF!="","",SAISIE!E39)</f>
        <v>#REF!</v>
      </c>
      <c r="E472" s="63" t="e">
        <f>IF(SAISIE!#REF!="","",SAISIE!F39)</f>
        <v>#REF!</v>
      </c>
      <c r="F472" s="70" t="e">
        <f>IF(SAISIE!#REF!="","",IF(SAISIE!$N39="","",SAISIE!$N39))</f>
        <v>#REF!</v>
      </c>
      <c r="G472" s="63" t="e">
        <f>IF(SAISIE!#REF!="","",SAISIE!#REF!)</f>
        <v>#REF!</v>
      </c>
      <c r="H472" s="63"/>
      <c r="I472" s="63" t="e">
        <f>IF(SAISIE!#REF!="","",SAISIE!$Q39)</f>
        <v>#REF!</v>
      </c>
      <c r="J472" s="71" t="str">
        <f>IF(COUNTBLANK(SAISIE!$J$6:$M$6)=4,"",IF(SAISIE!#REF!="","",IF(SAISIE!J39&gt;0,SAISIE!$J$6,IF(SAISIE!K39&gt;0,SAISIE!$K$6,IF(SAISIE!L39&gt;0,SAISIE!$L$6,IF(SAISIE!M39&gt;0,SAISIE!$M$6,""))))))</f>
        <v/>
      </c>
      <c r="O472" s="59" t="s">
        <v>55</v>
      </c>
    </row>
    <row r="473" spans="1:15" x14ac:dyDescent="0.25">
      <c r="A473" s="63" t="e">
        <f>IF(AND(G473="",H473=""),"SUPPR",SAISIE!$B$3)</f>
        <v>#REF!</v>
      </c>
      <c r="B473" s="63" t="e">
        <f>IF(SAISIE!#REF!="","",IF(LEN(SAISIE!B39)=1,CONCATENATE("0",SAISIE!B39,"/",SAISIE!$B$4,"/",SAISIE!$B$5),CONCATENATE(SAISIE!B39,"/",SAISIE!$B$4,"/",SAISIE!$B$5)))</f>
        <v>#REF!</v>
      </c>
      <c r="C473" s="63" t="e">
        <f>IF(SAISIE!#REF!="","",SAISIE!#REF!)</f>
        <v>#REF!</v>
      </c>
      <c r="D473" s="63" t="e">
        <f>IF(SAISIE!#REF!="","",SAISIE!E39)</f>
        <v>#REF!</v>
      </c>
      <c r="E473" s="63" t="e">
        <f>IF(SAISIE!#REF!="","",SAISIE!F39)</f>
        <v>#REF!</v>
      </c>
      <c r="F473" s="70" t="e">
        <f>IF(SAISIE!#REF!="","",IF(SAISIE!$N39="","",SAISIE!$N39))</f>
        <v>#REF!</v>
      </c>
      <c r="G473" s="63" t="e">
        <f>IF(SAISIE!#REF!="","",SAISIE!#REF!)</f>
        <v>#REF!</v>
      </c>
      <c r="H473" s="63"/>
      <c r="I473" s="63" t="e">
        <f>IF(SAISIE!#REF!="","",SAISIE!$Q39)</f>
        <v>#REF!</v>
      </c>
      <c r="J473" s="71" t="str">
        <f>IF(COUNTBLANK(SAISIE!$J$6:$M$6)=4,"",IF(SAISIE!#REF!="","",IF(SAISIE!J39&gt;0,SAISIE!$J$6,IF(SAISIE!K39&gt;0,SAISIE!$K$6,IF(SAISIE!L39&gt;0,SAISIE!$L$6,IF(SAISIE!M39&gt;0,SAISIE!$M$6,""))))))</f>
        <v/>
      </c>
      <c r="O473" s="59" t="s">
        <v>56</v>
      </c>
    </row>
    <row r="474" spans="1:15" x14ac:dyDescent="0.25">
      <c r="A474" s="63" t="e">
        <f>IF(AND(G474="",H474=""),"SUPPR",SAISIE!$B$3)</f>
        <v>#REF!</v>
      </c>
      <c r="B474" s="63" t="e">
        <f>IF(SAISIE!#REF!="","",IF(LEN(SAISIE!B39)=1,CONCATENATE("0",SAISIE!B39,"/",SAISIE!$B$4,"/",SAISIE!$B$5),CONCATENATE(SAISIE!B39,"/",SAISIE!$B$4,"/",SAISIE!$B$5)))</f>
        <v>#REF!</v>
      </c>
      <c r="C474" s="63" t="e">
        <f>IF(SAISIE!#REF!="","",SAISIE!#REF!)</f>
        <v>#REF!</v>
      </c>
      <c r="D474" s="63" t="e">
        <f>IF(SAISIE!#REF!="","",SAISIE!E39)</f>
        <v>#REF!</v>
      </c>
      <c r="E474" s="63" t="e">
        <f>IF(SAISIE!#REF!="","",SAISIE!F39)</f>
        <v>#REF!</v>
      </c>
      <c r="F474" s="70" t="e">
        <f>IF(SAISIE!#REF!="","",IF(SAISIE!$N39="","",SAISIE!$N39))</f>
        <v>#REF!</v>
      </c>
      <c r="G474" s="63" t="e">
        <f>IF(SAISIE!#REF!="","",SAISIE!#REF!)</f>
        <v>#REF!</v>
      </c>
      <c r="H474" s="63"/>
      <c r="I474" s="63" t="e">
        <f>IF(SAISIE!#REF!="","",SAISIE!$Q39)</f>
        <v>#REF!</v>
      </c>
      <c r="J474" s="71" t="str">
        <f>IF(COUNTBLANK(SAISIE!$J$6:$M$6)=4,"",IF(SAISIE!#REF!="","",IF(SAISIE!J39&gt;0,SAISIE!$J$6,IF(SAISIE!K39&gt;0,SAISIE!$K$6,IF(SAISIE!L39&gt;0,SAISIE!$L$6,IF(SAISIE!M39&gt;0,SAISIE!$M$6,""))))))</f>
        <v/>
      </c>
      <c r="O474" s="59" t="s">
        <v>57</v>
      </c>
    </row>
    <row r="475" spans="1:15" x14ac:dyDescent="0.25">
      <c r="A475" s="63" t="e">
        <f>IF(AND(G475="",H475=""),"SUPPR",SAISIE!$B$3)</f>
        <v>#REF!</v>
      </c>
      <c r="B475" s="63" t="e">
        <f>IF(SAISIE!#REF!="","",IF(LEN(SAISIE!B39)=1,CONCATENATE("0",SAISIE!B39,"/",SAISIE!$B$4,"/",SAISIE!$B$5),CONCATENATE(SAISIE!B39,"/",SAISIE!$B$4,"/",SAISIE!$B$5)))</f>
        <v>#REF!</v>
      </c>
      <c r="C475" s="63" t="e">
        <f>IF(SAISIE!#REF!="","",SAISIE!#REF!)</f>
        <v>#REF!</v>
      </c>
      <c r="D475" s="63" t="e">
        <f>IF(SAISIE!#REF!="","",SAISIE!E39)</f>
        <v>#REF!</v>
      </c>
      <c r="E475" s="63" t="e">
        <f>IF(SAISIE!#REF!="","",SAISIE!F39)</f>
        <v>#REF!</v>
      </c>
      <c r="F475" s="70" t="e">
        <f>IF(SAISIE!#REF!="","",IF(SAISIE!$N39="","",SAISIE!$N39))</f>
        <v>#REF!</v>
      </c>
      <c r="G475" s="63" t="e">
        <f>IF(SAISIE!#REF!="","",SAISIE!#REF!)</f>
        <v>#REF!</v>
      </c>
      <c r="H475" s="63"/>
      <c r="I475" s="63" t="e">
        <f>IF(SAISIE!#REF!="","",SAISIE!$Q39)</f>
        <v>#REF!</v>
      </c>
      <c r="J475" s="71" t="str">
        <f>IF(COUNTBLANK(SAISIE!$J$6:$M$6)=4,"",IF(SAISIE!#REF!="","",IF(SAISIE!J39&gt;0,SAISIE!$J$6,IF(SAISIE!K39&gt;0,SAISIE!$K$6,IF(SAISIE!L39&gt;0,SAISIE!$L$6,IF(SAISIE!M39&gt;0,SAISIE!$M$6,""))))))</f>
        <v/>
      </c>
      <c r="O475" s="59" t="s">
        <v>58</v>
      </c>
    </row>
    <row r="476" spans="1:15" x14ac:dyDescent="0.25">
      <c r="A476" s="63" t="e">
        <f>IF(AND(G476="",H476=""),"SUPPR",SAISIE!$B$3)</f>
        <v>#REF!</v>
      </c>
      <c r="B476" s="63" t="e">
        <f>IF(SAISIE!#REF!="","",IF(LEN(SAISIE!B39)=1,CONCATENATE("0",SAISIE!B39,"/",SAISIE!$B$4,"/",SAISIE!$B$5),CONCATENATE(SAISIE!B39,"/",SAISIE!$B$4,"/",SAISIE!$B$5)))</f>
        <v>#REF!</v>
      </c>
      <c r="C476" s="63" t="e">
        <f>IF(SAISIE!#REF!="","",SAISIE!#REF!)</f>
        <v>#REF!</v>
      </c>
      <c r="D476" s="63" t="e">
        <f>IF(SAISIE!#REF!="","",SAISIE!E39)</f>
        <v>#REF!</v>
      </c>
      <c r="E476" s="63" t="e">
        <f>IF(SAISIE!#REF!="","",SAISIE!F39)</f>
        <v>#REF!</v>
      </c>
      <c r="F476" s="70" t="e">
        <f>IF(SAISIE!#REF!="","",IF(SAISIE!$N39="","",SAISIE!$N39))</f>
        <v>#REF!</v>
      </c>
      <c r="G476" s="63" t="e">
        <f>IF(SAISIE!#REF!="","",SAISIE!#REF!)</f>
        <v>#REF!</v>
      </c>
      <c r="H476" s="63"/>
      <c r="I476" s="63" t="e">
        <f>IF(SAISIE!#REF!="","",SAISIE!$Q39)</f>
        <v>#REF!</v>
      </c>
      <c r="J476" s="71" t="str">
        <f>IF(COUNTBLANK(SAISIE!$J$6:$M$6)=4,"",IF(SAISIE!#REF!="","",IF(SAISIE!J39&gt;0,SAISIE!$J$6,IF(SAISIE!K39&gt;0,SAISIE!$K$6,IF(SAISIE!L39&gt;0,SAISIE!$L$6,IF(SAISIE!M39&gt;0,SAISIE!$M$6,""))))))</f>
        <v/>
      </c>
      <c r="O476" s="59" t="s">
        <v>59</v>
      </c>
    </row>
    <row r="477" spans="1:15" x14ac:dyDescent="0.25">
      <c r="A477" s="63" t="e">
        <f>IF(AND(G477="",H477=""),"SUPPR",SAISIE!$B$3)</f>
        <v>#REF!</v>
      </c>
      <c r="B477" s="63" t="e">
        <f>IF(SAISIE!#REF!="","",IF(LEN(SAISIE!B39)=1,CONCATENATE("0",SAISIE!B39,"/",SAISIE!$B$4,"/",SAISIE!$B$5),CONCATENATE(SAISIE!B39,"/",SAISIE!$B$4,"/",SAISIE!$B$5)))</f>
        <v>#REF!</v>
      </c>
      <c r="C477" s="63" t="e">
        <f>IF(SAISIE!#REF!="","",SAISIE!#REF!)</f>
        <v>#REF!</v>
      </c>
      <c r="D477" s="63" t="e">
        <f>IF(SAISIE!#REF!="","",SAISIE!E39)</f>
        <v>#REF!</v>
      </c>
      <c r="E477" s="63" t="e">
        <f>IF(SAISIE!#REF!="","",SAISIE!F39)</f>
        <v>#REF!</v>
      </c>
      <c r="F477" s="70" t="e">
        <f>IF(SAISIE!#REF!="","",IF(SAISIE!$N39="","",SAISIE!$N39))</f>
        <v>#REF!</v>
      </c>
      <c r="G477" s="63" t="e">
        <f>IF(SAISIE!#REF!="","",SAISIE!#REF!)</f>
        <v>#REF!</v>
      </c>
      <c r="H477" s="63"/>
      <c r="I477" s="63" t="e">
        <f>IF(SAISIE!#REF!="","",SAISIE!$Q39)</f>
        <v>#REF!</v>
      </c>
      <c r="J477" s="71" t="str">
        <f>IF(COUNTBLANK(SAISIE!$J$6:$M$6)=4,"",IF(SAISIE!#REF!="","",IF(SAISIE!J39&gt;0,SAISIE!$J$6,IF(SAISIE!K39&gt;0,SAISIE!$K$6,IF(SAISIE!L39&gt;0,SAISIE!$L$6,IF(SAISIE!M39&gt;0,SAISIE!$M$6,""))))))</f>
        <v/>
      </c>
      <c r="O477" s="59" t="s">
        <v>60</v>
      </c>
    </row>
    <row r="478" spans="1:15" x14ac:dyDescent="0.25">
      <c r="A478" s="63" t="str">
        <f>IF(AND(G478="",H478=""),"SUPPR",SAISIE!$B$3)</f>
        <v>SUPPR</v>
      </c>
      <c r="B478" s="63" t="str">
        <f>IF(SAISIE!J39="","",IF(LEN(SAISIE!B39)=1,CONCATENATE("0",SAISIE!B39,"/",SAISIE!$B$4,"/",SAISIE!$B$5),CONCATENATE(SAISIE!B39,"/",SAISIE!$B$4,"/",SAISIE!$B$5)))</f>
        <v/>
      </c>
      <c r="C478" s="63" t="str">
        <f>IF(SAISIE!J39="","",SAISIE!$J$8)</f>
        <v/>
      </c>
      <c r="D478" s="63" t="str">
        <f>IF(SAISIE!J39="","",SAISIE!E39)</f>
        <v/>
      </c>
      <c r="E478" s="63" t="str">
        <f>IF(SAISIE!J39="","",SAISIE!F39)</f>
        <v/>
      </c>
      <c r="F478" s="70" t="str">
        <f>IF(SAISIE!$J39="","",IF(SAISIE!$N39="","",SAISIE!$N39))</f>
        <v/>
      </c>
      <c r="G478" s="63" t="str">
        <f>IF(SAISIE!J39="","",SAISIE!J39)</f>
        <v/>
      </c>
      <c r="H478" s="63"/>
      <c r="I478" s="72"/>
      <c r="J478" s="71"/>
      <c r="O478" s="73"/>
    </row>
    <row r="479" spans="1:15" x14ac:dyDescent="0.25">
      <c r="A479" s="63" t="str">
        <f>IF(AND(G479="",H479=""),"SUPPR",SAISIE!$B$3)</f>
        <v>SUPPR</v>
      </c>
      <c r="B479" s="63" t="str">
        <f>IF(SAISIE!K39="","",IF(LEN(SAISIE!B39)=1,CONCATENATE("0",SAISIE!B39,"/",SAISIE!$B$4,"/",SAISIE!$B$5),CONCATENATE(SAISIE!B39,"/",SAISIE!$B$4,"/",SAISIE!$B$5)))</f>
        <v/>
      </c>
      <c r="C479" s="63" t="str">
        <f>IF(SAISIE!K39="","",SAISIE!$K$8)</f>
        <v/>
      </c>
      <c r="D479" s="63" t="str">
        <f>IF(SAISIE!K39="","",SAISIE!E39)</f>
        <v/>
      </c>
      <c r="E479" s="63" t="str">
        <f>IF(SAISIE!K39="","",SAISIE!F39)</f>
        <v/>
      </c>
      <c r="F479" s="70" t="str">
        <f>IF(SAISIE!$K39="","",IF(SAISIE!$N39="","",SAISIE!$N39))</f>
        <v/>
      </c>
      <c r="G479" s="63" t="str">
        <f>IF(SAISIE!K39="","",SAISIE!K39)</f>
        <v/>
      </c>
      <c r="H479" s="63"/>
      <c r="I479" s="72"/>
      <c r="J479" s="71"/>
    </row>
    <row r="480" spans="1:15" x14ac:dyDescent="0.25">
      <c r="A480" s="63" t="str">
        <f>IF(AND(G480="",H480=""),"SUPPR",SAISIE!$B$3)</f>
        <v>SUPPR</v>
      </c>
      <c r="B480" s="63" t="str">
        <f>IF(SAISIE!L39="","",IF(LEN(SAISIE!B39)=1,CONCATENATE("0",SAISIE!B39,"/",SAISIE!$B$4,"/",SAISIE!$B$5),CONCATENATE(SAISIE!B39,"/",SAISIE!$B$4,"/",SAISIE!$B$5)))</f>
        <v/>
      </c>
      <c r="C480" s="63" t="str">
        <f>IF(SAISIE!L39="","",SAISIE!$L$8)</f>
        <v/>
      </c>
      <c r="D480" s="63" t="str">
        <f>IF(SAISIE!L39="","",SAISIE!E39)</f>
        <v/>
      </c>
      <c r="E480" s="63" t="str">
        <f>IF(SAISIE!L39="","",SAISIE!F39)</f>
        <v/>
      </c>
      <c r="F480" s="70" t="str">
        <f>IF(SAISIE!$L39="","",IF(SAISIE!$N39="","",SAISIE!$N39))</f>
        <v/>
      </c>
      <c r="G480" s="63" t="str">
        <f>IF(SAISIE!L39="","",SAISIE!L39)</f>
        <v/>
      </c>
      <c r="H480" s="63"/>
      <c r="I480" s="72"/>
      <c r="J480" s="71"/>
    </row>
    <row r="481" spans="1:15" x14ac:dyDescent="0.25">
      <c r="A481" s="63" t="str">
        <f>IF(AND(G481="",H481=""),"SUPPR",SAISIE!$B$3)</f>
        <v>SUPPR</v>
      </c>
      <c r="B481" s="63" t="str">
        <f>IF(SAISIE!M39="","",IF(LEN(SAISIE!B39)=1,CONCATENATE("0",SAISIE!B39,"/",SAISIE!$B$4,"/",SAISIE!$B$5),CONCATENATE(SAISIE!B39,"/",SAISIE!$B$4,"/",SAISIE!$B$5)))</f>
        <v/>
      </c>
      <c r="C481" s="74" t="str">
        <f>IF(SAISIE!M39="","",SAISIE!$M$8)</f>
        <v/>
      </c>
      <c r="D481" s="74" t="str">
        <f>IF(SAISIE!M39="","",SAISIE!E39)</f>
        <v/>
      </c>
      <c r="E481" s="74" t="str">
        <f>IF(SAISIE!M39="","",SAISIE!F39)</f>
        <v/>
      </c>
      <c r="F481" s="75" t="str">
        <f>IF(SAISIE!$M39="","",IF(SAISIE!$N39="","",SAISIE!$N39))</f>
        <v/>
      </c>
      <c r="G481" s="74" t="str">
        <f>IF(SAISIE!M39="","",SAISIE!M39)</f>
        <v/>
      </c>
      <c r="H481" s="76"/>
      <c r="I481" s="77"/>
      <c r="J481" s="78"/>
    </row>
    <row r="482" spans="1:15" x14ac:dyDescent="0.25">
      <c r="A482" s="63" t="str">
        <f>IF(AND(G482="",H482=""),"SUPPR",SAISIE!$B$3)</f>
        <v>SUPPR</v>
      </c>
      <c r="B482" s="64" t="str">
        <f>IF(SAISIE!B40="","",IF(LEN(SAISIE!B40)=1,CONCATENATE("0",SAISIE!B40,"/",SAISIE!$B$4,"/",SAISIE!$B$5),CONCATENATE(SAISIE!B40,"/",SAISIE!$B$4,"/",SAISIE!$B$5)))</f>
        <v/>
      </c>
      <c r="C482" s="64" t="str">
        <f>IF(SAISIE!B40="","",CONCATENATE($M$2,SAISIE!C40))</f>
        <v/>
      </c>
      <c r="D482" s="64" t="str">
        <f>IF(SAISIE!B40="","",SAISIE!E40)</f>
        <v/>
      </c>
      <c r="E482" s="64" t="str">
        <f>IF(SAISIE!B40="","",SAISIE!F40)</f>
        <v/>
      </c>
      <c r="F482" s="65" t="str">
        <f>IF(A482="SUPPR","",IF(SAISIE!$N40="","",SAISIE!$N40))</f>
        <v/>
      </c>
      <c r="G482" s="64"/>
      <c r="H482" s="64" t="str">
        <f>IF(SAISIE!B40="","",SAISIE!D40)</f>
        <v/>
      </c>
      <c r="I482" s="66"/>
      <c r="J482" s="67" t="str">
        <f>IF(AZ40="","","")</f>
        <v/>
      </c>
      <c r="O482" s="69">
        <f>O466+1</f>
        <v>40</v>
      </c>
    </row>
    <row r="483" spans="1:15" x14ac:dyDescent="0.25">
      <c r="A483" s="63" t="str">
        <f>IF(AND(G483="",H483=""),"SUPPR",SAISIE!$B$3)</f>
        <v>SUPPR</v>
      </c>
      <c r="B483" s="63" t="str">
        <f>IF(SAISIE!P40="","",IF(LEN(SAISIE!B40)=1,CONCATENATE("0",SAISIE!B40,"/",SAISIE!$B$4,"/",SAISIE!$B$5),CONCATENATE(SAISIE!B40,"/",SAISIE!$B$4,"/",SAISIE!$B$5)))</f>
        <v/>
      </c>
      <c r="C483" s="63" t="str">
        <f>IF(SAISIE!P40="","",SAISIE!O40)</f>
        <v/>
      </c>
      <c r="D483" s="63" t="str">
        <f>IF(SAISIE!P40="","",SAISIE!E40)</f>
        <v/>
      </c>
      <c r="E483" s="63" t="str">
        <f>IF(SAISIE!P40="","",SAISIE!F40)</f>
        <v/>
      </c>
      <c r="F483" s="70" t="str">
        <f>IF(SAISIE!$P40="","",IF(SAISIE!$N40="","",SAISIE!$N40))</f>
        <v/>
      </c>
      <c r="G483" s="63" t="str">
        <f>IF(SAISIE!P40="","",SAISIE!P40)</f>
        <v/>
      </c>
      <c r="H483" s="63"/>
      <c r="I483" s="63" t="str">
        <f>IF(SAISIE!$P40="","",SAISIE!$Q40)</f>
        <v/>
      </c>
      <c r="J483" s="71" t="str">
        <f>IF(COUNTBLANK(SAISIE!$J$6:$M$6)=4,"",IF(SAISIE!P40="","",IF(SAISIE!J40&gt;0,SAISIE!$J$6,IF(SAISIE!K40&gt;0,SAISIE!$K$6,IF(SAISIE!L40&gt;0,SAISIE!$L$6,IF(SAISIE!M40&gt;0,SAISIE!$M$6,""))))))</f>
        <v/>
      </c>
      <c r="O483" s="59" t="s">
        <v>50</v>
      </c>
    </row>
    <row r="484" spans="1:15" x14ac:dyDescent="0.25">
      <c r="A484" s="63" t="str">
        <f>IF(AND(G484="",H484=""),"SUPPR",SAISIE!$B$3)</f>
        <v>SUPPR</v>
      </c>
      <c r="B484" s="63" t="str">
        <f>IF(SAISIE!G40="","",IF(LEN(SAISIE!B40)=1,CONCATENATE("0",SAISIE!B40,"/",SAISIE!$B$4,"/",SAISIE!$B$5),CONCATENATE(SAISIE!B40,"/",SAISIE!$B$4,"/",SAISIE!$B$5)))</f>
        <v/>
      </c>
      <c r="C484" s="63" t="str">
        <f>IF(SAISIE!G40="","",SAISIE!$G$8)</f>
        <v/>
      </c>
      <c r="D484" s="63" t="str">
        <f>IF(SAISIE!G40="","",SAISIE!E40)</f>
        <v/>
      </c>
      <c r="E484" s="63" t="str">
        <f>IF(SAISIE!G40="","",SAISIE!F40)</f>
        <v/>
      </c>
      <c r="F484" s="70" t="str">
        <f>IF(SAISIE!$G40="","",IF(SAISIE!$N40="","",SAISIE!$N40))</f>
        <v/>
      </c>
      <c r="G484" s="63" t="str">
        <f>IF(SAISIE!G40="","",SAISIE!G40)</f>
        <v/>
      </c>
      <c r="H484" s="63"/>
      <c r="I484" s="63" t="str">
        <f>IF(SAISIE!$G40="","",SAISIE!$Q40)</f>
        <v/>
      </c>
      <c r="J484" s="71" t="str">
        <f>IF(COUNTBLANK(SAISIE!$J$6:$M$6)=4,"",IF(SAISIE!G40="","",IF(SAISIE!J40&gt;0,SAISIE!$J$6,IF(SAISIE!K40&gt;0,SAISIE!$K$6,IF(SAISIE!L40&gt;0,SAISIE!$L$6,IF(SAISIE!M40&gt;0,SAISIE!$M$6,""))))))</f>
        <v/>
      </c>
      <c r="O484" s="59" t="s">
        <v>51</v>
      </c>
    </row>
    <row r="485" spans="1:15" x14ac:dyDescent="0.25">
      <c r="A485" s="63" t="str">
        <f>IF(AND(G485="",H485=""),"SUPPR",SAISIE!$B$3)</f>
        <v>SUPPR</v>
      </c>
      <c r="B485" s="63" t="str">
        <f>IF(SAISIE!H40="","",IF(LEN(SAISIE!B40)=1,CONCATENATE("0",SAISIE!B40,"/",SAISIE!$B$4,"/",SAISIE!$B$5),CONCATENATE(SAISIE!B40,"/",SAISIE!$B$4,"/",SAISIE!$B$5)))</f>
        <v/>
      </c>
      <c r="C485" s="63" t="str">
        <f>IF(SAISIE!H40="","",SAISIE!$H$8)</f>
        <v/>
      </c>
      <c r="D485" s="63" t="str">
        <f>IF(SAISIE!H40="","",SAISIE!E40)</f>
        <v/>
      </c>
      <c r="E485" s="63" t="str">
        <f>IF(SAISIE!H40="","",SAISIE!F40)</f>
        <v/>
      </c>
      <c r="F485" s="70" t="str">
        <f>IF(SAISIE!$H40="","",IF(SAISIE!$N40="","",SAISIE!$N40))</f>
        <v/>
      </c>
      <c r="G485" s="63" t="str">
        <f>IF(SAISIE!H40="","",SAISIE!H40)</f>
        <v/>
      </c>
      <c r="H485" s="63"/>
      <c r="I485" s="63" t="str">
        <f>IF(SAISIE!$H40="","",SAISIE!$Q40)</f>
        <v/>
      </c>
      <c r="J485" s="71" t="str">
        <f>IF(COUNTBLANK(SAISIE!$J$6:$M$6)=4,"",IF(SAISIE!H40="","",IF(SAISIE!J40&gt;0,SAISIE!$J$6,IF(SAISIE!K40&gt;0,SAISIE!$K$6,IF(SAISIE!L40&gt;0,SAISIE!$L$6,IF(SAISIE!M40&gt;0,SAISIE!$M$6,""))))))</f>
        <v/>
      </c>
      <c r="O485" s="59" t="s">
        <v>52</v>
      </c>
    </row>
    <row r="486" spans="1:15" x14ac:dyDescent="0.25">
      <c r="A486" s="63" t="str">
        <f>IF(AND(G486="",H486=""),"SUPPR",SAISIE!$B$3)</f>
        <v>SUPPR</v>
      </c>
      <c r="B486" s="63" t="str">
        <f>IF(SAISIE!I40="","",IF(LEN(SAISIE!B40)=1,CONCATENATE("0",SAISIE!B40,"/",SAISIE!$B$4,"/",SAISIE!$B$5),CONCATENATE(SAISIE!B40,"/",SAISIE!$B$4,"/",SAISIE!$B$5)))</f>
        <v/>
      </c>
      <c r="C486" s="63" t="str">
        <f>IF(SAISIE!I40="","",SAISIE!$I$8)</f>
        <v/>
      </c>
      <c r="D486" s="63" t="str">
        <f>IF(SAISIE!I40="","",SAISIE!E40)</f>
        <v/>
      </c>
      <c r="E486" s="63" t="str">
        <f>IF(SAISIE!I40="","",SAISIE!F40)</f>
        <v/>
      </c>
      <c r="F486" s="70" t="str">
        <f>IF(SAISIE!$I40="","",IF(SAISIE!$N40="","",SAISIE!$N40))</f>
        <v/>
      </c>
      <c r="G486" s="63" t="str">
        <f>IF(SAISIE!I40="","",SAISIE!I40)</f>
        <v/>
      </c>
      <c r="H486" s="63"/>
      <c r="I486" s="63" t="str">
        <f>IF(SAISIE!$I40="","",SAISIE!$Q40)</f>
        <v/>
      </c>
      <c r="J486" s="71" t="str">
        <f>IF(COUNTBLANK(SAISIE!$J$6:$M$6)=4,"",IF(SAISIE!I40="","",IF(SAISIE!J40&gt;0,SAISIE!$J$6,IF(SAISIE!K40&gt;0,SAISIE!$K$6,IF(SAISIE!L40&gt;0,SAISIE!$L$6,IF(SAISIE!M40&gt;0,SAISIE!$M$6,""))))))</f>
        <v/>
      </c>
      <c r="O486" s="59" t="s">
        <v>53</v>
      </c>
    </row>
    <row r="487" spans="1:15" x14ac:dyDescent="0.25">
      <c r="A487" s="63" t="e">
        <f>IF(AND(G487="",H487=""),"SUPPR",SAISIE!$B$3)</f>
        <v>#REF!</v>
      </c>
      <c r="B487" s="63" t="e">
        <f>IF(SAISIE!#REF!="","",IF(LEN(SAISIE!B40)=1,CONCATENATE("0",SAISIE!B40,"/",SAISIE!$B$4,"/",SAISIE!$B$5),CONCATENATE(SAISIE!B40,"/",SAISIE!$B$4,"/",SAISIE!$B$5)))</f>
        <v>#REF!</v>
      </c>
      <c r="C487" s="63" t="e">
        <f>IF(SAISIE!#REF!="","",SAISIE!#REF!)</f>
        <v>#REF!</v>
      </c>
      <c r="D487" s="63" t="e">
        <f>IF(SAISIE!#REF!="","",SAISIE!E40)</f>
        <v>#REF!</v>
      </c>
      <c r="E487" s="63" t="e">
        <f>IF(SAISIE!#REF!="","",SAISIE!F40)</f>
        <v>#REF!</v>
      </c>
      <c r="F487" s="70" t="e">
        <f>IF(SAISIE!#REF!="","",IF(SAISIE!$N40="","",SAISIE!$N40))</f>
        <v>#REF!</v>
      </c>
      <c r="G487" s="63" t="e">
        <f>IF(SAISIE!#REF!="","",SAISIE!#REF!)</f>
        <v>#REF!</v>
      </c>
      <c r="H487" s="63"/>
      <c r="I487" s="63" t="e">
        <f>IF(SAISIE!#REF!="","",SAISIE!$Q40)</f>
        <v>#REF!</v>
      </c>
      <c r="J487" s="71" t="str">
        <f>IF(COUNTBLANK(SAISIE!$J$6:$M$6)=4,"",IF(SAISIE!#REF!="","",IF(SAISIE!J40&gt;0,SAISIE!$J$6,IF(SAISIE!K40&gt;0,SAISIE!$K$6,IF(SAISIE!L40&gt;0,SAISIE!$L$6,IF(SAISIE!M40&gt;0,SAISIE!$M$6,""))))))</f>
        <v/>
      </c>
      <c r="O487" s="59" t="s">
        <v>54</v>
      </c>
    </row>
    <row r="488" spans="1:15" x14ac:dyDescent="0.25">
      <c r="A488" s="63" t="e">
        <f>IF(AND(G488="",H488=""),"SUPPR",SAISIE!$B$3)</f>
        <v>#REF!</v>
      </c>
      <c r="B488" s="63" t="e">
        <f>IF(SAISIE!#REF!="","",IF(LEN(SAISIE!B40)=1,CONCATENATE("0",SAISIE!B40,"/",SAISIE!$B$4,"/",SAISIE!$B$5),CONCATENATE(SAISIE!B40,"/",SAISIE!$B$4,"/",SAISIE!$B$5)))</f>
        <v>#REF!</v>
      </c>
      <c r="C488" s="63" t="e">
        <f>IF(SAISIE!#REF!="","",SAISIE!#REF!)</f>
        <v>#REF!</v>
      </c>
      <c r="D488" s="63" t="e">
        <f>IF(SAISIE!#REF!="","",SAISIE!E40)</f>
        <v>#REF!</v>
      </c>
      <c r="E488" s="63" t="e">
        <f>IF(SAISIE!#REF!="","",SAISIE!F40)</f>
        <v>#REF!</v>
      </c>
      <c r="F488" s="70" t="e">
        <f>IF(SAISIE!#REF!="","",IF(SAISIE!$N40="","",SAISIE!$N40))</f>
        <v>#REF!</v>
      </c>
      <c r="G488" s="63" t="e">
        <f>IF(SAISIE!#REF!="","",SAISIE!#REF!)</f>
        <v>#REF!</v>
      </c>
      <c r="H488" s="63"/>
      <c r="I488" s="63" t="e">
        <f>IF(SAISIE!#REF!="","",SAISIE!$Q40)</f>
        <v>#REF!</v>
      </c>
      <c r="J488" s="71" t="str">
        <f>IF(COUNTBLANK(SAISIE!$J$6:$M$6)=4,"",IF(SAISIE!#REF!="","",IF(SAISIE!J40&gt;0,SAISIE!$J$6,IF(SAISIE!K40&gt;0,SAISIE!$K$6,IF(SAISIE!L40&gt;0,SAISIE!$L$6,IF(SAISIE!M40&gt;0,SAISIE!$M$6,""))))))</f>
        <v/>
      </c>
      <c r="O488" s="59" t="s">
        <v>55</v>
      </c>
    </row>
    <row r="489" spans="1:15" x14ac:dyDescent="0.25">
      <c r="A489" s="63" t="e">
        <f>IF(AND(G489="",H489=""),"SUPPR",SAISIE!$B$3)</f>
        <v>#REF!</v>
      </c>
      <c r="B489" s="63" t="e">
        <f>IF(SAISIE!#REF!="","",IF(LEN(SAISIE!B40)=1,CONCATENATE("0",SAISIE!B40,"/",SAISIE!$B$4,"/",SAISIE!$B$5),CONCATENATE(SAISIE!B40,"/",SAISIE!$B$4,"/",SAISIE!$B$5)))</f>
        <v>#REF!</v>
      </c>
      <c r="C489" s="63" t="e">
        <f>IF(SAISIE!#REF!="","",SAISIE!#REF!)</f>
        <v>#REF!</v>
      </c>
      <c r="D489" s="63" t="e">
        <f>IF(SAISIE!#REF!="","",SAISIE!E40)</f>
        <v>#REF!</v>
      </c>
      <c r="E489" s="63" t="e">
        <f>IF(SAISIE!#REF!="","",SAISIE!F40)</f>
        <v>#REF!</v>
      </c>
      <c r="F489" s="70" t="e">
        <f>IF(SAISIE!#REF!="","",IF(SAISIE!$N40="","",SAISIE!$N40))</f>
        <v>#REF!</v>
      </c>
      <c r="G489" s="63" t="e">
        <f>IF(SAISIE!#REF!="","",SAISIE!#REF!)</f>
        <v>#REF!</v>
      </c>
      <c r="H489" s="63"/>
      <c r="I489" s="63" t="e">
        <f>IF(SAISIE!#REF!="","",SAISIE!$Q40)</f>
        <v>#REF!</v>
      </c>
      <c r="J489" s="71" t="str">
        <f>IF(COUNTBLANK(SAISIE!$J$6:$M$6)=4,"",IF(SAISIE!#REF!="","",IF(SAISIE!J40&gt;0,SAISIE!$J$6,IF(SAISIE!K40&gt;0,SAISIE!$K$6,IF(SAISIE!L40&gt;0,SAISIE!$L$6,IF(SAISIE!M40&gt;0,SAISIE!$M$6,""))))))</f>
        <v/>
      </c>
      <c r="O489" s="59" t="s">
        <v>56</v>
      </c>
    </row>
    <row r="490" spans="1:15" x14ac:dyDescent="0.25">
      <c r="A490" s="63" t="e">
        <f>IF(AND(G490="",H490=""),"SUPPR",SAISIE!$B$3)</f>
        <v>#REF!</v>
      </c>
      <c r="B490" s="63" t="e">
        <f>IF(SAISIE!#REF!="","",IF(LEN(SAISIE!B40)=1,CONCATENATE("0",SAISIE!B40,"/",SAISIE!$B$4,"/",SAISIE!$B$5),CONCATENATE(SAISIE!B40,"/",SAISIE!$B$4,"/",SAISIE!$B$5)))</f>
        <v>#REF!</v>
      </c>
      <c r="C490" s="63" t="e">
        <f>IF(SAISIE!#REF!="","",SAISIE!#REF!)</f>
        <v>#REF!</v>
      </c>
      <c r="D490" s="63" t="e">
        <f>IF(SAISIE!#REF!="","",SAISIE!E40)</f>
        <v>#REF!</v>
      </c>
      <c r="E490" s="63" t="e">
        <f>IF(SAISIE!#REF!="","",SAISIE!F40)</f>
        <v>#REF!</v>
      </c>
      <c r="F490" s="70" t="e">
        <f>IF(SAISIE!#REF!="","",IF(SAISIE!$N40="","",SAISIE!$N40))</f>
        <v>#REF!</v>
      </c>
      <c r="G490" s="63" t="e">
        <f>IF(SAISIE!#REF!="","",SAISIE!#REF!)</f>
        <v>#REF!</v>
      </c>
      <c r="H490" s="63"/>
      <c r="I490" s="63" t="e">
        <f>IF(SAISIE!#REF!="","",SAISIE!$Q40)</f>
        <v>#REF!</v>
      </c>
      <c r="J490" s="71" t="str">
        <f>IF(COUNTBLANK(SAISIE!$J$6:$M$6)=4,"",IF(SAISIE!#REF!="","",IF(SAISIE!J40&gt;0,SAISIE!$J$6,IF(SAISIE!K40&gt;0,SAISIE!$K$6,IF(SAISIE!L40&gt;0,SAISIE!$L$6,IF(SAISIE!M40&gt;0,SAISIE!$M$6,""))))))</f>
        <v/>
      </c>
      <c r="O490" s="59" t="s">
        <v>57</v>
      </c>
    </row>
    <row r="491" spans="1:15" x14ac:dyDescent="0.25">
      <c r="A491" s="63" t="e">
        <f>IF(AND(G491="",H491=""),"SUPPR",SAISIE!$B$3)</f>
        <v>#REF!</v>
      </c>
      <c r="B491" s="63" t="e">
        <f>IF(SAISIE!#REF!="","",IF(LEN(SAISIE!B40)=1,CONCATENATE("0",SAISIE!B40,"/",SAISIE!$B$4,"/",SAISIE!$B$5),CONCATENATE(SAISIE!B40,"/",SAISIE!$B$4,"/",SAISIE!$B$5)))</f>
        <v>#REF!</v>
      </c>
      <c r="C491" s="63" t="e">
        <f>IF(SAISIE!#REF!="","",SAISIE!#REF!)</f>
        <v>#REF!</v>
      </c>
      <c r="D491" s="63" t="e">
        <f>IF(SAISIE!#REF!="","",SAISIE!E40)</f>
        <v>#REF!</v>
      </c>
      <c r="E491" s="63" t="e">
        <f>IF(SAISIE!#REF!="","",SAISIE!F40)</f>
        <v>#REF!</v>
      </c>
      <c r="F491" s="70" t="e">
        <f>IF(SAISIE!#REF!="","",IF(SAISIE!$N40="","",SAISIE!$N40))</f>
        <v>#REF!</v>
      </c>
      <c r="G491" s="63" t="e">
        <f>IF(SAISIE!#REF!="","",SAISIE!#REF!)</f>
        <v>#REF!</v>
      </c>
      <c r="H491" s="63"/>
      <c r="I491" s="63" t="e">
        <f>IF(SAISIE!#REF!="","",SAISIE!$Q40)</f>
        <v>#REF!</v>
      </c>
      <c r="J491" s="71" t="str">
        <f>IF(COUNTBLANK(SAISIE!$J$6:$M$6)=4,"",IF(SAISIE!#REF!="","",IF(SAISIE!J40&gt;0,SAISIE!$J$6,IF(SAISIE!K40&gt;0,SAISIE!$K$6,IF(SAISIE!L40&gt;0,SAISIE!$L$6,IF(SAISIE!M40&gt;0,SAISIE!$M$6,""))))))</f>
        <v/>
      </c>
      <c r="O491" s="59" t="s">
        <v>58</v>
      </c>
    </row>
    <row r="492" spans="1:15" x14ac:dyDescent="0.25">
      <c r="A492" s="63" t="e">
        <f>IF(AND(G492="",H492=""),"SUPPR",SAISIE!$B$3)</f>
        <v>#REF!</v>
      </c>
      <c r="B492" s="63" t="e">
        <f>IF(SAISIE!#REF!="","",IF(LEN(SAISIE!B40)=1,CONCATENATE("0",SAISIE!B40,"/",SAISIE!$B$4,"/",SAISIE!$B$5),CONCATENATE(SAISIE!B40,"/",SAISIE!$B$4,"/",SAISIE!$B$5)))</f>
        <v>#REF!</v>
      </c>
      <c r="C492" s="63" t="e">
        <f>IF(SAISIE!#REF!="","",SAISIE!#REF!)</f>
        <v>#REF!</v>
      </c>
      <c r="D492" s="63" t="e">
        <f>IF(SAISIE!#REF!="","",SAISIE!E40)</f>
        <v>#REF!</v>
      </c>
      <c r="E492" s="63" t="e">
        <f>IF(SAISIE!#REF!="","",SAISIE!F40)</f>
        <v>#REF!</v>
      </c>
      <c r="F492" s="70" t="e">
        <f>IF(SAISIE!#REF!="","",IF(SAISIE!$N40="","",SAISIE!$N40))</f>
        <v>#REF!</v>
      </c>
      <c r="G492" s="63" t="e">
        <f>IF(SAISIE!#REF!="","",SAISIE!#REF!)</f>
        <v>#REF!</v>
      </c>
      <c r="H492" s="63"/>
      <c r="I492" s="63" t="e">
        <f>IF(SAISIE!#REF!="","",SAISIE!$Q40)</f>
        <v>#REF!</v>
      </c>
      <c r="J492" s="71" t="str">
        <f>IF(COUNTBLANK(SAISIE!$J$6:$M$6)=4,"",IF(SAISIE!#REF!="","",IF(SAISIE!J40&gt;0,SAISIE!$J$6,IF(SAISIE!K40&gt;0,SAISIE!$K$6,IF(SAISIE!L40&gt;0,SAISIE!$L$6,IF(SAISIE!M40&gt;0,SAISIE!$M$6,""))))))</f>
        <v/>
      </c>
      <c r="O492" s="59" t="s">
        <v>59</v>
      </c>
    </row>
    <row r="493" spans="1:15" x14ac:dyDescent="0.25">
      <c r="A493" s="63" t="e">
        <f>IF(AND(G493="",H493=""),"SUPPR",SAISIE!$B$3)</f>
        <v>#REF!</v>
      </c>
      <c r="B493" s="63" t="e">
        <f>IF(SAISIE!#REF!="","",IF(LEN(SAISIE!B40)=1,CONCATENATE("0",SAISIE!B40,"/",SAISIE!$B$4,"/",SAISIE!$B$5),CONCATENATE(SAISIE!B40,"/",SAISIE!$B$4,"/",SAISIE!$B$5)))</f>
        <v>#REF!</v>
      </c>
      <c r="C493" s="63" t="e">
        <f>IF(SAISIE!#REF!="","",SAISIE!#REF!)</f>
        <v>#REF!</v>
      </c>
      <c r="D493" s="63" t="e">
        <f>IF(SAISIE!#REF!="","",SAISIE!E40)</f>
        <v>#REF!</v>
      </c>
      <c r="E493" s="63" t="e">
        <f>IF(SAISIE!#REF!="","",SAISIE!F40)</f>
        <v>#REF!</v>
      </c>
      <c r="F493" s="70" t="e">
        <f>IF(SAISIE!#REF!="","",IF(SAISIE!$N40="","",SAISIE!$N40))</f>
        <v>#REF!</v>
      </c>
      <c r="G493" s="63" t="e">
        <f>IF(SAISIE!#REF!="","",SAISIE!#REF!)</f>
        <v>#REF!</v>
      </c>
      <c r="H493" s="63"/>
      <c r="I493" s="63" t="e">
        <f>IF(SAISIE!#REF!="","",SAISIE!$Q40)</f>
        <v>#REF!</v>
      </c>
      <c r="J493" s="71" t="str">
        <f>IF(COUNTBLANK(SAISIE!$J$6:$M$6)=4,"",IF(SAISIE!#REF!="","",IF(SAISIE!J40&gt;0,SAISIE!$J$6,IF(SAISIE!K40&gt;0,SAISIE!$K$6,IF(SAISIE!L40&gt;0,SAISIE!$L$6,IF(SAISIE!M40&gt;0,SAISIE!$M$6,""))))))</f>
        <v/>
      </c>
      <c r="O493" s="59" t="s">
        <v>60</v>
      </c>
    </row>
    <row r="494" spans="1:15" x14ac:dyDescent="0.25">
      <c r="A494" s="63" t="str">
        <f>IF(AND(G494="",H494=""),"SUPPR",SAISIE!$B$3)</f>
        <v>SUPPR</v>
      </c>
      <c r="B494" s="63" t="str">
        <f>IF(SAISIE!J40="","",IF(LEN(SAISIE!B40)=1,CONCATENATE("0",SAISIE!B40,"/",SAISIE!$B$4,"/",SAISIE!$B$5),CONCATENATE(SAISIE!B40,"/",SAISIE!$B$4,"/",SAISIE!$B$5)))</f>
        <v/>
      </c>
      <c r="C494" s="63" t="str">
        <f>IF(SAISIE!J40="","",SAISIE!$J$8)</f>
        <v/>
      </c>
      <c r="D494" s="63" t="str">
        <f>IF(SAISIE!J40="","",SAISIE!E40)</f>
        <v/>
      </c>
      <c r="E494" s="63" t="str">
        <f>IF(SAISIE!J40="","",SAISIE!F40)</f>
        <v/>
      </c>
      <c r="F494" s="70" t="str">
        <f>IF(SAISIE!$J40="","",IF(SAISIE!$N40="","",SAISIE!$N40))</f>
        <v/>
      </c>
      <c r="G494" s="63" t="str">
        <f>IF(SAISIE!J40="","",SAISIE!J40)</f>
        <v/>
      </c>
      <c r="H494" s="63"/>
      <c r="I494" s="72"/>
      <c r="J494" s="71"/>
      <c r="O494" s="73"/>
    </row>
    <row r="495" spans="1:15" x14ac:dyDescent="0.25">
      <c r="A495" s="63" t="str">
        <f>IF(AND(G495="",H495=""),"SUPPR",SAISIE!$B$3)</f>
        <v>SUPPR</v>
      </c>
      <c r="B495" s="63" t="str">
        <f>IF(SAISIE!K40="","",IF(LEN(SAISIE!B40)=1,CONCATENATE("0",SAISIE!B40,"/",SAISIE!$B$4,"/",SAISIE!$B$5),CONCATENATE(SAISIE!B40,"/",SAISIE!$B$4,"/",SAISIE!$B$5)))</f>
        <v/>
      </c>
      <c r="C495" s="63" t="str">
        <f>IF(SAISIE!K40="","",SAISIE!$K$8)</f>
        <v/>
      </c>
      <c r="D495" s="63" t="str">
        <f>IF(SAISIE!K40="","",SAISIE!E40)</f>
        <v/>
      </c>
      <c r="E495" s="63" t="str">
        <f>IF(SAISIE!K40="","",SAISIE!F40)</f>
        <v/>
      </c>
      <c r="F495" s="70" t="str">
        <f>IF(SAISIE!$K40="","",IF(SAISIE!$N40="","",SAISIE!$N40))</f>
        <v/>
      </c>
      <c r="G495" s="63" t="str">
        <f>IF(SAISIE!K40="","",SAISIE!K40)</f>
        <v/>
      </c>
      <c r="H495" s="63"/>
      <c r="I495" s="72"/>
      <c r="J495" s="71"/>
    </row>
    <row r="496" spans="1:15" x14ac:dyDescent="0.25">
      <c r="A496" s="63" t="str">
        <f>IF(AND(G496="",H496=""),"SUPPR",SAISIE!$B$3)</f>
        <v>SUPPR</v>
      </c>
      <c r="B496" s="63" t="str">
        <f>IF(SAISIE!L40="","",IF(LEN(SAISIE!B40)=1,CONCATENATE("0",SAISIE!B40,"/",SAISIE!$B$4,"/",SAISIE!$B$5),CONCATENATE(SAISIE!B40,"/",SAISIE!$B$4,"/",SAISIE!$B$5)))</f>
        <v/>
      </c>
      <c r="C496" s="63" t="str">
        <f>IF(SAISIE!L40="","",SAISIE!$L$8)</f>
        <v/>
      </c>
      <c r="D496" s="63" t="str">
        <f>IF(SAISIE!L40="","",SAISIE!E40)</f>
        <v/>
      </c>
      <c r="E496" s="63" t="str">
        <f>IF(SAISIE!L40="","",SAISIE!F40)</f>
        <v/>
      </c>
      <c r="F496" s="70" t="str">
        <f>IF(SAISIE!$L40="","",IF(SAISIE!$N40="","",SAISIE!$N40))</f>
        <v/>
      </c>
      <c r="G496" s="63" t="str">
        <f>IF(SAISIE!L40="","",SAISIE!L40)</f>
        <v/>
      </c>
      <c r="H496" s="63"/>
      <c r="I496" s="72"/>
      <c r="J496" s="71"/>
    </row>
    <row r="497" spans="1:15" x14ac:dyDescent="0.25">
      <c r="A497" s="63" t="str">
        <f>IF(AND(G497="",H497=""),"SUPPR",SAISIE!$B$3)</f>
        <v>SUPPR</v>
      </c>
      <c r="B497" s="63" t="str">
        <f>IF(SAISIE!M40="","",IF(LEN(SAISIE!B40)=1,CONCATENATE("0",SAISIE!B40,"/",SAISIE!$B$4,"/",SAISIE!$B$5),CONCATENATE(SAISIE!B40,"/",SAISIE!$B$4,"/",SAISIE!$B$5)))</f>
        <v/>
      </c>
      <c r="C497" s="74" t="str">
        <f>IF(SAISIE!M40="","",SAISIE!$M$8)</f>
        <v/>
      </c>
      <c r="D497" s="74" t="str">
        <f>IF(SAISIE!M40="","",SAISIE!E40)</f>
        <v/>
      </c>
      <c r="E497" s="74" t="str">
        <f>IF(SAISIE!M40="","",SAISIE!F40)</f>
        <v/>
      </c>
      <c r="F497" s="75" t="str">
        <f>IF(SAISIE!$M40="","",IF(SAISIE!$N40="","",SAISIE!$N40))</f>
        <v/>
      </c>
      <c r="G497" s="74" t="str">
        <f>IF(SAISIE!M40="","",SAISIE!M40)</f>
        <v/>
      </c>
      <c r="H497" s="76"/>
      <c r="I497" s="77"/>
      <c r="J497" s="78"/>
    </row>
    <row r="498" spans="1:15" x14ac:dyDescent="0.25">
      <c r="A498" s="63" t="str">
        <f>IF(AND(G498="",H498=""),"SUPPR",SAISIE!$B$3)</f>
        <v>SUPPR</v>
      </c>
      <c r="B498" s="64" t="str">
        <f>IF(SAISIE!B41="","",IF(LEN(SAISIE!B41)=1,CONCATENATE("0",SAISIE!B41,"/",SAISIE!$B$4,"/",SAISIE!$B$5),CONCATENATE(SAISIE!B41,"/",SAISIE!$B$4,"/",SAISIE!$B$5)))</f>
        <v/>
      </c>
      <c r="C498" s="64" t="str">
        <f>IF(SAISIE!B41="","",CONCATENATE($M$2,SAISIE!C41))</f>
        <v/>
      </c>
      <c r="D498" s="64" t="str">
        <f>IF(SAISIE!B41="","",SAISIE!E41)</f>
        <v/>
      </c>
      <c r="E498" s="64" t="str">
        <f>IF(SAISIE!B41="","",SAISIE!F41)</f>
        <v/>
      </c>
      <c r="F498" s="65" t="str">
        <f>IF(A498="SUPPR","",IF(SAISIE!$N41="","",SAISIE!$N41))</f>
        <v/>
      </c>
      <c r="G498" s="64"/>
      <c r="H498" s="64" t="str">
        <f>IF(SAISIE!B41="","",SAISIE!D41)</f>
        <v/>
      </c>
      <c r="I498" s="66"/>
      <c r="J498" s="67" t="str">
        <f>IF(AZ41="","","")</f>
        <v/>
      </c>
      <c r="O498" s="69">
        <f>O482+1</f>
        <v>41</v>
      </c>
    </row>
    <row r="499" spans="1:15" x14ac:dyDescent="0.25">
      <c r="A499" s="63" t="str">
        <f>IF(AND(G499="",H499=""),"SUPPR",SAISIE!$B$3)</f>
        <v>SUPPR</v>
      </c>
      <c r="B499" s="63" t="str">
        <f>IF(SAISIE!P41="","",IF(LEN(SAISIE!B41)=1,CONCATENATE("0",SAISIE!B41,"/",SAISIE!$B$4,"/",SAISIE!$B$5),CONCATENATE(SAISIE!B41,"/",SAISIE!$B$4,"/",SAISIE!$B$5)))</f>
        <v/>
      </c>
      <c r="C499" s="63" t="str">
        <f>IF(SAISIE!P41="","",SAISIE!O41)</f>
        <v/>
      </c>
      <c r="D499" s="63" t="str">
        <f>IF(SAISIE!P41="","",SAISIE!E41)</f>
        <v/>
      </c>
      <c r="E499" s="63" t="str">
        <f>IF(SAISIE!P41="","",SAISIE!F41)</f>
        <v/>
      </c>
      <c r="F499" s="70" t="str">
        <f>IF(SAISIE!$P41="","",IF(SAISIE!$N41="","",SAISIE!$N41))</f>
        <v/>
      </c>
      <c r="G499" s="63" t="str">
        <f>IF(SAISIE!P41="","",SAISIE!P41)</f>
        <v/>
      </c>
      <c r="H499" s="63"/>
      <c r="I499" s="63" t="str">
        <f>IF(SAISIE!$P41="","",SAISIE!$Q41)</f>
        <v/>
      </c>
      <c r="J499" s="71" t="str">
        <f>IF(COUNTBLANK(SAISIE!$J$6:$M$6)=4,"",IF(SAISIE!P41="","",IF(SAISIE!J41&gt;0,SAISIE!$J$6,IF(SAISIE!K41&gt;0,SAISIE!$K$6,IF(SAISIE!L41&gt;0,SAISIE!$L$6,IF(SAISIE!M41&gt;0,SAISIE!$M$6,""))))))</f>
        <v/>
      </c>
      <c r="O499" s="59" t="s">
        <v>50</v>
      </c>
    </row>
    <row r="500" spans="1:15" x14ac:dyDescent="0.25">
      <c r="A500" s="63" t="str">
        <f>IF(AND(G500="",H500=""),"SUPPR",SAISIE!$B$3)</f>
        <v>SUPPR</v>
      </c>
      <c r="B500" s="63" t="str">
        <f>IF(SAISIE!G41="","",IF(LEN(SAISIE!B41)=1,CONCATENATE("0",SAISIE!B41,"/",SAISIE!$B$4,"/",SAISIE!$B$5),CONCATENATE(SAISIE!B41,"/",SAISIE!$B$4,"/",SAISIE!$B$5)))</f>
        <v/>
      </c>
      <c r="C500" s="63" t="str">
        <f>IF(SAISIE!G41="","",SAISIE!$G$8)</f>
        <v/>
      </c>
      <c r="D500" s="63" t="str">
        <f>IF(SAISIE!G41="","",SAISIE!E41)</f>
        <v/>
      </c>
      <c r="E500" s="63" t="str">
        <f>IF(SAISIE!G41="","",SAISIE!F41)</f>
        <v/>
      </c>
      <c r="F500" s="70" t="str">
        <f>IF(SAISIE!$G41="","",IF(SAISIE!$N41="","",SAISIE!$N41))</f>
        <v/>
      </c>
      <c r="G500" s="63" t="str">
        <f>IF(SAISIE!G41="","",SAISIE!G41)</f>
        <v/>
      </c>
      <c r="H500" s="63"/>
      <c r="I500" s="63" t="str">
        <f>IF(SAISIE!$G41="","",SAISIE!$Q41)</f>
        <v/>
      </c>
      <c r="J500" s="71" t="str">
        <f>IF(COUNTBLANK(SAISIE!$J$6:$M$6)=4,"",IF(SAISIE!G41="","",IF(SAISIE!J41&gt;0,SAISIE!$J$6,IF(SAISIE!K41&gt;0,SAISIE!$K$6,IF(SAISIE!L41&gt;0,SAISIE!$L$6,IF(SAISIE!M41&gt;0,SAISIE!$M$6,""))))))</f>
        <v/>
      </c>
      <c r="O500" s="59" t="s">
        <v>51</v>
      </c>
    </row>
    <row r="501" spans="1:15" x14ac:dyDescent="0.25">
      <c r="A501" s="63" t="str">
        <f>IF(AND(G501="",H501=""),"SUPPR",SAISIE!$B$3)</f>
        <v>SUPPR</v>
      </c>
      <c r="B501" s="63" t="str">
        <f>IF(SAISIE!H41="","",IF(LEN(SAISIE!B41)=1,CONCATENATE("0",SAISIE!B41,"/",SAISIE!$B$4,"/",SAISIE!$B$5),CONCATENATE(SAISIE!B41,"/",SAISIE!$B$4,"/",SAISIE!$B$5)))</f>
        <v/>
      </c>
      <c r="C501" s="63" t="str">
        <f>IF(SAISIE!H41="","",SAISIE!$H$8)</f>
        <v/>
      </c>
      <c r="D501" s="63" t="str">
        <f>IF(SAISIE!H41="","",SAISIE!E41)</f>
        <v/>
      </c>
      <c r="E501" s="63" t="str">
        <f>IF(SAISIE!H41="","",SAISIE!F41)</f>
        <v/>
      </c>
      <c r="F501" s="70" t="str">
        <f>IF(SAISIE!$H41="","",IF(SAISIE!$N41="","",SAISIE!$N41))</f>
        <v/>
      </c>
      <c r="G501" s="63" t="str">
        <f>IF(SAISIE!H41="","",SAISIE!H41)</f>
        <v/>
      </c>
      <c r="H501" s="63"/>
      <c r="I501" s="63" t="str">
        <f>IF(SAISIE!$H41="","",SAISIE!$Q41)</f>
        <v/>
      </c>
      <c r="J501" s="71" t="str">
        <f>IF(COUNTBLANK(SAISIE!$J$6:$M$6)=4,"",IF(SAISIE!H41="","",IF(SAISIE!J41&gt;0,SAISIE!$J$6,IF(SAISIE!K41&gt;0,SAISIE!$K$6,IF(SAISIE!L41&gt;0,SAISIE!$L$6,IF(SAISIE!M41&gt;0,SAISIE!$M$6,""))))))</f>
        <v/>
      </c>
      <c r="O501" s="59" t="s">
        <v>52</v>
      </c>
    </row>
    <row r="502" spans="1:15" x14ac:dyDescent="0.25">
      <c r="A502" s="63" t="str">
        <f>IF(AND(G502="",H502=""),"SUPPR",SAISIE!$B$3)</f>
        <v>SUPPR</v>
      </c>
      <c r="B502" s="63" t="str">
        <f>IF(SAISIE!I41="","",IF(LEN(SAISIE!B41)=1,CONCATENATE("0",SAISIE!B41,"/",SAISIE!$B$4,"/",SAISIE!$B$5),CONCATENATE(SAISIE!B41,"/",SAISIE!$B$4,"/",SAISIE!$B$5)))</f>
        <v/>
      </c>
      <c r="C502" s="63" t="str">
        <f>IF(SAISIE!I41="","",SAISIE!$I$8)</f>
        <v/>
      </c>
      <c r="D502" s="63" t="str">
        <f>IF(SAISIE!I41="","",SAISIE!E41)</f>
        <v/>
      </c>
      <c r="E502" s="63" t="str">
        <f>IF(SAISIE!I41="","",SAISIE!F41)</f>
        <v/>
      </c>
      <c r="F502" s="70" t="str">
        <f>IF(SAISIE!$I41="","",IF(SAISIE!$N41="","",SAISIE!$N41))</f>
        <v/>
      </c>
      <c r="G502" s="63" t="str">
        <f>IF(SAISIE!I41="","",SAISIE!I41)</f>
        <v/>
      </c>
      <c r="H502" s="63"/>
      <c r="I502" s="63" t="str">
        <f>IF(SAISIE!$I41="","",SAISIE!$Q41)</f>
        <v/>
      </c>
      <c r="J502" s="71" t="str">
        <f>IF(COUNTBLANK(SAISIE!$J$6:$M$6)=4,"",IF(SAISIE!I41="","",IF(SAISIE!J41&gt;0,SAISIE!$J$6,IF(SAISIE!K41&gt;0,SAISIE!$K$6,IF(SAISIE!L41&gt;0,SAISIE!$L$6,IF(SAISIE!M41&gt;0,SAISIE!$M$6,""))))))</f>
        <v/>
      </c>
      <c r="O502" s="59" t="s">
        <v>53</v>
      </c>
    </row>
    <row r="503" spans="1:15" x14ac:dyDescent="0.25">
      <c r="A503" s="63" t="e">
        <f>IF(AND(G503="",H503=""),"SUPPR",SAISIE!$B$3)</f>
        <v>#REF!</v>
      </c>
      <c r="B503" s="63" t="e">
        <f>IF(SAISIE!#REF!="","",IF(LEN(SAISIE!B41)=1,CONCATENATE("0",SAISIE!B41,"/",SAISIE!$B$4,"/",SAISIE!$B$5),CONCATENATE(SAISIE!B41,"/",SAISIE!$B$4,"/",SAISIE!$B$5)))</f>
        <v>#REF!</v>
      </c>
      <c r="C503" s="63" t="e">
        <f>IF(SAISIE!#REF!="","",SAISIE!#REF!)</f>
        <v>#REF!</v>
      </c>
      <c r="D503" s="63" t="e">
        <f>IF(SAISIE!#REF!="","",SAISIE!E41)</f>
        <v>#REF!</v>
      </c>
      <c r="E503" s="63" t="e">
        <f>IF(SAISIE!#REF!="","",SAISIE!F41)</f>
        <v>#REF!</v>
      </c>
      <c r="F503" s="70" t="e">
        <f>IF(SAISIE!#REF!="","",IF(SAISIE!$N41="","",SAISIE!$N41))</f>
        <v>#REF!</v>
      </c>
      <c r="G503" s="63" t="e">
        <f>IF(SAISIE!#REF!="","",SAISIE!#REF!)</f>
        <v>#REF!</v>
      </c>
      <c r="H503" s="63"/>
      <c r="I503" s="63" t="e">
        <f>IF(SAISIE!#REF!="","",SAISIE!$Q41)</f>
        <v>#REF!</v>
      </c>
      <c r="J503" s="71" t="str">
        <f>IF(COUNTBLANK(SAISIE!$J$6:$M$6)=4,"",IF(SAISIE!#REF!="","",IF(SAISIE!J41&gt;0,SAISIE!$J$6,IF(SAISIE!K41&gt;0,SAISIE!$K$6,IF(SAISIE!L41&gt;0,SAISIE!$L$6,IF(SAISIE!M41&gt;0,SAISIE!$M$6,""))))))</f>
        <v/>
      </c>
      <c r="O503" s="59" t="s">
        <v>54</v>
      </c>
    </row>
    <row r="504" spans="1:15" x14ac:dyDescent="0.25">
      <c r="A504" s="63" t="e">
        <f>IF(AND(G504="",H504=""),"SUPPR",SAISIE!$B$3)</f>
        <v>#REF!</v>
      </c>
      <c r="B504" s="63" t="e">
        <f>IF(SAISIE!#REF!="","",IF(LEN(SAISIE!B41)=1,CONCATENATE("0",SAISIE!B41,"/",SAISIE!$B$4,"/",SAISIE!$B$5),CONCATENATE(SAISIE!B41,"/",SAISIE!$B$4,"/",SAISIE!$B$5)))</f>
        <v>#REF!</v>
      </c>
      <c r="C504" s="63" t="e">
        <f>IF(SAISIE!#REF!="","",SAISIE!#REF!)</f>
        <v>#REF!</v>
      </c>
      <c r="D504" s="63" t="e">
        <f>IF(SAISIE!#REF!="","",SAISIE!E41)</f>
        <v>#REF!</v>
      </c>
      <c r="E504" s="63" t="e">
        <f>IF(SAISIE!#REF!="","",SAISIE!F41)</f>
        <v>#REF!</v>
      </c>
      <c r="F504" s="70" t="e">
        <f>IF(SAISIE!#REF!="","",IF(SAISIE!$N41="","",SAISIE!$N41))</f>
        <v>#REF!</v>
      </c>
      <c r="G504" s="63" t="e">
        <f>IF(SAISIE!#REF!="","",SAISIE!#REF!)</f>
        <v>#REF!</v>
      </c>
      <c r="H504" s="63"/>
      <c r="I504" s="63" t="e">
        <f>IF(SAISIE!#REF!="","",SAISIE!$Q41)</f>
        <v>#REF!</v>
      </c>
      <c r="J504" s="71" t="str">
        <f>IF(COUNTBLANK(SAISIE!$J$6:$M$6)=4,"",IF(SAISIE!#REF!="","",IF(SAISIE!J41&gt;0,SAISIE!$J$6,IF(SAISIE!K41&gt;0,SAISIE!$K$6,IF(SAISIE!L41&gt;0,SAISIE!$L$6,IF(SAISIE!M41&gt;0,SAISIE!$M$6,""))))))</f>
        <v/>
      </c>
      <c r="O504" s="59" t="s">
        <v>55</v>
      </c>
    </row>
    <row r="505" spans="1:15" x14ac:dyDescent="0.25">
      <c r="A505" s="63" t="e">
        <f>IF(AND(G505="",H505=""),"SUPPR",SAISIE!$B$3)</f>
        <v>#REF!</v>
      </c>
      <c r="B505" s="63" t="e">
        <f>IF(SAISIE!#REF!="","",IF(LEN(SAISIE!B41)=1,CONCATENATE("0",SAISIE!B41,"/",SAISIE!$B$4,"/",SAISIE!$B$5),CONCATENATE(SAISIE!B41,"/",SAISIE!$B$4,"/",SAISIE!$B$5)))</f>
        <v>#REF!</v>
      </c>
      <c r="C505" s="63" t="e">
        <f>IF(SAISIE!#REF!="","",SAISIE!#REF!)</f>
        <v>#REF!</v>
      </c>
      <c r="D505" s="63" t="e">
        <f>IF(SAISIE!#REF!="","",SAISIE!E41)</f>
        <v>#REF!</v>
      </c>
      <c r="E505" s="63" t="e">
        <f>IF(SAISIE!#REF!="","",SAISIE!F41)</f>
        <v>#REF!</v>
      </c>
      <c r="F505" s="70" t="e">
        <f>IF(SAISIE!#REF!="","",IF(SAISIE!$N41="","",SAISIE!$N41))</f>
        <v>#REF!</v>
      </c>
      <c r="G505" s="63" t="e">
        <f>IF(SAISIE!#REF!="","",SAISIE!#REF!)</f>
        <v>#REF!</v>
      </c>
      <c r="H505" s="63"/>
      <c r="I505" s="63" t="e">
        <f>IF(SAISIE!#REF!="","",SAISIE!$Q41)</f>
        <v>#REF!</v>
      </c>
      <c r="J505" s="71" t="str">
        <f>IF(COUNTBLANK(SAISIE!$J$6:$M$6)=4,"",IF(SAISIE!#REF!="","",IF(SAISIE!J41&gt;0,SAISIE!$J$6,IF(SAISIE!K41&gt;0,SAISIE!$K$6,IF(SAISIE!L41&gt;0,SAISIE!$L$6,IF(SAISIE!M41&gt;0,SAISIE!$M$6,""))))))</f>
        <v/>
      </c>
      <c r="O505" s="59" t="s">
        <v>56</v>
      </c>
    </row>
    <row r="506" spans="1:15" x14ac:dyDescent="0.25">
      <c r="A506" s="63" t="e">
        <f>IF(AND(G506="",H506=""),"SUPPR",SAISIE!$B$3)</f>
        <v>#REF!</v>
      </c>
      <c r="B506" s="63" t="e">
        <f>IF(SAISIE!#REF!="","",IF(LEN(SAISIE!B41)=1,CONCATENATE("0",SAISIE!B41,"/",SAISIE!$B$4,"/",SAISIE!$B$5),CONCATENATE(SAISIE!B41,"/",SAISIE!$B$4,"/",SAISIE!$B$5)))</f>
        <v>#REF!</v>
      </c>
      <c r="C506" s="63" t="e">
        <f>IF(SAISIE!#REF!="","",SAISIE!#REF!)</f>
        <v>#REF!</v>
      </c>
      <c r="D506" s="63" t="e">
        <f>IF(SAISIE!#REF!="","",SAISIE!E41)</f>
        <v>#REF!</v>
      </c>
      <c r="E506" s="63" t="e">
        <f>IF(SAISIE!#REF!="","",SAISIE!F41)</f>
        <v>#REF!</v>
      </c>
      <c r="F506" s="70" t="e">
        <f>IF(SAISIE!#REF!="","",IF(SAISIE!$N41="","",SAISIE!$N41))</f>
        <v>#REF!</v>
      </c>
      <c r="G506" s="63" t="e">
        <f>IF(SAISIE!#REF!="","",SAISIE!#REF!)</f>
        <v>#REF!</v>
      </c>
      <c r="H506" s="63"/>
      <c r="I506" s="63" t="e">
        <f>IF(SAISIE!#REF!="","",SAISIE!$Q41)</f>
        <v>#REF!</v>
      </c>
      <c r="J506" s="71" t="str">
        <f>IF(COUNTBLANK(SAISIE!$J$6:$M$6)=4,"",IF(SAISIE!#REF!="","",IF(SAISIE!J41&gt;0,SAISIE!$J$6,IF(SAISIE!K41&gt;0,SAISIE!$K$6,IF(SAISIE!L41&gt;0,SAISIE!$L$6,IF(SAISIE!M41&gt;0,SAISIE!$M$6,""))))))</f>
        <v/>
      </c>
      <c r="O506" s="59" t="s">
        <v>57</v>
      </c>
    </row>
    <row r="507" spans="1:15" x14ac:dyDescent="0.25">
      <c r="A507" s="63" t="e">
        <f>IF(AND(G507="",H507=""),"SUPPR",SAISIE!$B$3)</f>
        <v>#REF!</v>
      </c>
      <c r="B507" s="63" t="e">
        <f>IF(SAISIE!#REF!="","",IF(LEN(SAISIE!B41)=1,CONCATENATE("0",SAISIE!B41,"/",SAISIE!$B$4,"/",SAISIE!$B$5),CONCATENATE(SAISIE!B41,"/",SAISIE!$B$4,"/",SAISIE!$B$5)))</f>
        <v>#REF!</v>
      </c>
      <c r="C507" s="63" t="e">
        <f>IF(SAISIE!#REF!="","",SAISIE!#REF!)</f>
        <v>#REF!</v>
      </c>
      <c r="D507" s="63" t="e">
        <f>IF(SAISIE!#REF!="","",SAISIE!E41)</f>
        <v>#REF!</v>
      </c>
      <c r="E507" s="63" t="e">
        <f>IF(SAISIE!#REF!="","",SAISIE!F41)</f>
        <v>#REF!</v>
      </c>
      <c r="F507" s="70" t="e">
        <f>IF(SAISIE!#REF!="","",IF(SAISIE!$N41="","",SAISIE!$N41))</f>
        <v>#REF!</v>
      </c>
      <c r="G507" s="63" t="e">
        <f>IF(SAISIE!#REF!="","",SAISIE!#REF!)</f>
        <v>#REF!</v>
      </c>
      <c r="H507" s="63"/>
      <c r="I507" s="63" t="e">
        <f>IF(SAISIE!#REF!="","",SAISIE!$Q41)</f>
        <v>#REF!</v>
      </c>
      <c r="J507" s="71" t="str">
        <f>IF(COUNTBLANK(SAISIE!$J$6:$M$6)=4,"",IF(SAISIE!#REF!="","",IF(SAISIE!J41&gt;0,SAISIE!$J$6,IF(SAISIE!K41&gt;0,SAISIE!$K$6,IF(SAISIE!L41&gt;0,SAISIE!$L$6,IF(SAISIE!M41&gt;0,SAISIE!$M$6,""))))))</f>
        <v/>
      </c>
      <c r="O507" s="59" t="s">
        <v>58</v>
      </c>
    </row>
    <row r="508" spans="1:15" x14ac:dyDescent="0.25">
      <c r="A508" s="63" t="e">
        <f>IF(AND(G508="",H508=""),"SUPPR",SAISIE!$B$3)</f>
        <v>#REF!</v>
      </c>
      <c r="B508" s="63" t="e">
        <f>IF(SAISIE!#REF!="","",IF(LEN(SAISIE!B41)=1,CONCATENATE("0",SAISIE!B41,"/",SAISIE!$B$4,"/",SAISIE!$B$5),CONCATENATE(SAISIE!B41,"/",SAISIE!$B$4,"/",SAISIE!$B$5)))</f>
        <v>#REF!</v>
      </c>
      <c r="C508" s="63" t="e">
        <f>IF(SAISIE!#REF!="","",SAISIE!#REF!)</f>
        <v>#REF!</v>
      </c>
      <c r="D508" s="63" t="e">
        <f>IF(SAISIE!#REF!="","",SAISIE!E41)</f>
        <v>#REF!</v>
      </c>
      <c r="E508" s="63" t="e">
        <f>IF(SAISIE!#REF!="","",SAISIE!F41)</f>
        <v>#REF!</v>
      </c>
      <c r="F508" s="70" t="e">
        <f>IF(SAISIE!#REF!="","",IF(SAISIE!$N41="","",SAISIE!$N41))</f>
        <v>#REF!</v>
      </c>
      <c r="G508" s="63" t="e">
        <f>IF(SAISIE!#REF!="","",SAISIE!#REF!)</f>
        <v>#REF!</v>
      </c>
      <c r="H508" s="63"/>
      <c r="I508" s="63" t="e">
        <f>IF(SAISIE!#REF!="","",SAISIE!$Q41)</f>
        <v>#REF!</v>
      </c>
      <c r="J508" s="71" t="str">
        <f>IF(COUNTBLANK(SAISIE!$J$6:$M$6)=4,"",IF(SAISIE!#REF!="","",IF(SAISIE!J41&gt;0,SAISIE!$J$6,IF(SAISIE!K41&gt;0,SAISIE!$K$6,IF(SAISIE!L41&gt;0,SAISIE!$L$6,IF(SAISIE!M41&gt;0,SAISIE!$M$6,""))))))</f>
        <v/>
      </c>
      <c r="O508" s="59" t="s">
        <v>59</v>
      </c>
    </row>
    <row r="509" spans="1:15" x14ac:dyDescent="0.25">
      <c r="A509" s="63" t="e">
        <f>IF(AND(G509="",H509=""),"SUPPR",SAISIE!$B$3)</f>
        <v>#REF!</v>
      </c>
      <c r="B509" s="63" t="e">
        <f>IF(SAISIE!#REF!="","",IF(LEN(SAISIE!B41)=1,CONCATENATE("0",SAISIE!B41,"/",SAISIE!$B$4,"/",SAISIE!$B$5),CONCATENATE(SAISIE!B41,"/",SAISIE!$B$4,"/",SAISIE!$B$5)))</f>
        <v>#REF!</v>
      </c>
      <c r="C509" s="63" t="e">
        <f>IF(SAISIE!#REF!="","",SAISIE!#REF!)</f>
        <v>#REF!</v>
      </c>
      <c r="D509" s="63" t="e">
        <f>IF(SAISIE!#REF!="","",SAISIE!E41)</f>
        <v>#REF!</v>
      </c>
      <c r="E509" s="63" t="e">
        <f>IF(SAISIE!#REF!="","",SAISIE!F41)</f>
        <v>#REF!</v>
      </c>
      <c r="F509" s="70" t="e">
        <f>IF(SAISIE!#REF!="","",IF(SAISIE!$N41="","",SAISIE!$N41))</f>
        <v>#REF!</v>
      </c>
      <c r="G509" s="63" t="e">
        <f>IF(SAISIE!#REF!="","",SAISIE!#REF!)</f>
        <v>#REF!</v>
      </c>
      <c r="H509" s="63"/>
      <c r="I509" s="63" t="e">
        <f>IF(SAISIE!#REF!="","",SAISIE!$Q41)</f>
        <v>#REF!</v>
      </c>
      <c r="J509" s="71" t="str">
        <f>IF(COUNTBLANK(SAISIE!$J$6:$M$6)=4,"",IF(SAISIE!#REF!="","",IF(SAISIE!J41&gt;0,SAISIE!$J$6,IF(SAISIE!K41&gt;0,SAISIE!$K$6,IF(SAISIE!L41&gt;0,SAISIE!$L$6,IF(SAISIE!M41&gt;0,SAISIE!$M$6,""))))))</f>
        <v/>
      </c>
      <c r="O509" s="59" t="s">
        <v>60</v>
      </c>
    </row>
    <row r="510" spans="1:15" x14ac:dyDescent="0.25">
      <c r="A510" s="63" t="str">
        <f>IF(AND(G510="",H510=""),"SUPPR",SAISIE!$B$3)</f>
        <v>SUPPR</v>
      </c>
      <c r="B510" s="63" t="str">
        <f>IF(SAISIE!J41="","",IF(LEN(SAISIE!B41)=1,CONCATENATE("0",SAISIE!B41,"/",SAISIE!$B$4,"/",SAISIE!$B$5),CONCATENATE(SAISIE!B41,"/",SAISIE!$B$4,"/",SAISIE!$B$5)))</f>
        <v/>
      </c>
      <c r="C510" s="63" t="str">
        <f>IF(SAISIE!J41="","",SAISIE!$J$8)</f>
        <v/>
      </c>
      <c r="D510" s="63" t="str">
        <f>IF(SAISIE!J41="","",SAISIE!E41)</f>
        <v/>
      </c>
      <c r="E510" s="63" t="str">
        <f>IF(SAISIE!J41="","",SAISIE!F41)</f>
        <v/>
      </c>
      <c r="F510" s="70" t="str">
        <f>IF(SAISIE!$J41="","",IF(SAISIE!$N41="","",SAISIE!$N41))</f>
        <v/>
      </c>
      <c r="G510" s="63" t="str">
        <f>IF(SAISIE!J41="","",SAISIE!J41)</f>
        <v/>
      </c>
      <c r="H510" s="63"/>
      <c r="I510" s="72"/>
      <c r="J510" s="71"/>
      <c r="O510" s="73"/>
    </row>
    <row r="511" spans="1:15" x14ac:dyDescent="0.25">
      <c r="A511" s="63" t="str">
        <f>IF(AND(G511="",H511=""),"SUPPR",SAISIE!$B$3)</f>
        <v>SUPPR</v>
      </c>
      <c r="B511" s="63" t="str">
        <f>IF(SAISIE!K41="","",IF(LEN(SAISIE!B41)=1,CONCATENATE("0",SAISIE!B41,"/",SAISIE!$B$4,"/",SAISIE!$B$5),CONCATENATE(SAISIE!B41,"/",SAISIE!$B$4,"/",SAISIE!$B$5)))</f>
        <v/>
      </c>
      <c r="C511" s="63" t="str">
        <f>IF(SAISIE!K41="","",SAISIE!$K$8)</f>
        <v/>
      </c>
      <c r="D511" s="63" t="str">
        <f>IF(SAISIE!K41="","",SAISIE!E41)</f>
        <v/>
      </c>
      <c r="E511" s="63" t="str">
        <f>IF(SAISIE!K41="","",SAISIE!F41)</f>
        <v/>
      </c>
      <c r="F511" s="70" t="str">
        <f>IF(SAISIE!$K41="","",IF(SAISIE!$N41="","",SAISIE!$N41))</f>
        <v/>
      </c>
      <c r="G511" s="63" t="str">
        <f>IF(SAISIE!K41="","",SAISIE!K41)</f>
        <v/>
      </c>
      <c r="H511" s="63"/>
      <c r="I511" s="72"/>
      <c r="J511" s="71"/>
    </row>
    <row r="512" spans="1:15" x14ac:dyDescent="0.25">
      <c r="A512" s="63" t="str">
        <f>IF(AND(G512="",H512=""),"SUPPR",SAISIE!$B$3)</f>
        <v>SUPPR</v>
      </c>
      <c r="B512" s="63" t="str">
        <f>IF(SAISIE!L41="","",IF(LEN(SAISIE!B41)=1,CONCATENATE("0",SAISIE!B41,"/",SAISIE!$B$4,"/",SAISIE!$B$5),CONCATENATE(SAISIE!B41,"/",SAISIE!$B$4,"/",SAISIE!$B$5)))</f>
        <v/>
      </c>
      <c r="C512" s="63" t="str">
        <f>IF(SAISIE!L41="","",SAISIE!$L$8)</f>
        <v/>
      </c>
      <c r="D512" s="63" t="str">
        <f>IF(SAISIE!L41="","",SAISIE!E41)</f>
        <v/>
      </c>
      <c r="E512" s="63" t="str">
        <f>IF(SAISIE!L41="","",SAISIE!F41)</f>
        <v/>
      </c>
      <c r="F512" s="70" t="str">
        <f>IF(SAISIE!$L41="","",IF(SAISIE!$N41="","",SAISIE!$N41))</f>
        <v/>
      </c>
      <c r="G512" s="63" t="str">
        <f>IF(SAISIE!L41="","",SAISIE!L41)</f>
        <v/>
      </c>
      <c r="H512" s="63"/>
      <c r="I512" s="72"/>
      <c r="J512" s="71"/>
    </row>
    <row r="513" spans="1:15" x14ac:dyDescent="0.25">
      <c r="A513" s="63" t="str">
        <f>IF(AND(G513="",H513=""),"SUPPR",SAISIE!$B$3)</f>
        <v>SUPPR</v>
      </c>
      <c r="B513" s="63" t="str">
        <f>IF(SAISIE!M41="","",IF(LEN(SAISIE!B41)=1,CONCATENATE("0",SAISIE!B41,"/",SAISIE!$B$4,"/",SAISIE!$B$5),CONCATENATE(SAISIE!B41,"/",SAISIE!$B$4,"/",SAISIE!$B$5)))</f>
        <v/>
      </c>
      <c r="C513" s="74" t="str">
        <f>IF(SAISIE!M41="","",SAISIE!$M$8)</f>
        <v/>
      </c>
      <c r="D513" s="74" t="str">
        <f>IF(SAISIE!M41="","",SAISIE!E41)</f>
        <v/>
      </c>
      <c r="E513" s="74" t="str">
        <f>IF(SAISIE!M41="","",SAISIE!F41)</f>
        <v/>
      </c>
      <c r="F513" s="75" t="str">
        <f>IF(SAISIE!$M41="","",IF(SAISIE!$N41="","",SAISIE!$N41))</f>
        <v/>
      </c>
      <c r="G513" s="74" t="str">
        <f>IF(SAISIE!M41="","",SAISIE!M41)</f>
        <v/>
      </c>
      <c r="H513" s="76"/>
      <c r="I513" s="77"/>
      <c r="J513" s="78"/>
    </row>
    <row r="514" spans="1:15" x14ac:dyDescent="0.25">
      <c r="A514" s="63" t="str">
        <f>IF(AND(G514="",H514=""),"SUPPR",SAISIE!$B$3)</f>
        <v>SUPPR</v>
      </c>
      <c r="B514" s="64" t="str">
        <f>IF(SAISIE!B42="","",IF(LEN(SAISIE!B42)=1,CONCATENATE("0",SAISIE!B42,"/",SAISIE!$B$4,"/",SAISIE!$B$5),CONCATENATE(SAISIE!B42,"/",SAISIE!$B$4,"/",SAISIE!$B$5)))</f>
        <v/>
      </c>
      <c r="C514" s="64" t="str">
        <f>IF(SAISIE!B42="","",CONCATENATE($M$2,SAISIE!C42))</f>
        <v/>
      </c>
      <c r="D514" s="64" t="str">
        <f>IF(SAISIE!B42="","",SAISIE!E42)</f>
        <v/>
      </c>
      <c r="E514" s="64" t="str">
        <f>IF(SAISIE!B42="","",SAISIE!F42)</f>
        <v/>
      </c>
      <c r="F514" s="65" t="str">
        <f>IF(A514="SUPPR","",IF(SAISIE!$N42="","",SAISIE!$N42))</f>
        <v/>
      </c>
      <c r="G514" s="64"/>
      <c r="H514" s="64" t="str">
        <f>IF(SAISIE!B42="","",SAISIE!D42)</f>
        <v/>
      </c>
      <c r="I514" s="66"/>
      <c r="J514" s="67" t="str">
        <f>IF(AZ42="","","")</f>
        <v/>
      </c>
      <c r="O514" s="69">
        <f>O498+1</f>
        <v>42</v>
      </c>
    </row>
    <row r="515" spans="1:15" x14ac:dyDescent="0.25">
      <c r="A515" s="63" t="str">
        <f>IF(AND(G515="",H515=""),"SUPPR",SAISIE!$B$3)</f>
        <v>SUPPR</v>
      </c>
      <c r="B515" s="63" t="str">
        <f>IF(SAISIE!P42="","",IF(LEN(SAISIE!B42)=1,CONCATENATE("0",SAISIE!B42,"/",SAISIE!$B$4,"/",SAISIE!$B$5),CONCATENATE(SAISIE!B42,"/",SAISIE!$B$4,"/",SAISIE!$B$5)))</f>
        <v/>
      </c>
      <c r="C515" s="63" t="str">
        <f>IF(SAISIE!P42="","",SAISIE!O42)</f>
        <v/>
      </c>
      <c r="D515" s="63" t="str">
        <f>IF(SAISIE!P42="","",SAISIE!E42)</f>
        <v/>
      </c>
      <c r="E515" s="63" t="str">
        <f>IF(SAISIE!P42="","",SAISIE!F42)</f>
        <v/>
      </c>
      <c r="F515" s="70" t="str">
        <f>IF(SAISIE!$P42="","",IF(SAISIE!$N42="","",SAISIE!$N42))</f>
        <v/>
      </c>
      <c r="G515" s="63" t="str">
        <f>IF(SAISIE!P42="","",SAISIE!P42)</f>
        <v/>
      </c>
      <c r="H515" s="63"/>
      <c r="I515" s="63" t="str">
        <f>IF(SAISIE!$P42="","",SAISIE!$Q42)</f>
        <v/>
      </c>
      <c r="J515" s="71" t="str">
        <f>IF(COUNTBLANK(SAISIE!$J$6:$M$6)=4,"",IF(SAISIE!P42="","",IF(SAISIE!J42&gt;0,SAISIE!$J$6,IF(SAISIE!K42&gt;0,SAISIE!$K$6,IF(SAISIE!L42&gt;0,SAISIE!$L$6,IF(SAISIE!M42&gt;0,SAISIE!$M$6,""))))))</f>
        <v/>
      </c>
      <c r="O515" s="59" t="s">
        <v>50</v>
      </c>
    </row>
    <row r="516" spans="1:15" x14ac:dyDescent="0.25">
      <c r="A516" s="63" t="str">
        <f>IF(AND(G516="",H516=""),"SUPPR",SAISIE!$B$3)</f>
        <v>SUPPR</v>
      </c>
      <c r="B516" s="63" t="str">
        <f>IF(SAISIE!G42="","",IF(LEN(SAISIE!B42)=1,CONCATENATE("0",SAISIE!B42,"/",SAISIE!$B$4,"/",SAISIE!$B$5),CONCATENATE(SAISIE!B42,"/",SAISIE!$B$4,"/",SAISIE!$B$5)))</f>
        <v/>
      </c>
      <c r="C516" s="63" t="str">
        <f>IF(SAISIE!G42="","",SAISIE!$G$8)</f>
        <v/>
      </c>
      <c r="D516" s="63" t="str">
        <f>IF(SAISIE!G42="","",SAISIE!E42)</f>
        <v/>
      </c>
      <c r="E516" s="63" t="str">
        <f>IF(SAISIE!G42="","",SAISIE!F42)</f>
        <v/>
      </c>
      <c r="F516" s="70" t="str">
        <f>IF(SAISIE!$G42="","",IF(SAISIE!$N42="","",SAISIE!$N42))</f>
        <v/>
      </c>
      <c r="G516" s="63" t="str">
        <f>IF(SAISIE!G42="","",SAISIE!G42)</f>
        <v/>
      </c>
      <c r="H516" s="63"/>
      <c r="I516" s="63" t="str">
        <f>IF(SAISIE!$G42="","",SAISIE!$Q42)</f>
        <v/>
      </c>
      <c r="J516" s="71" t="str">
        <f>IF(COUNTBLANK(SAISIE!$J$6:$M$6)=4,"",IF(SAISIE!G42="","",IF(SAISIE!J42&gt;0,SAISIE!$J$6,IF(SAISIE!K42&gt;0,SAISIE!$K$6,IF(SAISIE!L42&gt;0,SAISIE!$L$6,IF(SAISIE!M42&gt;0,SAISIE!$M$6,""))))))</f>
        <v/>
      </c>
      <c r="O516" s="59" t="s">
        <v>51</v>
      </c>
    </row>
    <row r="517" spans="1:15" x14ac:dyDescent="0.25">
      <c r="A517" s="63" t="str">
        <f>IF(AND(G517="",H517=""),"SUPPR",SAISIE!$B$3)</f>
        <v>SUPPR</v>
      </c>
      <c r="B517" s="63" t="str">
        <f>IF(SAISIE!H42="","",IF(LEN(SAISIE!B42)=1,CONCATENATE("0",SAISIE!B42,"/",SAISIE!$B$4,"/",SAISIE!$B$5),CONCATENATE(SAISIE!B42,"/",SAISIE!$B$4,"/",SAISIE!$B$5)))</f>
        <v/>
      </c>
      <c r="C517" s="63" t="str">
        <f>IF(SAISIE!H42="","",SAISIE!$H$8)</f>
        <v/>
      </c>
      <c r="D517" s="63" t="str">
        <f>IF(SAISIE!H42="","",SAISIE!E42)</f>
        <v/>
      </c>
      <c r="E517" s="63" t="str">
        <f>IF(SAISIE!H42="","",SAISIE!F42)</f>
        <v/>
      </c>
      <c r="F517" s="70" t="str">
        <f>IF(SAISIE!$H42="","",IF(SAISIE!$N42="","",SAISIE!$N42))</f>
        <v/>
      </c>
      <c r="G517" s="63" t="str">
        <f>IF(SAISIE!H42="","",SAISIE!H42)</f>
        <v/>
      </c>
      <c r="H517" s="63"/>
      <c r="I517" s="63" t="str">
        <f>IF(SAISIE!$H42="","",SAISIE!$Q42)</f>
        <v/>
      </c>
      <c r="J517" s="71" t="str">
        <f>IF(COUNTBLANK(SAISIE!$J$6:$M$6)=4,"",IF(SAISIE!H42="","",IF(SAISIE!J42&gt;0,SAISIE!$J$6,IF(SAISIE!K42&gt;0,SAISIE!$K$6,IF(SAISIE!L42&gt;0,SAISIE!$L$6,IF(SAISIE!M42&gt;0,SAISIE!$M$6,""))))))</f>
        <v/>
      </c>
      <c r="O517" s="59" t="s">
        <v>52</v>
      </c>
    </row>
    <row r="518" spans="1:15" x14ac:dyDescent="0.25">
      <c r="A518" s="63" t="str">
        <f>IF(AND(G518="",H518=""),"SUPPR",SAISIE!$B$3)</f>
        <v>SUPPR</v>
      </c>
      <c r="B518" s="63" t="str">
        <f>IF(SAISIE!I42="","",IF(LEN(SAISIE!B42)=1,CONCATENATE("0",SAISIE!B42,"/",SAISIE!$B$4,"/",SAISIE!$B$5),CONCATENATE(SAISIE!B42,"/",SAISIE!$B$4,"/",SAISIE!$B$5)))</f>
        <v/>
      </c>
      <c r="C518" s="63" t="str">
        <f>IF(SAISIE!I42="","",SAISIE!$I$8)</f>
        <v/>
      </c>
      <c r="D518" s="63" t="str">
        <f>IF(SAISIE!I42="","",SAISIE!E42)</f>
        <v/>
      </c>
      <c r="E518" s="63" t="str">
        <f>IF(SAISIE!I42="","",SAISIE!F42)</f>
        <v/>
      </c>
      <c r="F518" s="70" t="str">
        <f>IF(SAISIE!$I42="","",IF(SAISIE!$N42="","",SAISIE!$N42))</f>
        <v/>
      </c>
      <c r="G518" s="63" t="str">
        <f>IF(SAISIE!I42="","",SAISIE!I42)</f>
        <v/>
      </c>
      <c r="H518" s="63"/>
      <c r="I518" s="63" t="str">
        <f>IF(SAISIE!$I42="","",SAISIE!$Q42)</f>
        <v/>
      </c>
      <c r="J518" s="71" t="str">
        <f>IF(COUNTBLANK(SAISIE!$J$6:$M$6)=4,"",IF(SAISIE!I42="","",IF(SAISIE!J42&gt;0,SAISIE!$J$6,IF(SAISIE!K42&gt;0,SAISIE!$K$6,IF(SAISIE!L42&gt;0,SAISIE!$L$6,IF(SAISIE!M42&gt;0,SAISIE!$M$6,""))))))</f>
        <v/>
      </c>
      <c r="O518" s="59" t="s">
        <v>53</v>
      </c>
    </row>
    <row r="519" spans="1:15" x14ac:dyDescent="0.25">
      <c r="A519" s="63" t="e">
        <f>IF(AND(G519="",H519=""),"SUPPR",SAISIE!$B$3)</f>
        <v>#REF!</v>
      </c>
      <c r="B519" s="63" t="e">
        <f>IF(SAISIE!#REF!="","",IF(LEN(SAISIE!B42)=1,CONCATENATE("0",SAISIE!B42,"/",SAISIE!$B$4,"/",SAISIE!$B$5),CONCATENATE(SAISIE!B42,"/",SAISIE!$B$4,"/",SAISIE!$B$5)))</f>
        <v>#REF!</v>
      </c>
      <c r="C519" s="63" t="e">
        <f>IF(SAISIE!#REF!="","",SAISIE!#REF!)</f>
        <v>#REF!</v>
      </c>
      <c r="D519" s="63" t="e">
        <f>IF(SAISIE!#REF!="","",SAISIE!E42)</f>
        <v>#REF!</v>
      </c>
      <c r="E519" s="63" t="e">
        <f>IF(SAISIE!#REF!="","",SAISIE!F42)</f>
        <v>#REF!</v>
      </c>
      <c r="F519" s="70" t="e">
        <f>IF(SAISIE!#REF!="","",IF(SAISIE!$N42="","",SAISIE!$N42))</f>
        <v>#REF!</v>
      </c>
      <c r="G519" s="63" t="e">
        <f>IF(SAISIE!#REF!="","",SAISIE!#REF!)</f>
        <v>#REF!</v>
      </c>
      <c r="H519" s="63"/>
      <c r="I519" s="63" t="e">
        <f>IF(SAISIE!#REF!="","",SAISIE!$Q42)</f>
        <v>#REF!</v>
      </c>
      <c r="J519" s="71" t="str">
        <f>IF(COUNTBLANK(SAISIE!$J$6:$M$6)=4,"",IF(SAISIE!#REF!="","",IF(SAISIE!J42&gt;0,SAISIE!$J$6,IF(SAISIE!K42&gt;0,SAISIE!$K$6,IF(SAISIE!L42&gt;0,SAISIE!$L$6,IF(SAISIE!M42&gt;0,SAISIE!$M$6,""))))))</f>
        <v/>
      </c>
      <c r="O519" s="59" t="s">
        <v>54</v>
      </c>
    </row>
    <row r="520" spans="1:15" x14ac:dyDescent="0.25">
      <c r="A520" s="63" t="e">
        <f>IF(AND(G520="",H520=""),"SUPPR",SAISIE!$B$3)</f>
        <v>#REF!</v>
      </c>
      <c r="B520" s="63" t="e">
        <f>IF(SAISIE!#REF!="","",IF(LEN(SAISIE!B42)=1,CONCATENATE("0",SAISIE!B42,"/",SAISIE!$B$4,"/",SAISIE!$B$5),CONCATENATE(SAISIE!B42,"/",SAISIE!$B$4,"/",SAISIE!$B$5)))</f>
        <v>#REF!</v>
      </c>
      <c r="C520" s="63" t="e">
        <f>IF(SAISIE!#REF!="","",SAISIE!#REF!)</f>
        <v>#REF!</v>
      </c>
      <c r="D520" s="63" t="e">
        <f>IF(SAISIE!#REF!="","",SAISIE!E42)</f>
        <v>#REF!</v>
      </c>
      <c r="E520" s="63" t="e">
        <f>IF(SAISIE!#REF!="","",SAISIE!F42)</f>
        <v>#REF!</v>
      </c>
      <c r="F520" s="70" t="e">
        <f>IF(SAISIE!#REF!="","",IF(SAISIE!$N42="","",SAISIE!$N42))</f>
        <v>#REF!</v>
      </c>
      <c r="G520" s="63" t="e">
        <f>IF(SAISIE!#REF!="","",SAISIE!#REF!)</f>
        <v>#REF!</v>
      </c>
      <c r="H520" s="63"/>
      <c r="I520" s="63" t="e">
        <f>IF(SAISIE!#REF!="","",SAISIE!$Q42)</f>
        <v>#REF!</v>
      </c>
      <c r="J520" s="71" t="str">
        <f>IF(COUNTBLANK(SAISIE!$J$6:$M$6)=4,"",IF(SAISIE!#REF!="","",IF(SAISIE!J42&gt;0,SAISIE!$J$6,IF(SAISIE!K42&gt;0,SAISIE!$K$6,IF(SAISIE!L42&gt;0,SAISIE!$L$6,IF(SAISIE!M42&gt;0,SAISIE!$M$6,""))))))</f>
        <v/>
      </c>
      <c r="O520" s="59" t="s">
        <v>55</v>
      </c>
    </row>
    <row r="521" spans="1:15" x14ac:dyDescent="0.25">
      <c r="A521" s="63" t="e">
        <f>IF(AND(G521="",H521=""),"SUPPR",SAISIE!$B$3)</f>
        <v>#REF!</v>
      </c>
      <c r="B521" s="63" t="e">
        <f>IF(SAISIE!#REF!="","",IF(LEN(SAISIE!B42)=1,CONCATENATE("0",SAISIE!B42,"/",SAISIE!$B$4,"/",SAISIE!$B$5),CONCATENATE(SAISIE!B42,"/",SAISIE!$B$4,"/",SAISIE!$B$5)))</f>
        <v>#REF!</v>
      </c>
      <c r="C521" s="63" t="e">
        <f>IF(SAISIE!#REF!="","",SAISIE!#REF!)</f>
        <v>#REF!</v>
      </c>
      <c r="D521" s="63" t="e">
        <f>IF(SAISIE!#REF!="","",SAISIE!E42)</f>
        <v>#REF!</v>
      </c>
      <c r="E521" s="63" t="e">
        <f>IF(SAISIE!#REF!="","",SAISIE!F42)</f>
        <v>#REF!</v>
      </c>
      <c r="F521" s="70" t="e">
        <f>IF(SAISIE!#REF!="","",IF(SAISIE!$N42="","",SAISIE!$N42))</f>
        <v>#REF!</v>
      </c>
      <c r="G521" s="63" t="e">
        <f>IF(SAISIE!#REF!="","",SAISIE!#REF!)</f>
        <v>#REF!</v>
      </c>
      <c r="H521" s="63"/>
      <c r="I521" s="63" t="e">
        <f>IF(SAISIE!#REF!="","",SAISIE!$Q42)</f>
        <v>#REF!</v>
      </c>
      <c r="J521" s="71" t="str">
        <f>IF(COUNTBLANK(SAISIE!$J$6:$M$6)=4,"",IF(SAISIE!#REF!="","",IF(SAISIE!J42&gt;0,SAISIE!$J$6,IF(SAISIE!K42&gt;0,SAISIE!$K$6,IF(SAISIE!L42&gt;0,SAISIE!$L$6,IF(SAISIE!M42&gt;0,SAISIE!$M$6,""))))))</f>
        <v/>
      </c>
      <c r="O521" s="59" t="s">
        <v>56</v>
      </c>
    </row>
    <row r="522" spans="1:15" x14ac:dyDescent="0.25">
      <c r="A522" s="63" t="e">
        <f>IF(AND(G522="",H522=""),"SUPPR",SAISIE!$B$3)</f>
        <v>#REF!</v>
      </c>
      <c r="B522" s="63" t="e">
        <f>IF(SAISIE!#REF!="","",IF(LEN(SAISIE!B42)=1,CONCATENATE("0",SAISIE!B42,"/",SAISIE!$B$4,"/",SAISIE!$B$5),CONCATENATE(SAISIE!B42,"/",SAISIE!$B$4,"/",SAISIE!$B$5)))</f>
        <v>#REF!</v>
      </c>
      <c r="C522" s="63" t="e">
        <f>IF(SAISIE!#REF!="","",SAISIE!#REF!)</f>
        <v>#REF!</v>
      </c>
      <c r="D522" s="63" t="e">
        <f>IF(SAISIE!#REF!="","",SAISIE!E42)</f>
        <v>#REF!</v>
      </c>
      <c r="E522" s="63" t="e">
        <f>IF(SAISIE!#REF!="","",SAISIE!F42)</f>
        <v>#REF!</v>
      </c>
      <c r="F522" s="70" t="e">
        <f>IF(SAISIE!#REF!="","",IF(SAISIE!$N42="","",SAISIE!$N42))</f>
        <v>#REF!</v>
      </c>
      <c r="G522" s="63" t="e">
        <f>IF(SAISIE!#REF!="","",SAISIE!#REF!)</f>
        <v>#REF!</v>
      </c>
      <c r="H522" s="63"/>
      <c r="I522" s="63" t="e">
        <f>IF(SAISIE!#REF!="","",SAISIE!$Q42)</f>
        <v>#REF!</v>
      </c>
      <c r="J522" s="71" t="str">
        <f>IF(COUNTBLANK(SAISIE!$J$6:$M$6)=4,"",IF(SAISIE!#REF!="","",IF(SAISIE!J42&gt;0,SAISIE!$J$6,IF(SAISIE!K42&gt;0,SAISIE!$K$6,IF(SAISIE!L42&gt;0,SAISIE!$L$6,IF(SAISIE!M42&gt;0,SAISIE!$M$6,""))))))</f>
        <v/>
      </c>
      <c r="O522" s="59" t="s">
        <v>57</v>
      </c>
    </row>
    <row r="523" spans="1:15" x14ac:dyDescent="0.25">
      <c r="A523" s="63" t="e">
        <f>IF(AND(G523="",H523=""),"SUPPR",SAISIE!$B$3)</f>
        <v>#REF!</v>
      </c>
      <c r="B523" s="63" t="e">
        <f>IF(SAISIE!#REF!="","",IF(LEN(SAISIE!B42)=1,CONCATENATE("0",SAISIE!B42,"/",SAISIE!$B$4,"/",SAISIE!$B$5),CONCATENATE(SAISIE!B42,"/",SAISIE!$B$4,"/",SAISIE!$B$5)))</f>
        <v>#REF!</v>
      </c>
      <c r="C523" s="63" t="e">
        <f>IF(SAISIE!#REF!="","",SAISIE!#REF!)</f>
        <v>#REF!</v>
      </c>
      <c r="D523" s="63" t="e">
        <f>IF(SAISIE!#REF!="","",SAISIE!E42)</f>
        <v>#REF!</v>
      </c>
      <c r="E523" s="63" t="e">
        <f>IF(SAISIE!#REF!="","",SAISIE!F42)</f>
        <v>#REF!</v>
      </c>
      <c r="F523" s="70" t="e">
        <f>IF(SAISIE!#REF!="","",IF(SAISIE!$N42="","",SAISIE!$N42))</f>
        <v>#REF!</v>
      </c>
      <c r="G523" s="63" t="e">
        <f>IF(SAISIE!#REF!="","",SAISIE!#REF!)</f>
        <v>#REF!</v>
      </c>
      <c r="H523" s="63"/>
      <c r="I523" s="63" t="e">
        <f>IF(SAISIE!#REF!="","",SAISIE!$Q42)</f>
        <v>#REF!</v>
      </c>
      <c r="J523" s="71" t="str">
        <f>IF(COUNTBLANK(SAISIE!$J$6:$M$6)=4,"",IF(SAISIE!#REF!="","",IF(SAISIE!J42&gt;0,SAISIE!$J$6,IF(SAISIE!K42&gt;0,SAISIE!$K$6,IF(SAISIE!L42&gt;0,SAISIE!$L$6,IF(SAISIE!M42&gt;0,SAISIE!$M$6,""))))))</f>
        <v/>
      </c>
      <c r="O523" s="59" t="s">
        <v>58</v>
      </c>
    </row>
    <row r="524" spans="1:15" x14ac:dyDescent="0.25">
      <c r="A524" s="63" t="e">
        <f>IF(AND(G524="",H524=""),"SUPPR",SAISIE!$B$3)</f>
        <v>#REF!</v>
      </c>
      <c r="B524" s="63" t="e">
        <f>IF(SAISIE!#REF!="","",IF(LEN(SAISIE!B42)=1,CONCATENATE("0",SAISIE!B42,"/",SAISIE!$B$4,"/",SAISIE!$B$5),CONCATENATE(SAISIE!B42,"/",SAISIE!$B$4,"/",SAISIE!$B$5)))</f>
        <v>#REF!</v>
      </c>
      <c r="C524" s="63" t="e">
        <f>IF(SAISIE!#REF!="","",SAISIE!#REF!)</f>
        <v>#REF!</v>
      </c>
      <c r="D524" s="63" t="e">
        <f>IF(SAISIE!#REF!="","",SAISIE!E42)</f>
        <v>#REF!</v>
      </c>
      <c r="E524" s="63" t="e">
        <f>IF(SAISIE!#REF!="","",SAISIE!F42)</f>
        <v>#REF!</v>
      </c>
      <c r="F524" s="70" t="e">
        <f>IF(SAISIE!#REF!="","",IF(SAISIE!$N42="","",SAISIE!$N42))</f>
        <v>#REF!</v>
      </c>
      <c r="G524" s="63" t="e">
        <f>IF(SAISIE!#REF!="","",SAISIE!#REF!)</f>
        <v>#REF!</v>
      </c>
      <c r="H524" s="63"/>
      <c r="I524" s="63" t="e">
        <f>IF(SAISIE!#REF!="","",SAISIE!$Q42)</f>
        <v>#REF!</v>
      </c>
      <c r="J524" s="71" t="str">
        <f>IF(COUNTBLANK(SAISIE!$J$6:$M$6)=4,"",IF(SAISIE!#REF!="","",IF(SAISIE!J42&gt;0,SAISIE!$J$6,IF(SAISIE!K42&gt;0,SAISIE!$K$6,IF(SAISIE!L42&gt;0,SAISIE!$L$6,IF(SAISIE!M42&gt;0,SAISIE!$M$6,""))))))</f>
        <v/>
      </c>
      <c r="O524" s="59" t="s">
        <v>59</v>
      </c>
    </row>
    <row r="525" spans="1:15" x14ac:dyDescent="0.25">
      <c r="A525" s="63" t="e">
        <f>IF(AND(G525="",H525=""),"SUPPR",SAISIE!$B$3)</f>
        <v>#REF!</v>
      </c>
      <c r="B525" s="63" t="e">
        <f>IF(SAISIE!#REF!="","",IF(LEN(SAISIE!B42)=1,CONCATENATE("0",SAISIE!B42,"/",SAISIE!$B$4,"/",SAISIE!$B$5),CONCATENATE(SAISIE!B42,"/",SAISIE!$B$4,"/",SAISIE!$B$5)))</f>
        <v>#REF!</v>
      </c>
      <c r="C525" s="63" t="e">
        <f>IF(SAISIE!#REF!="","",SAISIE!#REF!)</f>
        <v>#REF!</v>
      </c>
      <c r="D525" s="63" t="e">
        <f>IF(SAISIE!#REF!="","",SAISIE!E42)</f>
        <v>#REF!</v>
      </c>
      <c r="E525" s="63" t="e">
        <f>IF(SAISIE!#REF!="","",SAISIE!F42)</f>
        <v>#REF!</v>
      </c>
      <c r="F525" s="70" t="e">
        <f>IF(SAISIE!#REF!="","",IF(SAISIE!$N42="","",SAISIE!$N42))</f>
        <v>#REF!</v>
      </c>
      <c r="G525" s="63" t="e">
        <f>IF(SAISIE!#REF!="","",SAISIE!#REF!)</f>
        <v>#REF!</v>
      </c>
      <c r="H525" s="63"/>
      <c r="I525" s="63" t="e">
        <f>IF(SAISIE!#REF!="","",SAISIE!$Q42)</f>
        <v>#REF!</v>
      </c>
      <c r="J525" s="71" t="str">
        <f>IF(COUNTBLANK(SAISIE!$J$6:$M$6)=4,"",IF(SAISIE!#REF!="","",IF(SAISIE!J42&gt;0,SAISIE!$J$6,IF(SAISIE!K42&gt;0,SAISIE!$K$6,IF(SAISIE!L42&gt;0,SAISIE!$L$6,IF(SAISIE!M42&gt;0,SAISIE!$M$6,""))))))</f>
        <v/>
      </c>
      <c r="O525" s="59" t="s">
        <v>60</v>
      </c>
    </row>
    <row r="526" spans="1:15" x14ac:dyDescent="0.25">
      <c r="A526" s="63" t="str">
        <f>IF(AND(G526="",H526=""),"SUPPR",SAISIE!$B$3)</f>
        <v>SUPPR</v>
      </c>
      <c r="B526" s="63" t="str">
        <f>IF(SAISIE!J42="","",IF(LEN(SAISIE!B42)=1,CONCATENATE("0",SAISIE!B42,"/",SAISIE!$B$4,"/",SAISIE!$B$5),CONCATENATE(SAISIE!B42,"/",SAISIE!$B$4,"/",SAISIE!$B$5)))</f>
        <v/>
      </c>
      <c r="C526" s="63" t="str">
        <f>IF(SAISIE!J42="","",SAISIE!$J$8)</f>
        <v/>
      </c>
      <c r="D526" s="63" t="str">
        <f>IF(SAISIE!J42="","",SAISIE!E42)</f>
        <v/>
      </c>
      <c r="E526" s="63" t="str">
        <f>IF(SAISIE!J42="","",SAISIE!F42)</f>
        <v/>
      </c>
      <c r="F526" s="70" t="str">
        <f>IF(SAISIE!$J42="","",IF(SAISIE!$N42="","",SAISIE!$N42))</f>
        <v/>
      </c>
      <c r="G526" s="63" t="str">
        <f>IF(SAISIE!J42="","",SAISIE!J42)</f>
        <v/>
      </c>
      <c r="H526" s="63"/>
      <c r="I526" s="72"/>
      <c r="J526" s="71"/>
      <c r="O526" s="73"/>
    </row>
    <row r="527" spans="1:15" x14ac:dyDescent="0.25">
      <c r="A527" s="63" t="str">
        <f>IF(AND(G527="",H527=""),"SUPPR",SAISIE!$B$3)</f>
        <v>SUPPR</v>
      </c>
      <c r="B527" s="63" t="str">
        <f>IF(SAISIE!K42="","",IF(LEN(SAISIE!B42)=1,CONCATENATE("0",SAISIE!B42,"/",SAISIE!$B$4,"/",SAISIE!$B$5),CONCATENATE(SAISIE!B42,"/",SAISIE!$B$4,"/",SAISIE!$B$5)))</f>
        <v/>
      </c>
      <c r="C527" s="63" t="str">
        <f>IF(SAISIE!K42="","",SAISIE!$K$8)</f>
        <v/>
      </c>
      <c r="D527" s="63" t="str">
        <f>IF(SAISIE!K42="","",SAISIE!E42)</f>
        <v/>
      </c>
      <c r="E527" s="63" t="str">
        <f>IF(SAISIE!K42="","",SAISIE!F42)</f>
        <v/>
      </c>
      <c r="F527" s="70" t="str">
        <f>IF(SAISIE!$K42="","",IF(SAISIE!$N42="","",SAISIE!$N42))</f>
        <v/>
      </c>
      <c r="G527" s="63" t="str">
        <f>IF(SAISIE!K42="","",SAISIE!K42)</f>
        <v/>
      </c>
      <c r="H527" s="63"/>
      <c r="I527" s="72"/>
      <c r="J527" s="71"/>
    </row>
    <row r="528" spans="1:15" x14ac:dyDescent="0.25">
      <c r="A528" s="63" t="str">
        <f>IF(AND(G528="",H528=""),"SUPPR",SAISIE!$B$3)</f>
        <v>SUPPR</v>
      </c>
      <c r="B528" s="63" t="str">
        <f>IF(SAISIE!L42="","",IF(LEN(SAISIE!B42)=1,CONCATENATE("0",SAISIE!B42,"/",SAISIE!$B$4,"/",SAISIE!$B$5),CONCATENATE(SAISIE!B42,"/",SAISIE!$B$4,"/",SAISIE!$B$5)))</f>
        <v/>
      </c>
      <c r="C528" s="63" t="str">
        <f>IF(SAISIE!L42="","",SAISIE!$L$8)</f>
        <v/>
      </c>
      <c r="D528" s="63" t="str">
        <f>IF(SAISIE!L42="","",SAISIE!E42)</f>
        <v/>
      </c>
      <c r="E528" s="63" t="str">
        <f>IF(SAISIE!L42="","",SAISIE!F42)</f>
        <v/>
      </c>
      <c r="F528" s="70" t="str">
        <f>IF(SAISIE!$L42="","",IF(SAISIE!$N42="","",SAISIE!$N42))</f>
        <v/>
      </c>
      <c r="G528" s="63" t="str">
        <f>IF(SAISIE!L42="","",SAISIE!L42)</f>
        <v/>
      </c>
      <c r="H528" s="63"/>
      <c r="I528" s="72"/>
      <c r="J528" s="71"/>
    </row>
    <row r="529" spans="1:15" x14ac:dyDescent="0.25">
      <c r="A529" s="63" t="str">
        <f>IF(AND(G529="",H529=""),"SUPPR",SAISIE!$B$3)</f>
        <v>SUPPR</v>
      </c>
      <c r="B529" s="63" t="str">
        <f>IF(SAISIE!M42="","",IF(LEN(SAISIE!B42)=1,CONCATENATE("0",SAISIE!B42,"/",SAISIE!$B$4,"/",SAISIE!$B$5),CONCATENATE(SAISIE!B42,"/",SAISIE!$B$4,"/",SAISIE!$B$5)))</f>
        <v/>
      </c>
      <c r="C529" s="74" t="str">
        <f>IF(SAISIE!M42="","",SAISIE!$M$8)</f>
        <v/>
      </c>
      <c r="D529" s="74" t="str">
        <f>IF(SAISIE!M42="","",SAISIE!E42)</f>
        <v/>
      </c>
      <c r="E529" s="74" t="str">
        <f>IF(SAISIE!M42="","",SAISIE!F42)</f>
        <v/>
      </c>
      <c r="F529" s="75" t="str">
        <f>IF(SAISIE!$M42="","",IF(SAISIE!$N42="","",SAISIE!$N42))</f>
        <v/>
      </c>
      <c r="G529" s="74" t="str">
        <f>IF(SAISIE!M42="","",SAISIE!M42)</f>
        <v/>
      </c>
      <c r="H529" s="76"/>
      <c r="I529" s="77"/>
      <c r="J529" s="78"/>
    </row>
    <row r="530" spans="1:15" x14ac:dyDescent="0.25">
      <c r="A530" s="63" t="str">
        <f>IF(AND(G530="",H530=""),"SUPPR",SAISIE!$B$3)</f>
        <v>SUPPR</v>
      </c>
      <c r="B530" s="64" t="str">
        <f>IF(SAISIE!B43="","",IF(LEN(SAISIE!B43)=1,CONCATENATE("0",SAISIE!B43,"/",SAISIE!$B$4,"/",SAISIE!$B$5),CONCATENATE(SAISIE!B43,"/",SAISIE!$B$4,"/",SAISIE!$B$5)))</f>
        <v/>
      </c>
      <c r="C530" s="64" t="str">
        <f>IF(SAISIE!B43="","",CONCATENATE($M$2,SAISIE!C43))</f>
        <v/>
      </c>
      <c r="D530" s="64" t="str">
        <f>IF(SAISIE!B43="","",SAISIE!E43)</f>
        <v/>
      </c>
      <c r="E530" s="64" t="str">
        <f>IF(SAISIE!B43="","",SAISIE!F43)</f>
        <v/>
      </c>
      <c r="F530" s="65" t="str">
        <f>IF(A530="SUPPR","",IF(SAISIE!$N43="","",SAISIE!$N43))</f>
        <v/>
      </c>
      <c r="G530" s="64"/>
      <c r="H530" s="64" t="str">
        <f>IF(SAISIE!B43="","",SAISIE!D43)</f>
        <v/>
      </c>
      <c r="I530" s="66"/>
      <c r="J530" s="67" t="str">
        <f>IF(AZ43="","","")</f>
        <v/>
      </c>
      <c r="O530" s="69">
        <f>O514+1</f>
        <v>43</v>
      </c>
    </row>
    <row r="531" spans="1:15" x14ac:dyDescent="0.25">
      <c r="A531" s="63" t="str">
        <f>IF(AND(G531="",H531=""),"SUPPR",SAISIE!$B$3)</f>
        <v>SUPPR</v>
      </c>
      <c r="B531" s="63" t="str">
        <f>IF(SAISIE!P43="","",IF(LEN(SAISIE!B43)=1,CONCATENATE("0",SAISIE!B43,"/",SAISIE!$B$4,"/",SAISIE!$B$5),CONCATENATE(SAISIE!B43,"/",SAISIE!$B$4,"/",SAISIE!$B$5)))</f>
        <v/>
      </c>
      <c r="C531" s="63" t="str">
        <f>IF(SAISIE!P43="","",SAISIE!O43)</f>
        <v/>
      </c>
      <c r="D531" s="63" t="str">
        <f>IF(SAISIE!P43="","",SAISIE!E43)</f>
        <v/>
      </c>
      <c r="E531" s="63" t="str">
        <f>IF(SAISIE!P43="","",SAISIE!F43)</f>
        <v/>
      </c>
      <c r="F531" s="70" t="str">
        <f>IF(SAISIE!$P43="","",IF(SAISIE!$N43="","",SAISIE!$N43))</f>
        <v/>
      </c>
      <c r="G531" s="63" t="str">
        <f>IF(SAISIE!P43="","",SAISIE!P43)</f>
        <v/>
      </c>
      <c r="H531" s="63"/>
      <c r="I531" s="63" t="str">
        <f>IF(SAISIE!$P43="","",SAISIE!$Q43)</f>
        <v/>
      </c>
      <c r="J531" s="71" t="str">
        <f>IF(COUNTBLANK(SAISIE!$J$6:$M$6)=4,"",IF(SAISIE!P43="","",IF(SAISIE!J43&gt;0,SAISIE!$J$6,IF(SAISIE!K43&gt;0,SAISIE!$K$6,IF(SAISIE!L43&gt;0,SAISIE!$L$6,IF(SAISIE!M43&gt;0,SAISIE!$M$6,""))))))</f>
        <v/>
      </c>
      <c r="O531" s="59" t="s">
        <v>50</v>
      </c>
    </row>
    <row r="532" spans="1:15" x14ac:dyDescent="0.25">
      <c r="A532" s="63" t="str">
        <f>IF(AND(G532="",H532=""),"SUPPR",SAISIE!$B$3)</f>
        <v>SUPPR</v>
      </c>
      <c r="B532" s="63" t="str">
        <f>IF(SAISIE!G43="","",IF(LEN(SAISIE!B43)=1,CONCATENATE("0",SAISIE!B43,"/",SAISIE!$B$4,"/",SAISIE!$B$5),CONCATENATE(SAISIE!B43,"/",SAISIE!$B$4,"/",SAISIE!$B$5)))</f>
        <v/>
      </c>
      <c r="C532" s="63" t="str">
        <f>IF(SAISIE!G43="","",SAISIE!$G$8)</f>
        <v/>
      </c>
      <c r="D532" s="63" t="str">
        <f>IF(SAISIE!G43="","",SAISIE!E43)</f>
        <v/>
      </c>
      <c r="E532" s="63" t="str">
        <f>IF(SAISIE!G43="","",SAISIE!F43)</f>
        <v/>
      </c>
      <c r="F532" s="70" t="str">
        <f>IF(SAISIE!$G43="","",IF(SAISIE!$N43="","",SAISIE!$N43))</f>
        <v/>
      </c>
      <c r="G532" s="63" t="str">
        <f>IF(SAISIE!G43="","",SAISIE!G43)</f>
        <v/>
      </c>
      <c r="H532" s="63"/>
      <c r="I532" s="63" t="str">
        <f>IF(SAISIE!$G43="","",SAISIE!$Q43)</f>
        <v/>
      </c>
      <c r="J532" s="71" t="str">
        <f>IF(COUNTBLANK(SAISIE!$J$6:$M$6)=4,"",IF(SAISIE!G43="","",IF(SAISIE!J43&gt;0,SAISIE!$J$6,IF(SAISIE!K43&gt;0,SAISIE!$K$6,IF(SAISIE!L43&gt;0,SAISIE!$L$6,IF(SAISIE!M43&gt;0,SAISIE!$M$6,""))))))</f>
        <v/>
      </c>
      <c r="O532" s="59" t="s">
        <v>51</v>
      </c>
    </row>
    <row r="533" spans="1:15" x14ac:dyDescent="0.25">
      <c r="A533" s="63" t="str">
        <f>IF(AND(G533="",H533=""),"SUPPR",SAISIE!$B$3)</f>
        <v>SUPPR</v>
      </c>
      <c r="B533" s="63" t="str">
        <f>IF(SAISIE!H43="","",IF(LEN(SAISIE!B43)=1,CONCATENATE("0",SAISIE!B43,"/",SAISIE!$B$4,"/",SAISIE!$B$5),CONCATENATE(SAISIE!B43,"/",SAISIE!$B$4,"/",SAISIE!$B$5)))</f>
        <v/>
      </c>
      <c r="C533" s="63" t="str">
        <f>IF(SAISIE!H43="","",SAISIE!$H$8)</f>
        <v/>
      </c>
      <c r="D533" s="63" t="str">
        <f>IF(SAISIE!H43="","",SAISIE!E43)</f>
        <v/>
      </c>
      <c r="E533" s="63" t="str">
        <f>IF(SAISIE!H43="","",SAISIE!F43)</f>
        <v/>
      </c>
      <c r="F533" s="70" t="str">
        <f>IF(SAISIE!$H43="","",IF(SAISIE!$N43="","",SAISIE!$N43))</f>
        <v/>
      </c>
      <c r="G533" s="63" t="str">
        <f>IF(SAISIE!H43="","",SAISIE!H43)</f>
        <v/>
      </c>
      <c r="H533" s="63"/>
      <c r="I533" s="63" t="str">
        <f>IF(SAISIE!$H43="","",SAISIE!$Q43)</f>
        <v/>
      </c>
      <c r="J533" s="71" t="str">
        <f>IF(COUNTBLANK(SAISIE!$J$6:$M$6)=4,"",IF(SAISIE!H43="","",IF(SAISIE!J43&gt;0,SAISIE!$J$6,IF(SAISIE!K43&gt;0,SAISIE!$K$6,IF(SAISIE!L43&gt;0,SAISIE!$L$6,IF(SAISIE!M43&gt;0,SAISIE!$M$6,""))))))</f>
        <v/>
      </c>
      <c r="O533" s="59" t="s">
        <v>52</v>
      </c>
    </row>
    <row r="534" spans="1:15" x14ac:dyDescent="0.25">
      <c r="A534" s="63" t="str">
        <f>IF(AND(G534="",H534=""),"SUPPR",SAISIE!$B$3)</f>
        <v>SUPPR</v>
      </c>
      <c r="B534" s="63" t="str">
        <f>IF(SAISIE!I43="","",IF(LEN(SAISIE!B43)=1,CONCATENATE("0",SAISIE!B43,"/",SAISIE!$B$4,"/",SAISIE!$B$5),CONCATENATE(SAISIE!B43,"/",SAISIE!$B$4,"/",SAISIE!$B$5)))</f>
        <v/>
      </c>
      <c r="C534" s="63" t="str">
        <f>IF(SAISIE!I43="","",SAISIE!$I$8)</f>
        <v/>
      </c>
      <c r="D534" s="63" t="str">
        <f>IF(SAISIE!I43="","",SAISIE!E43)</f>
        <v/>
      </c>
      <c r="E534" s="63" t="str">
        <f>IF(SAISIE!I43="","",SAISIE!F43)</f>
        <v/>
      </c>
      <c r="F534" s="70" t="str">
        <f>IF(SAISIE!$I43="","",IF(SAISIE!$N43="","",SAISIE!$N43))</f>
        <v/>
      </c>
      <c r="G534" s="63" t="str">
        <f>IF(SAISIE!I43="","",SAISIE!I43)</f>
        <v/>
      </c>
      <c r="H534" s="63"/>
      <c r="I534" s="63" t="str">
        <f>IF(SAISIE!$I43="","",SAISIE!$Q43)</f>
        <v/>
      </c>
      <c r="J534" s="71" t="str">
        <f>IF(COUNTBLANK(SAISIE!$J$6:$M$6)=4,"",IF(SAISIE!I43="","",IF(SAISIE!J43&gt;0,SAISIE!$J$6,IF(SAISIE!K43&gt;0,SAISIE!$K$6,IF(SAISIE!L43&gt;0,SAISIE!$L$6,IF(SAISIE!M43&gt;0,SAISIE!$M$6,""))))))</f>
        <v/>
      </c>
      <c r="O534" s="59" t="s">
        <v>53</v>
      </c>
    </row>
    <row r="535" spans="1:15" x14ac:dyDescent="0.25">
      <c r="A535" s="63" t="e">
        <f>IF(AND(G535="",H535=""),"SUPPR",SAISIE!$B$3)</f>
        <v>#REF!</v>
      </c>
      <c r="B535" s="63" t="e">
        <f>IF(SAISIE!#REF!="","",IF(LEN(SAISIE!B43)=1,CONCATENATE("0",SAISIE!B43,"/",SAISIE!$B$4,"/",SAISIE!$B$5),CONCATENATE(SAISIE!B43,"/",SAISIE!$B$4,"/",SAISIE!$B$5)))</f>
        <v>#REF!</v>
      </c>
      <c r="C535" s="63" t="e">
        <f>IF(SAISIE!#REF!="","",SAISIE!#REF!)</f>
        <v>#REF!</v>
      </c>
      <c r="D535" s="63" t="e">
        <f>IF(SAISIE!#REF!="","",SAISIE!E43)</f>
        <v>#REF!</v>
      </c>
      <c r="E535" s="63" t="e">
        <f>IF(SAISIE!#REF!="","",SAISIE!F43)</f>
        <v>#REF!</v>
      </c>
      <c r="F535" s="70" t="e">
        <f>IF(SAISIE!#REF!="","",IF(SAISIE!$N43="","",SAISIE!$N43))</f>
        <v>#REF!</v>
      </c>
      <c r="G535" s="63" t="e">
        <f>IF(SAISIE!#REF!="","",SAISIE!#REF!)</f>
        <v>#REF!</v>
      </c>
      <c r="H535" s="63"/>
      <c r="I535" s="63" t="e">
        <f>IF(SAISIE!#REF!="","",SAISIE!$Q43)</f>
        <v>#REF!</v>
      </c>
      <c r="J535" s="71" t="str">
        <f>IF(COUNTBLANK(SAISIE!$J$6:$M$6)=4,"",IF(SAISIE!#REF!="","",IF(SAISIE!J43&gt;0,SAISIE!$J$6,IF(SAISIE!K43&gt;0,SAISIE!$K$6,IF(SAISIE!L43&gt;0,SAISIE!$L$6,IF(SAISIE!M43&gt;0,SAISIE!$M$6,""))))))</f>
        <v/>
      </c>
      <c r="O535" s="59" t="s">
        <v>54</v>
      </c>
    </row>
    <row r="536" spans="1:15" x14ac:dyDescent="0.25">
      <c r="A536" s="63" t="e">
        <f>IF(AND(G536="",H536=""),"SUPPR",SAISIE!$B$3)</f>
        <v>#REF!</v>
      </c>
      <c r="B536" s="63" t="e">
        <f>IF(SAISIE!#REF!="","",IF(LEN(SAISIE!B43)=1,CONCATENATE("0",SAISIE!B43,"/",SAISIE!$B$4,"/",SAISIE!$B$5),CONCATENATE(SAISIE!B43,"/",SAISIE!$B$4,"/",SAISIE!$B$5)))</f>
        <v>#REF!</v>
      </c>
      <c r="C536" s="63" t="e">
        <f>IF(SAISIE!#REF!="","",SAISIE!#REF!)</f>
        <v>#REF!</v>
      </c>
      <c r="D536" s="63" t="e">
        <f>IF(SAISIE!#REF!="","",SAISIE!E43)</f>
        <v>#REF!</v>
      </c>
      <c r="E536" s="63" t="e">
        <f>IF(SAISIE!#REF!="","",SAISIE!F43)</f>
        <v>#REF!</v>
      </c>
      <c r="F536" s="70" t="e">
        <f>IF(SAISIE!#REF!="","",IF(SAISIE!$N43="","",SAISIE!$N43))</f>
        <v>#REF!</v>
      </c>
      <c r="G536" s="63" t="e">
        <f>IF(SAISIE!#REF!="","",SAISIE!#REF!)</f>
        <v>#REF!</v>
      </c>
      <c r="H536" s="63"/>
      <c r="I536" s="63" t="e">
        <f>IF(SAISIE!#REF!="","",SAISIE!$Q43)</f>
        <v>#REF!</v>
      </c>
      <c r="J536" s="71" t="str">
        <f>IF(COUNTBLANK(SAISIE!$J$6:$M$6)=4,"",IF(SAISIE!#REF!="","",IF(SAISIE!J43&gt;0,SAISIE!$J$6,IF(SAISIE!K43&gt;0,SAISIE!$K$6,IF(SAISIE!L43&gt;0,SAISIE!$L$6,IF(SAISIE!M43&gt;0,SAISIE!$M$6,""))))))</f>
        <v/>
      </c>
      <c r="O536" s="59" t="s">
        <v>55</v>
      </c>
    </row>
    <row r="537" spans="1:15" x14ac:dyDescent="0.25">
      <c r="A537" s="63" t="e">
        <f>IF(AND(G537="",H537=""),"SUPPR",SAISIE!$B$3)</f>
        <v>#REF!</v>
      </c>
      <c r="B537" s="63" t="e">
        <f>IF(SAISIE!#REF!="","",IF(LEN(SAISIE!B43)=1,CONCATENATE("0",SAISIE!B43,"/",SAISIE!$B$4,"/",SAISIE!$B$5),CONCATENATE(SAISIE!B43,"/",SAISIE!$B$4,"/",SAISIE!$B$5)))</f>
        <v>#REF!</v>
      </c>
      <c r="C537" s="63" t="e">
        <f>IF(SAISIE!#REF!="","",SAISIE!#REF!)</f>
        <v>#REF!</v>
      </c>
      <c r="D537" s="63" t="e">
        <f>IF(SAISIE!#REF!="","",SAISIE!E43)</f>
        <v>#REF!</v>
      </c>
      <c r="E537" s="63" t="e">
        <f>IF(SAISIE!#REF!="","",SAISIE!F43)</f>
        <v>#REF!</v>
      </c>
      <c r="F537" s="70" t="e">
        <f>IF(SAISIE!#REF!="","",IF(SAISIE!$N43="","",SAISIE!$N43))</f>
        <v>#REF!</v>
      </c>
      <c r="G537" s="63" t="e">
        <f>IF(SAISIE!#REF!="","",SAISIE!#REF!)</f>
        <v>#REF!</v>
      </c>
      <c r="H537" s="63"/>
      <c r="I537" s="63" t="e">
        <f>IF(SAISIE!#REF!="","",SAISIE!$Q43)</f>
        <v>#REF!</v>
      </c>
      <c r="J537" s="71" t="str">
        <f>IF(COUNTBLANK(SAISIE!$J$6:$M$6)=4,"",IF(SAISIE!#REF!="","",IF(SAISIE!J43&gt;0,SAISIE!$J$6,IF(SAISIE!K43&gt;0,SAISIE!$K$6,IF(SAISIE!L43&gt;0,SAISIE!$L$6,IF(SAISIE!M43&gt;0,SAISIE!$M$6,""))))))</f>
        <v/>
      </c>
      <c r="O537" s="59" t="s">
        <v>56</v>
      </c>
    </row>
    <row r="538" spans="1:15" x14ac:dyDescent="0.25">
      <c r="A538" s="63" t="e">
        <f>IF(AND(G538="",H538=""),"SUPPR",SAISIE!$B$3)</f>
        <v>#REF!</v>
      </c>
      <c r="B538" s="63" t="e">
        <f>IF(SAISIE!#REF!="","",IF(LEN(SAISIE!B43)=1,CONCATENATE("0",SAISIE!B43,"/",SAISIE!$B$4,"/",SAISIE!$B$5),CONCATENATE(SAISIE!B43,"/",SAISIE!$B$4,"/",SAISIE!$B$5)))</f>
        <v>#REF!</v>
      </c>
      <c r="C538" s="63" t="e">
        <f>IF(SAISIE!#REF!="","",SAISIE!#REF!)</f>
        <v>#REF!</v>
      </c>
      <c r="D538" s="63" t="e">
        <f>IF(SAISIE!#REF!="","",SAISIE!E43)</f>
        <v>#REF!</v>
      </c>
      <c r="E538" s="63" t="e">
        <f>IF(SAISIE!#REF!="","",SAISIE!F43)</f>
        <v>#REF!</v>
      </c>
      <c r="F538" s="70" t="e">
        <f>IF(SAISIE!#REF!="","",IF(SAISIE!$N43="","",SAISIE!$N43))</f>
        <v>#REF!</v>
      </c>
      <c r="G538" s="63" t="e">
        <f>IF(SAISIE!#REF!="","",SAISIE!#REF!)</f>
        <v>#REF!</v>
      </c>
      <c r="H538" s="63"/>
      <c r="I538" s="63" t="e">
        <f>IF(SAISIE!#REF!="","",SAISIE!$Q43)</f>
        <v>#REF!</v>
      </c>
      <c r="J538" s="71" t="str">
        <f>IF(COUNTBLANK(SAISIE!$J$6:$M$6)=4,"",IF(SAISIE!#REF!="","",IF(SAISIE!J43&gt;0,SAISIE!$J$6,IF(SAISIE!K43&gt;0,SAISIE!$K$6,IF(SAISIE!L43&gt;0,SAISIE!$L$6,IF(SAISIE!M43&gt;0,SAISIE!$M$6,""))))))</f>
        <v/>
      </c>
      <c r="O538" s="59" t="s">
        <v>57</v>
      </c>
    </row>
    <row r="539" spans="1:15" x14ac:dyDescent="0.25">
      <c r="A539" s="63" t="e">
        <f>IF(AND(G539="",H539=""),"SUPPR",SAISIE!$B$3)</f>
        <v>#REF!</v>
      </c>
      <c r="B539" s="63" t="e">
        <f>IF(SAISIE!#REF!="","",IF(LEN(SAISIE!B43)=1,CONCATENATE("0",SAISIE!B43,"/",SAISIE!$B$4,"/",SAISIE!$B$5),CONCATENATE(SAISIE!B43,"/",SAISIE!$B$4,"/",SAISIE!$B$5)))</f>
        <v>#REF!</v>
      </c>
      <c r="C539" s="63" t="e">
        <f>IF(SAISIE!#REF!="","",SAISIE!#REF!)</f>
        <v>#REF!</v>
      </c>
      <c r="D539" s="63" t="e">
        <f>IF(SAISIE!#REF!="","",SAISIE!E43)</f>
        <v>#REF!</v>
      </c>
      <c r="E539" s="63" t="e">
        <f>IF(SAISIE!#REF!="","",SAISIE!F43)</f>
        <v>#REF!</v>
      </c>
      <c r="F539" s="70" t="e">
        <f>IF(SAISIE!#REF!="","",IF(SAISIE!$N43="","",SAISIE!$N43))</f>
        <v>#REF!</v>
      </c>
      <c r="G539" s="63" t="e">
        <f>IF(SAISIE!#REF!="","",SAISIE!#REF!)</f>
        <v>#REF!</v>
      </c>
      <c r="H539" s="63"/>
      <c r="I539" s="63" t="e">
        <f>IF(SAISIE!#REF!="","",SAISIE!$Q43)</f>
        <v>#REF!</v>
      </c>
      <c r="J539" s="71" t="str">
        <f>IF(COUNTBLANK(SAISIE!$J$6:$M$6)=4,"",IF(SAISIE!#REF!="","",IF(SAISIE!J43&gt;0,SAISIE!$J$6,IF(SAISIE!K43&gt;0,SAISIE!$K$6,IF(SAISIE!L43&gt;0,SAISIE!$L$6,IF(SAISIE!M43&gt;0,SAISIE!$M$6,""))))))</f>
        <v/>
      </c>
      <c r="O539" s="59" t="s">
        <v>58</v>
      </c>
    </row>
    <row r="540" spans="1:15" x14ac:dyDescent="0.25">
      <c r="A540" s="63" t="e">
        <f>IF(AND(G540="",H540=""),"SUPPR",SAISIE!$B$3)</f>
        <v>#REF!</v>
      </c>
      <c r="B540" s="63" t="e">
        <f>IF(SAISIE!#REF!="","",IF(LEN(SAISIE!B43)=1,CONCATENATE("0",SAISIE!B43,"/",SAISIE!$B$4,"/",SAISIE!$B$5),CONCATENATE(SAISIE!B43,"/",SAISIE!$B$4,"/",SAISIE!$B$5)))</f>
        <v>#REF!</v>
      </c>
      <c r="C540" s="63" t="e">
        <f>IF(SAISIE!#REF!="","",SAISIE!#REF!)</f>
        <v>#REF!</v>
      </c>
      <c r="D540" s="63" t="e">
        <f>IF(SAISIE!#REF!="","",SAISIE!E43)</f>
        <v>#REF!</v>
      </c>
      <c r="E540" s="63" t="e">
        <f>IF(SAISIE!#REF!="","",SAISIE!F43)</f>
        <v>#REF!</v>
      </c>
      <c r="F540" s="70" t="e">
        <f>IF(SAISIE!#REF!="","",IF(SAISIE!$N43="","",SAISIE!$N43))</f>
        <v>#REF!</v>
      </c>
      <c r="G540" s="63" t="e">
        <f>IF(SAISIE!#REF!="","",SAISIE!#REF!)</f>
        <v>#REF!</v>
      </c>
      <c r="H540" s="63"/>
      <c r="I540" s="63" t="e">
        <f>IF(SAISIE!#REF!="","",SAISIE!$Q43)</f>
        <v>#REF!</v>
      </c>
      <c r="J540" s="71" t="str">
        <f>IF(COUNTBLANK(SAISIE!$J$6:$M$6)=4,"",IF(SAISIE!#REF!="","",IF(SAISIE!J43&gt;0,SAISIE!$J$6,IF(SAISIE!K43&gt;0,SAISIE!$K$6,IF(SAISIE!L43&gt;0,SAISIE!$L$6,IF(SAISIE!M43&gt;0,SAISIE!$M$6,""))))))</f>
        <v/>
      </c>
      <c r="O540" s="59" t="s">
        <v>59</v>
      </c>
    </row>
    <row r="541" spans="1:15" x14ac:dyDescent="0.25">
      <c r="A541" s="63" t="e">
        <f>IF(AND(G541="",H541=""),"SUPPR",SAISIE!$B$3)</f>
        <v>#REF!</v>
      </c>
      <c r="B541" s="63" t="e">
        <f>IF(SAISIE!#REF!="","",IF(LEN(SAISIE!B43)=1,CONCATENATE("0",SAISIE!B43,"/",SAISIE!$B$4,"/",SAISIE!$B$5),CONCATENATE(SAISIE!B43,"/",SAISIE!$B$4,"/",SAISIE!$B$5)))</f>
        <v>#REF!</v>
      </c>
      <c r="C541" s="63" t="e">
        <f>IF(SAISIE!#REF!="","",SAISIE!#REF!)</f>
        <v>#REF!</v>
      </c>
      <c r="D541" s="63" t="e">
        <f>IF(SAISIE!#REF!="","",SAISIE!E43)</f>
        <v>#REF!</v>
      </c>
      <c r="E541" s="63" t="e">
        <f>IF(SAISIE!#REF!="","",SAISIE!F43)</f>
        <v>#REF!</v>
      </c>
      <c r="F541" s="70" t="e">
        <f>IF(SAISIE!#REF!="","",IF(SAISIE!$N43="","",SAISIE!$N43))</f>
        <v>#REF!</v>
      </c>
      <c r="G541" s="63" t="e">
        <f>IF(SAISIE!#REF!="","",SAISIE!#REF!)</f>
        <v>#REF!</v>
      </c>
      <c r="H541" s="63"/>
      <c r="I541" s="63" t="e">
        <f>IF(SAISIE!#REF!="","",SAISIE!$Q43)</f>
        <v>#REF!</v>
      </c>
      <c r="J541" s="71" t="str">
        <f>IF(COUNTBLANK(SAISIE!$J$6:$M$6)=4,"",IF(SAISIE!#REF!="","",IF(SAISIE!J43&gt;0,SAISIE!$J$6,IF(SAISIE!K43&gt;0,SAISIE!$K$6,IF(SAISIE!L43&gt;0,SAISIE!$L$6,IF(SAISIE!M43&gt;0,SAISIE!$M$6,""))))))</f>
        <v/>
      </c>
      <c r="O541" s="59" t="s">
        <v>60</v>
      </c>
    </row>
    <row r="542" spans="1:15" x14ac:dyDescent="0.25">
      <c r="A542" s="63" t="str">
        <f>IF(AND(G542="",H542=""),"SUPPR",SAISIE!$B$3)</f>
        <v>SUPPR</v>
      </c>
      <c r="B542" s="63" t="str">
        <f>IF(SAISIE!J43="","",IF(LEN(SAISIE!B43)=1,CONCATENATE("0",SAISIE!B43,"/",SAISIE!$B$4,"/",SAISIE!$B$5),CONCATENATE(SAISIE!B43,"/",SAISIE!$B$4,"/",SAISIE!$B$5)))</f>
        <v/>
      </c>
      <c r="C542" s="63" t="str">
        <f>IF(SAISIE!J43="","",SAISIE!$J$8)</f>
        <v/>
      </c>
      <c r="D542" s="63" t="str">
        <f>IF(SAISIE!J43="","",SAISIE!E43)</f>
        <v/>
      </c>
      <c r="E542" s="63" t="str">
        <f>IF(SAISIE!J43="","",SAISIE!F43)</f>
        <v/>
      </c>
      <c r="F542" s="70" t="str">
        <f>IF(SAISIE!$J43="","",IF(SAISIE!$N43="","",SAISIE!$N43))</f>
        <v/>
      </c>
      <c r="G542" s="63" t="str">
        <f>IF(SAISIE!J43="","",SAISIE!J43)</f>
        <v/>
      </c>
      <c r="H542" s="63"/>
      <c r="I542" s="72"/>
      <c r="J542" s="71"/>
      <c r="O542" s="73"/>
    </row>
    <row r="543" spans="1:15" x14ac:dyDescent="0.25">
      <c r="A543" s="63" t="str">
        <f>IF(AND(G543="",H543=""),"SUPPR",SAISIE!$B$3)</f>
        <v>SUPPR</v>
      </c>
      <c r="B543" s="63" t="str">
        <f>IF(SAISIE!K43="","",IF(LEN(SAISIE!B43)=1,CONCATENATE("0",SAISIE!B43,"/",SAISIE!$B$4,"/",SAISIE!$B$5),CONCATENATE(SAISIE!B43,"/",SAISIE!$B$4,"/",SAISIE!$B$5)))</f>
        <v/>
      </c>
      <c r="C543" s="63" t="str">
        <f>IF(SAISIE!K43="","",SAISIE!$K$8)</f>
        <v/>
      </c>
      <c r="D543" s="63" t="str">
        <f>IF(SAISIE!K43="","",SAISIE!E43)</f>
        <v/>
      </c>
      <c r="E543" s="63" t="str">
        <f>IF(SAISIE!K43="","",SAISIE!F43)</f>
        <v/>
      </c>
      <c r="F543" s="70" t="str">
        <f>IF(SAISIE!$K43="","",IF(SAISIE!$N43="","",SAISIE!$N43))</f>
        <v/>
      </c>
      <c r="G543" s="63" t="str">
        <f>IF(SAISIE!K43="","",SAISIE!K43)</f>
        <v/>
      </c>
      <c r="H543" s="63"/>
      <c r="I543" s="72"/>
      <c r="J543" s="71"/>
    </row>
    <row r="544" spans="1:15" x14ac:dyDescent="0.25">
      <c r="A544" s="63" t="str">
        <f>IF(AND(G544="",H544=""),"SUPPR",SAISIE!$B$3)</f>
        <v>SUPPR</v>
      </c>
      <c r="B544" s="63" t="str">
        <f>IF(SAISIE!L43="","",IF(LEN(SAISIE!B43)=1,CONCATENATE("0",SAISIE!B43,"/",SAISIE!$B$4,"/",SAISIE!$B$5),CONCATENATE(SAISIE!B43,"/",SAISIE!$B$4,"/",SAISIE!$B$5)))</f>
        <v/>
      </c>
      <c r="C544" s="63" t="str">
        <f>IF(SAISIE!L43="","",SAISIE!$L$8)</f>
        <v/>
      </c>
      <c r="D544" s="63" t="str">
        <f>IF(SAISIE!L43="","",SAISIE!E43)</f>
        <v/>
      </c>
      <c r="E544" s="63" t="str">
        <f>IF(SAISIE!L43="","",SAISIE!F43)</f>
        <v/>
      </c>
      <c r="F544" s="70" t="str">
        <f>IF(SAISIE!$L43="","",IF(SAISIE!$N43="","",SAISIE!$N43))</f>
        <v/>
      </c>
      <c r="G544" s="63" t="str">
        <f>IF(SAISIE!L43="","",SAISIE!L43)</f>
        <v/>
      </c>
      <c r="H544" s="63"/>
      <c r="I544" s="72"/>
      <c r="J544" s="71"/>
    </row>
    <row r="545" spans="1:15" x14ac:dyDescent="0.25">
      <c r="A545" s="63" t="str">
        <f>IF(AND(G545="",H545=""),"SUPPR",SAISIE!$B$3)</f>
        <v>SUPPR</v>
      </c>
      <c r="B545" s="63" t="str">
        <f>IF(SAISIE!M43="","",IF(LEN(SAISIE!B43)=1,CONCATENATE("0",SAISIE!B43,"/",SAISIE!$B$4,"/",SAISIE!$B$5),CONCATENATE(SAISIE!B43,"/",SAISIE!$B$4,"/",SAISIE!$B$5)))</f>
        <v/>
      </c>
      <c r="C545" s="74" t="str">
        <f>IF(SAISIE!M43="","",SAISIE!$M$8)</f>
        <v/>
      </c>
      <c r="D545" s="74" t="str">
        <f>IF(SAISIE!M43="","",SAISIE!E43)</f>
        <v/>
      </c>
      <c r="E545" s="74" t="str">
        <f>IF(SAISIE!M43="","",SAISIE!F43)</f>
        <v/>
      </c>
      <c r="F545" s="75" t="str">
        <f>IF(SAISIE!$M43="","",IF(SAISIE!$N43="","",SAISIE!$N43))</f>
        <v/>
      </c>
      <c r="G545" s="74" t="str">
        <f>IF(SAISIE!M43="","",SAISIE!M43)</f>
        <v/>
      </c>
      <c r="H545" s="76"/>
      <c r="I545" s="77"/>
      <c r="J545" s="78"/>
    </row>
    <row r="546" spans="1:15" x14ac:dyDescent="0.25">
      <c r="A546" s="63" t="str">
        <f>IF(AND(G546="",H546=""),"SUPPR",SAISIE!$B$3)</f>
        <v>SUPPR</v>
      </c>
      <c r="B546" s="64" t="str">
        <f>IF(SAISIE!B44="","",IF(LEN(SAISIE!B44)=1,CONCATENATE("0",SAISIE!B44,"/",SAISIE!$B$4,"/",SAISIE!$B$5),CONCATENATE(SAISIE!B44,"/",SAISIE!$B$4,"/",SAISIE!$B$5)))</f>
        <v/>
      </c>
      <c r="C546" s="64" t="str">
        <f>IF(SAISIE!B44="","",CONCATENATE($M$2,SAISIE!C44))</f>
        <v/>
      </c>
      <c r="D546" s="64" t="str">
        <f>IF(SAISIE!B44="","",SAISIE!E44)</f>
        <v/>
      </c>
      <c r="E546" s="64" t="str">
        <f>IF(SAISIE!B44="","",SAISIE!F44)</f>
        <v/>
      </c>
      <c r="F546" s="65" t="str">
        <f>IF(A546="SUPPR","",IF(SAISIE!$N44="","",SAISIE!$N44))</f>
        <v/>
      </c>
      <c r="G546" s="64"/>
      <c r="H546" s="64" t="str">
        <f>IF(SAISIE!B44="","",SAISIE!D44)</f>
        <v/>
      </c>
      <c r="I546" s="66"/>
      <c r="J546" s="67" t="str">
        <f>IF(AZ44="","","")</f>
        <v/>
      </c>
      <c r="O546" s="69">
        <f>O530+1</f>
        <v>44</v>
      </c>
    </row>
    <row r="547" spans="1:15" x14ac:dyDescent="0.25">
      <c r="A547" s="63" t="str">
        <f>IF(AND(G547="",H547=""),"SUPPR",SAISIE!$B$3)</f>
        <v>SUPPR</v>
      </c>
      <c r="B547" s="63" t="str">
        <f>IF(SAISIE!P44="","",IF(LEN(SAISIE!B44)=1,CONCATENATE("0",SAISIE!B44,"/",SAISIE!$B$4,"/",SAISIE!$B$5),CONCATENATE(SAISIE!B44,"/",SAISIE!$B$4,"/",SAISIE!$B$5)))</f>
        <v/>
      </c>
      <c r="C547" s="63" t="str">
        <f>IF(SAISIE!P44="","",SAISIE!O44)</f>
        <v/>
      </c>
      <c r="D547" s="63" t="str">
        <f>IF(SAISIE!P44="","",SAISIE!E44)</f>
        <v/>
      </c>
      <c r="E547" s="63" t="str">
        <f>IF(SAISIE!P44="","",SAISIE!F44)</f>
        <v/>
      </c>
      <c r="F547" s="70" t="str">
        <f>IF(SAISIE!$P44="","",IF(SAISIE!$N44="","",SAISIE!$N44))</f>
        <v/>
      </c>
      <c r="G547" s="63" t="str">
        <f>IF(SAISIE!P44="","",SAISIE!P44)</f>
        <v/>
      </c>
      <c r="H547" s="63"/>
      <c r="I547" s="63" t="str">
        <f>IF(SAISIE!$P44="","",SAISIE!$Q44)</f>
        <v/>
      </c>
      <c r="J547" s="71" t="str">
        <f>IF(COUNTBLANK(SAISIE!$J$6:$M$6)=4,"",IF(SAISIE!P44="","",IF(SAISIE!J44&gt;0,SAISIE!$J$6,IF(SAISIE!K44&gt;0,SAISIE!$K$6,IF(SAISIE!L44&gt;0,SAISIE!$L$6,IF(SAISIE!M44&gt;0,SAISIE!$M$6,""))))))</f>
        <v/>
      </c>
      <c r="O547" s="59" t="s">
        <v>50</v>
      </c>
    </row>
    <row r="548" spans="1:15" x14ac:dyDescent="0.25">
      <c r="A548" s="63" t="str">
        <f>IF(AND(G548="",H548=""),"SUPPR",SAISIE!$B$3)</f>
        <v>SUPPR</v>
      </c>
      <c r="B548" s="63" t="str">
        <f>IF(SAISIE!G44="","",IF(LEN(SAISIE!B44)=1,CONCATENATE("0",SAISIE!B44,"/",SAISIE!$B$4,"/",SAISIE!$B$5),CONCATENATE(SAISIE!B44,"/",SAISIE!$B$4,"/",SAISIE!$B$5)))</f>
        <v/>
      </c>
      <c r="C548" s="63" t="str">
        <f>IF(SAISIE!G44="","",SAISIE!$G$8)</f>
        <v/>
      </c>
      <c r="D548" s="63" t="str">
        <f>IF(SAISIE!G44="","",SAISIE!E44)</f>
        <v/>
      </c>
      <c r="E548" s="63" t="str">
        <f>IF(SAISIE!G44="","",SAISIE!F44)</f>
        <v/>
      </c>
      <c r="F548" s="70" t="str">
        <f>IF(SAISIE!$G44="","",IF(SAISIE!$N44="","",SAISIE!$N44))</f>
        <v/>
      </c>
      <c r="G548" s="63" t="str">
        <f>IF(SAISIE!G44="","",SAISIE!G44)</f>
        <v/>
      </c>
      <c r="H548" s="63"/>
      <c r="I548" s="63" t="str">
        <f>IF(SAISIE!$G44="","",SAISIE!$Q44)</f>
        <v/>
      </c>
      <c r="J548" s="71" t="str">
        <f>IF(COUNTBLANK(SAISIE!$J$6:$M$6)=4,"",IF(SAISIE!G44="","",IF(SAISIE!J44&gt;0,SAISIE!$J$6,IF(SAISIE!K44&gt;0,SAISIE!$K$6,IF(SAISIE!L44&gt;0,SAISIE!$L$6,IF(SAISIE!M44&gt;0,SAISIE!$M$6,""))))))</f>
        <v/>
      </c>
      <c r="O548" s="59" t="s">
        <v>51</v>
      </c>
    </row>
    <row r="549" spans="1:15" x14ac:dyDescent="0.25">
      <c r="A549" s="63" t="str">
        <f>IF(AND(G549="",H549=""),"SUPPR",SAISIE!$B$3)</f>
        <v>SUPPR</v>
      </c>
      <c r="B549" s="63" t="str">
        <f>IF(SAISIE!H44="","",IF(LEN(SAISIE!B44)=1,CONCATENATE("0",SAISIE!B44,"/",SAISIE!$B$4,"/",SAISIE!$B$5),CONCATENATE(SAISIE!B44,"/",SAISIE!$B$4,"/",SAISIE!$B$5)))</f>
        <v/>
      </c>
      <c r="C549" s="63" t="str">
        <f>IF(SAISIE!H44="","",SAISIE!$H$8)</f>
        <v/>
      </c>
      <c r="D549" s="63" t="str">
        <f>IF(SAISIE!H44="","",SAISIE!E44)</f>
        <v/>
      </c>
      <c r="E549" s="63" t="str">
        <f>IF(SAISIE!H44="","",SAISIE!F44)</f>
        <v/>
      </c>
      <c r="F549" s="70" t="str">
        <f>IF(SAISIE!$H44="","",IF(SAISIE!$N44="","",SAISIE!$N44))</f>
        <v/>
      </c>
      <c r="G549" s="63" t="str">
        <f>IF(SAISIE!H44="","",SAISIE!H44)</f>
        <v/>
      </c>
      <c r="H549" s="63"/>
      <c r="I549" s="63" t="str">
        <f>IF(SAISIE!$H44="","",SAISIE!$Q44)</f>
        <v/>
      </c>
      <c r="J549" s="71" t="str">
        <f>IF(COUNTBLANK(SAISIE!$J$6:$M$6)=4,"",IF(SAISIE!H44="","",IF(SAISIE!J44&gt;0,SAISIE!$J$6,IF(SAISIE!K44&gt;0,SAISIE!$K$6,IF(SAISIE!L44&gt;0,SAISIE!$L$6,IF(SAISIE!M44&gt;0,SAISIE!$M$6,""))))))</f>
        <v/>
      </c>
      <c r="O549" s="59" t="s">
        <v>52</v>
      </c>
    </row>
    <row r="550" spans="1:15" x14ac:dyDescent="0.25">
      <c r="A550" s="63" t="str">
        <f>IF(AND(G550="",H550=""),"SUPPR",SAISIE!$B$3)</f>
        <v>SUPPR</v>
      </c>
      <c r="B550" s="63" t="str">
        <f>IF(SAISIE!I44="","",IF(LEN(SAISIE!B44)=1,CONCATENATE("0",SAISIE!B44,"/",SAISIE!$B$4,"/",SAISIE!$B$5),CONCATENATE(SAISIE!B44,"/",SAISIE!$B$4,"/",SAISIE!$B$5)))</f>
        <v/>
      </c>
      <c r="C550" s="63" t="str">
        <f>IF(SAISIE!I44="","",SAISIE!$I$8)</f>
        <v/>
      </c>
      <c r="D550" s="63" t="str">
        <f>IF(SAISIE!I44="","",SAISIE!E44)</f>
        <v/>
      </c>
      <c r="E550" s="63" t="str">
        <f>IF(SAISIE!I44="","",SAISIE!F44)</f>
        <v/>
      </c>
      <c r="F550" s="70" t="str">
        <f>IF(SAISIE!$I44="","",IF(SAISIE!$N44="","",SAISIE!$N44))</f>
        <v/>
      </c>
      <c r="G550" s="63" t="str">
        <f>IF(SAISIE!I44="","",SAISIE!I44)</f>
        <v/>
      </c>
      <c r="H550" s="63"/>
      <c r="I550" s="63" t="str">
        <f>IF(SAISIE!$I44="","",SAISIE!$Q44)</f>
        <v/>
      </c>
      <c r="J550" s="71" t="str">
        <f>IF(COUNTBLANK(SAISIE!$J$6:$M$6)=4,"",IF(SAISIE!I44="","",IF(SAISIE!J44&gt;0,SAISIE!$J$6,IF(SAISIE!K44&gt;0,SAISIE!$K$6,IF(SAISIE!L44&gt;0,SAISIE!$L$6,IF(SAISIE!M44&gt;0,SAISIE!$M$6,""))))))</f>
        <v/>
      </c>
      <c r="O550" s="59" t="s">
        <v>53</v>
      </c>
    </row>
    <row r="551" spans="1:15" x14ac:dyDescent="0.25">
      <c r="A551" s="63" t="e">
        <f>IF(AND(G551="",H551=""),"SUPPR",SAISIE!$B$3)</f>
        <v>#REF!</v>
      </c>
      <c r="B551" s="63" t="e">
        <f>IF(SAISIE!#REF!="","",IF(LEN(SAISIE!B44)=1,CONCATENATE("0",SAISIE!B44,"/",SAISIE!$B$4,"/",SAISIE!$B$5),CONCATENATE(SAISIE!B44,"/",SAISIE!$B$4,"/",SAISIE!$B$5)))</f>
        <v>#REF!</v>
      </c>
      <c r="C551" s="63" t="e">
        <f>IF(SAISIE!#REF!="","",SAISIE!#REF!)</f>
        <v>#REF!</v>
      </c>
      <c r="D551" s="63" t="e">
        <f>IF(SAISIE!#REF!="","",SAISIE!E44)</f>
        <v>#REF!</v>
      </c>
      <c r="E551" s="63" t="e">
        <f>IF(SAISIE!#REF!="","",SAISIE!F44)</f>
        <v>#REF!</v>
      </c>
      <c r="F551" s="70" t="e">
        <f>IF(SAISIE!#REF!="","",IF(SAISIE!$N44="","",SAISIE!$N44))</f>
        <v>#REF!</v>
      </c>
      <c r="G551" s="63" t="e">
        <f>IF(SAISIE!#REF!="","",SAISIE!#REF!)</f>
        <v>#REF!</v>
      </c>
      <c r="H551" s="63"/>
      <c r="I551" s="63" t="e">
        <f>IF(SAISIE!#REF!="","",SAISIE!$Q44)</f>
        <v>#REF!</v>
      </c>
      <c r="J551" s="71" t="str">
        <f>IF(COUNTBLANK(SAISIE!$J$6:$M$6)=4,"",IF(SAISIE!#REF!="","",IF(SAISIE!J44&gt;0,SAISIE!$J$6,IF(SAISIE!K44&gt;0,SAISIE!$K$6,IF(SAISIE!L44&gt;0,SAISIE!$L$6,IF(SAISIE!M44&gt;0,SAISIE!$M$6,""))))))</f>
        <v/>
      </c>
      <c r="O551" s="59" t="s">
        <v>54</v>
      </c>
    </row>
    <row r="552" spans="1:15" x14ac:dyDescent="0.25">
      <c r="A552" s="63" t="e">
        <f>IF(AND(G552="",H552=""),"SUPPR",SAISIE!$B$3)</f>
        <v>#REF!</v>
      </c>
      <c r="B552" s="63" t="e">
        <f>IF(SAISIE!#REF!="","",IF(LEN(SAISIE!B44)=1,CONCATENATE("0",SAISIE!B44,"/",SAISIE!$B$4,"/",SAISIE!$B$5),CONCATENATE(SAISIE!B44,"/",SAISIE!$B$4,"/",SAISIE!$B$5)))</f>
        <v>#REF!</v>
      </c>
      <c r="C552" s="63" t="e">
        <f>IF(SAISIE!#REF!="","",SAISIE!#REF!)</f>
        <v>#REF!</v>
      </c>
      <c r="D552" s="63" t="e">
        <f>IF(SAISIE!#REF!="","",SAISIE!E44)</f>
        <v>#REF!</v>
      </c>
      <c r="E552" s="63" t="e">
        <f>IF(SAISIE!#REF!="","",SAISIE!F44)</f>
        <v>#REF!</v>
      </c>
      <c r="F552" s="70" t="e">
        <f>IF(SAISIE!#REF!="","",IF(SAISIE!$N44="","",SAISIE!$N44))</f>
        <v>#REF!</v>
      </c>
      <c r="G552" s="63" t="e">
        <f>IF(SAISIE!#REF!="","",SAISIE!#REF!)</f>
        <v>#REF!</v>
      </c>
      <c r="H552" s="63"/>
      <c r="I552" s="63" t="e">
        <f>IF(SAISIE!#REF!="","",SAISIE!$Q44)</f>
        <v>#REF!</v>
      </c>
      <c r="J552" s="71" t="str">
        <f>IF(COUNTBLANK(SAISIE!$J$6:$M$6)=4,"",IF(SAISIE!#REF!="","",IF(SAISIE!J44&gt;0,SAISIE!$J$6,IF(SAISIE!K44&gt;0,SAISIE!$K$6,IF(SAISIE!L44&gt;0,SAISIE!$L$6,IF(SAISIE!M44&gt;0,SAISIE!$M$6,""))))))</f>
        <v/>
      </c>
      <c r="O552" s="59" t="s">
        <v>55</v>
      </c>
    </row>
    <row r="553" spans="1:15" x14ac:dyDescent="0.25">
      <c r="A553" s="63" t="e">
        <f>IF(AND(G553="",H553=""),"SUPPR",SAISIE!$B$3)</f>
        <v>#REF!</v>
      </c>
      <c r="B553" s="63" t="e">
        <f>IF(SAISIE!#REF!="","",IF(LEN(SAISIE!B44)=1,CONCATENATE("0",SAISIE!B44,"/",SAISIE!$B$4,"/",SAISIE!$B$5),CONCATENATE(SAISIE!B44,"/",SAISIE!$B$4,"/",SAISIE!$B$5)))</f>
        <v>#REF!</v>
      </c>
      <c r="C553" s="63" t="e">
        <f>IF(SAISIE!#REF!="","",SAISIE!#REF!)</f>
        <v>#REF!</v>
      </c>
      <c r="D553" s="63" t="e">
        <f>IF(SAISIE!#REF!="","",SAISIE!E44)</f>
        <v>#REF!</v>
      </c>
      <c r="E553" s="63" t="e">
        <f>IF(SAISIE!#REF!="","",SAISIE!F44)</f>
        <v>#REF!</v>
      </c>
      <c r="F553" s="70" t="e">
        <f>IF(SAISIE!#REF!="","",IF(SAISIE!$N44="","",SAISIE!$N44))</f>
        <v>#REF!</v>
      </c>
      <c r="G553" s="63" t="e">
        <f>IF(SAISIE!#REF!="","",SAISIE!#REF!)</f>
        <v>#REF!</v>
      </c>
      <c r="H553" s="63"/>
      <c r="I553" s="63" t="e">
        <f>IF(SAISIE!#REF!="","",SAISIE!$Q44)</f>
        <v>#REF!</v>
      </c>
      <c r="J553" s="71" t="str">
        <f>IF(COUNTBLANK(SAISIE!$J$6:$M$6)=4,"",IF(SAISIE!#REF!="","",IF(SAISIE!J44&gt;0,SAISIE!$J$6,IF(SAISIE!K44&gt;0,SAISIE!$K$6,IF(SAISIE!L44&gt;0,SAISIE!$L$6,IF(SAISIE!M44&gt;0,SAISIE!$M$6,""))))))</f>
        <v/>
      </c>
      <c r="O553" s="59" t="s">
        <v>56</v>
      </c>
    </row>
    <row r="554" spans="1:15" x14ac:dyDescent="0.25">
      <c r="A554" s="63" t="e">
        <f>IF(AND(G554="",H554=""),"SUPPR",SAISIE!$B$3)</f>
        <v>#REF!</v>
      </c>
      <c r="B554" s="63" t="e">
        <f>IF(SAISIE!#REF!="","",IF(LEN(SAISIE!B44)=1,CONCATENATE("0",SAISIE!B44,"/",SAISIE!$B$4,"/",SAISIE!$B$5),CONCATENATE(SAISIE!B44,"/",SAISIE!$B$4,"/",SAISIE!$B$5)))</f>
        <v>#REF!</v>
      </c>
      <c r="C554" s="63" t="e">
        <f>IF(SAISIE!#REF!="","",SAISIE!#REF!)</f>
        <v>#REF!</v>
      </c>
      <c r="D554" s="63" t="e">
        <f>IF(SAISIE!#REF!="","",SAISIE!E44)</f>
        <v>#REF!</v>
      </c>
      <c r="E554" s="63" t="e">
        <f>IF(SAISIE!#REF!="","",SAISIE!F44)</f>
        <v>#REF!</v>
      </c>
      <c r="F554" s="70" t="e">
        <f>IF(SAISIE!#REF!="","",IF(SAISIE!$N44="","",SAISIE!$N44))</f>
        <v>#REF!</v>
      </c>
      <c r="G554" s="63" t="e">
        <f>IF(SAISIE!#REF!="","",SAISIE!#REF!)</f>
        <v>#REF!</v>
      </c>
      <c r="H554" s="63"/>
      <c r="I554" s="63" t="e">
        <f>IF(SAISIE!#REF!="","",SAISIE!$Q44)</f>
        <v>#REF!</v>
      </c>
      <c r="J554" s="71" t="str">
        <f>IF(COUNTBLANK(SAISIE!$J$6:$M$6)=4,"",IF(SAISIE!#REF!="","",IF(SAISIE!J44&gt;0,SAISIE!$J$6,IF(SAISIE!K44&gt;0,SAISIE!$K$6,IF(SAISIE!L44&gt;0,SAISIE!$L$6,IF(SAISIE!M44&gt;0,SAISIE!$M$6,""))))))</f>
        <v/>
      </c>
      <c r="O554" s="59" t="s">
        <v>57</v>
      </c>
    </row>
    <row r="555" spans="1:15" x14ac:dyDescent="0.25">
      <c r="A555" s="63" t="e">
        <f>IF(AND(G555="",H555=""),"SUPPR",SAISIE!$B$3)</f>
        <v>#REF!</v>
      </c>
      <c r="B555" s="63" t="e">
        <f>IF(SAISIE!#REF!="","",IF(LEN(SAISIE!B44)=1,CONCATENATE("0",SAISIE!B44,"/",SAISIE!$B$4,"/",SAISIE!$B$5),CONCATENATE(SAISIE!B44,"/",SAISIE!$B$4,"/",SAISIE!$B$5)))</f>
        <v>#REF!</v>
      </c>
      <c r="C555" s="63" t="e">
        <f>IF(SAISIE!#REF!="","",SAISIE!#REF!)</f>
        <v>#REF!</v>
      </c>
      <c r="D555" s="63" t="e">
        <f>IF(SAISIE!#REF!="","",SAISIE!E44)</f>
        <v>#REF!</v>
      </c>
      <c r="E555" s="63" t="e">
        <f>IF(SAISIE!#REF!="","",SAISIE!F44)</f>
        <v>#REF!</v>
      </c>
      <c r="F555" s="70" t="e">
        <f>IF(SAISIE!#REF!="","",IF(SAISIE!$N44="","",SAISIE!$N44))</f>
        <v>#REF!</v>
      </c>
      <c r="G555" s="63" t="e">
        <f>IF(SAISIE!#REF!="","",SAISIE!#REF!)</f>
        <v>#REF!</v>
      </c>
      <c r="H555" s="63"/>
      <c r="I555" s="63" t="e">
        <f>IF(SAISIE!#REF!="","",SAISIE!$Q44)</f>
        <v>#REF!</v>
      </c>
      <c r="J555" s="71" t="str">
        <f>IF(COUNTBLANK(SAISIE!$J$6:$M$6)=4,"",IF(SAISIE!#REF!="","",IF(SAISIE!J44&gt;0,SAISIE!$J$6,IF(SAISIE!K44&gt;0,SAISIE!$K$6,IF(SAISIE!L44&gt;0,SAISIE!$L$6,IF(SAISIE!M44&gt;0,SAISIE!$M$6,""))))))</f>
        <v/>
      </c>
      <c r="O555" s="59" t="s">
        <v>58</v>
      </c>
    </row>
    <row r="556" spans="1:15" x14ac:dyDescent="0.25">
      <c r="A556" s="63" t="e">
        <f>IF(AND(G556="",H556=""),"SUPPR",SAISIE!$B$3)</f>
        <v>#REF!</v>
      </c>
      <c r="B556" s="63" t="e">
        <f>IF(SAISIE!#REF!="","",IF(LEN(SAISIE!B44)=1,CONCATENATE("0",SAISIE!B44,"/",SAISIE!$B$4,"/",SAISIE!$B$5),CONCATENATE(SAISIE!B44,"/",SAISIE!$B$4,"/",SAISIE!$B$5)))</f>
        <v>#REF!</v>
      </c>
      <c r="C556" s="63" t="e">
        <f>IF(SAISIE!#REF!="","",SAISIE!#REF!)</f>
        <v>#REF!</v>
      </c>
      <c r="D556" s="63" t="e">
        <f>IF(SAISIE!#REF!="","",SAISIE!E44)</f>
        <v>#REF!</v>
      </c>
      <c r="E556" s="63" t="e">
        <f>IF(SAISIE!#REF!="","",SAISIE!F44)</f>
        <v>#REF!</v>
      </c>
      <c r="F556" s="70" t="e">
        <f>IF(SAISIE!#REF!="","",IF(SAISIE!$N44="","",SAISIE!$N44))</f>
        <v>#REF!</v>
      </c>
      <c r="G556" s="63" t="e">
        <f>IF(SAISIE!#REF!="","",SAISIE!#REF!)</f>
        <v>#REF!</v>
      </c>
      <c r="H556" s="63"/>
      <c r="I556" s="63" t="e">
        <f>IF(SAISIE!#REF!="","",SAISIE!$Q44)</f>
        <v>#REF!</v>
      </c>
      <c r="J556" s="71" t="str">
        <f>IF(COUNTBLANK(SAISIE!$J$6:$M$6)=4,"",IF(SAISIE!#REF!="","",IF(SAISIE!J44&gt;0,SAISIE!$J$6,IF(SAISIE!K44&gt;0,SAISIE!$K$6,IF(SAISIE!L44&gt;0,SAISIE!$L$6,IF(SAISIE!M44&gt;0,SAISIE!$M$6,""))))))</f>
        <v/>
      </c>
      <c r="O556" s="59" t="s">
        <v>59</v>
      </c>
    </row>
    <row r="557" spans="1:15" x14ac:dyDescent="0.25">
      <c r="A557" s="63" t="e">
        <f>IF(AND(G557="",H557=""),"SUPPR",SAISIE!$B$3)</f>
        <v>#REF!</v>
      </c>
      <c r="B557" s="63" t="e">
        <f>IF(SAISIE!#REF!="","",IF(LEN(SAISIE!B44)=1,CONCATENATE("0",SAISIE!B44,"/",SAISIE!$B$4,"/",SAISIE!$B$5),CONCATENATE(SAISIE!B44,"/",SAISIE!$B$4,"/",SAISIE!$B$5)))</f>
        <v>#REF!</v>
      </c>
      <c r="C557" s="63" t="e">
        <f>IF(SAISIE!#REF!="","",SAISIE!#REF!)</f>
        <v>#REF!</v>
      </c>
      <c r="D557" s="63" t="e">
        <f>IF(SAISIE!#REF!="","",SAISIE!E44)</f>
        <v>#REF!</v>
      </c>
      <c r="E557" s="63" t="e">
        <f>IF(SAISIE!#REF!="","",SAISIE!F44)</f>
        <v>#REF!</v>
      </c>
      <c r="F557" s="70" t="e">
        <f>IF(SAISIE!#REF!="","",IF(SAISIE!$N44="","",SAISIE!$N44))</f>
        <v>#REF!</v>
      </c>
      <c r="G557" s="63" t="e">
        <f>IF(SAISIE!#REF!="","",SAISIE!#REF!)</f>
        <v>#REF!</v>
      </c>
      <c r="H557" s="63"/>
      <c r="I557" s="63" t="e">
        <f>IF(SAISIE!#REF!="","",SAISIE!$Q44)</f>
        <v>#REF!</v>
      </c>
      <c r="J557" s="71" t="str">
        <f>IF(COUNTBLANK(SAISIE!$J$6:$M$6)=4,"",IF(SAISIE!#REF!="","",IF(SAISIE!J44&gt;0,SAISIE!$J$6,IF(SAISIE!K44&gt;0,SAISIE!$K$6,IF(SAISIE!L44&gt;0,SAISIE!$L$6,IF(SAISIE!M44&gt;0,SAISIE!$M$6,""))))))</f>
        <v/>
      </c>
      <c r="O557" s="59" t="s">
        <v>60</v>
      </c>
    </row>
    <row r="558" spans="1:15" x14ac:dyDescent="0.25">
      <c r="A558" s="63" t="str">
        <f>IF(AND(G558="",H558=""),"SUPPR",SAISIE!$B$3)</f>
        <v>SUPPR</v>
      </c>
      <c r="B558" s="63" t="str">
        <f>IF(SAISIE!J44="","",IF(LEN(SAISIE!B44)=1,CONCATENATE("0",SAISIE!B44,"/",SAISIE!$B$4,"/",SAISIE!$B$5),CONCATENATE(SAISIE!B44,"/",SAISIE!$B$4,"/",SAISIE!$B$5)))</f>
        <v/>
      </c>
      <c r="C558" s="63" t="str">
        <f>IF(SAISIE!J44="","",SAISIE!$J$8)</f>
        <v/>
      </c>
      <c r="D558" s="63" t="str">
        <f>IF(SAISIE!J44="","",SAISIE!E44)</f>
        <v/>
      </c>
      <c r="E558" s="63" t="str">
        <f>IF(SAISIE!J44="","",SAISIE!F44)</f>
        <v/>
      </c>
      <c r="F558" s="70" t="str">
        <f>IF(SAISIE!$J44="","",IF(SAISIE!$N44="","",SAISIE!$N44))</f>
        <v/>
      </c>
      <c r="G558" s="63" t="str">
        <f>IF(SAISIE!J44="","",SAISIE!J44)</f>
        <v/>
      </c>
      <c r="H558" s="63"/>
      <c r="I558" s="72"/>
      <c r="J558" s="71"/>
      <c r="O558" s="73"/>
    </row>
    <row r="559" spans="1:15" x14ac:dyDescent="0.25">
      <c r="A559" s="63" t="str">
        <f>IF(AND(G559="",H559=""),"SUPPR",SAISIE!$B$3)</f>
        <v>SUPPR</v>
      </c>
      <c r="B559" s="63" t="str">
        <f>IF(SAISIE!K44="","",IF(LEN(SAISIE!B44)=1,CONCATENATE("0",SAISIE!B44,"/",SAISIE!$B$4,"/",SAISIE!$B$5),CONCATENATE(SAISIE!B44,"/",SAISIE!$B$4,"/",SAISIE!$B$5)))</f>
        <v/>
      </c>
      <c r="C559" s="63" t="str">
        <f>IF(SAISIE!K44="","",SAISIE!$K$8)</f>
        <v/>
      </c>
      <c r="D559" s="63" t="str">
        <f>IF(SAISIE!K44="","",SAISIE!E44)</f>
        <v/>
      </c>
      <c r="E559" s="63" t="str">
        <f>IF(SAISIE!K44="","",SAISIE!F44)</f>
        <v/>
      </c>
      <c r="F559" s="70" t="str">
        <f>IF(SAISIE!$K44="","",IF(SAISIE!$N44="","",SAISIE!$N44))</f>
        <v/>
      </c>
      <c r="G559" s="63" t="str">
        <f>IF(SAISIE!K44="","",SAISIE!K44)</f>
        <v/>
      </c>
      <c r="H559" s="63"/>
      <c r="I559" s="72"/>
      <c r="J559" s="71"/>
    </row>
    <row r="560" spans="1:15" x14ac:dyDescent="0.25">
      <c r="A560" s="63" t="str">
        <f>IF(AND(G560="",H560=""),"SUPPR",SAISIE!$B$3)</f>
        <v>SUPPR</v>
      </c>
      <c r="B560" s="63" t="str">
        <f>IF(SAISIE!L44="","",IF(LEN(SAISIE!B44)=1,CONCATENATE("0",SAISIE!B44,"/",SAISIE!$B$4,"/",SAISIE!$B$5),CONCATENATE(SAISIE!B44,"/",SAISIE!$B$4,"/",SAISIE!$B$5)))</f>
        <v/>
      </c>
      <c r="C560" s="63" t="str">
        <f>IF(SAISIE!L44="","",SAISIE!$L$8)</f>
        <v/>
      </c>
      <c r="D560" s="63" t="str">
        <f>IF(SAISIE!L44="","",SAISIE!E44)</f>
        <v/>
      </c>
      <c r="E560" s="63" t="str">
        <f>IF(SAISIE!L44="","",SAISIE!F44)</f>
        <v/>
      </c>
      <c r="F560" s="70" t="str">
        <f>IF(SAISIE!$L44="","",IF(SAISIE!$N44="","",SAISIE!$N44))</f>
        <v/>
      </c>
      <c r="G560" s="63" t="str">
        <f>IF(SAISIE!L44="","",SAISIE!L44)</f>
        <v/>
      </c>
      <c r="H560" s="63"/>
      <c r="I560" s="72"/>
      <c r="J560" s="71"/>
    </row>
    <row r="561" spans="1:15" x14ac:dyDescent="0.25">
      <c r="A561" s="63" t="str">
        <f>IF(AND(G561="",H561=""),"SUPPR",SAISIE!$B$3)</f>
        <v>SUPPR</v>
      </c>
      <c r="B561" s="63" t="str">
        <f>IF(SAISIE!M44="","",IF(LEN(SAISIE!B44)=1,CONCATENATE("0",SAISIE!B44,"/",SAISIE!$B$4,"/",SAISIE!$B$5),CONCATENATE(SAISIE!B44,"/",SAISIE!$B$4,"/",SAISIE!$B$5)))</f>
        <v/>
      </c>
      <c r="C561" s="74" t="str">
        <f>IF(SAISIE!M44="","",SAISIE!$M$8)</f>
        <v/>
      </c>
      <c r="D561" s="74" t="str">
        <f>IF(SAISIE!M44="","",SAISIE!E44)</f>
        <v/>
      </c>
      <c r="E561" s="74" t="str">
        <f>IF(SAISIE!M44="","",SAISIE!F44)</f>
        <v/>
      </c>
      <c r="F561" s="75" t="str">
        <f>IF(SAISIE!$M44="","",IF(SAISIE!$N44="","",SAISIE!$N44))</f>
        <v/>
      </c>
      <c r="G561" s="74" t="str">
        <f>IF(SAISIE!M44="","",SAISIE!M44)</f>
        <v/>
      </c>
      <c r="H561" s="76"/>
      <c r="I561" s="77"/>
      <c r="J561" s="78"/>
    </row>
    <row r="562" spans="1:15" x14ac:dyDescent="0.25">
      <c r="A562" s="63" t="str">
        <f>IF(AND(G562="",H562=""),"SUPPR",SAISIE!$B$3)</f>
        <v>SUPPR</v>
      </c>
      <c r="B562" s="64" t="str">
        <f>IF(SAISIE!B45="","",IF(LEN(SAISIE!B45)=1,CONCATENATE("0",SAISIE!B45,"/",SAISIE!$B$4,"/",SAISIE!$B$5),CONCATENATE(SAISIE!B45,"/",SAISIE!$B$4,"/",SAISIE!$B$5)))</f>
        <v/>
      </c>
      <c r="C562" s="64" t="str">
        <f>IF(SAISIE!B45="","",CONCATENATE($M$2,SAISIE!C45))</f>
        <v/>
      </c>
      <c r="D562" s="64" t="str">
        <f>IF(SAISIE!B45="","",SAISIE!E45)</f>
        <v/>
      </c>
      <c r="E562" s="64" t="str">
        <f>IF(SAISIE!B45="","",SAISIE!F45)</f>
        <v/>
      </c>
      <c r="F562" s="65" t="str">
        <f>IF(A562="SUPPR","",IF(SAISIE!$N45="","",SAISIE!$N45))</f>
        <v/>
      </c>
      <c r="G562" s="64"/>
      <c r="H562" s="64" t="str">
        <f>IF(SAISIE!B45="","",SAISIE!D45)</f>
        <v/>
      </c>
      <c r="I562" s="66"/>
      <c r="J562" s="67" t="str">
        <f>IF(AZ45="","","")</f>
        <v/>
      </c>
      <c r="O562" s="69">
        <f>O546+1</f>
        <v>45</v>
      </c>
    </row>
    <row r="563" spans="1:15" x14ac:dyDescent="0.25">
      <c r="A563" s="63" t="str">
        <f>IF(AND(G563="",H563=""),"SUPPR",SAISIE!$B$3)</f>
        <v>SUPPR</v>
      </c>
      <c r="B563" s="63" t="str">
        <f>IF(SAISIE!P45="","",IF(LEN(SAISIE!B45)=1,CONCATENATE("0",SAISIE!B45,"/",SAISIE!$B$4,"/",SAISIE!$B$5),CONCATENATE(SAISIE!B45,"/",SAISIE!$B$4,"/",SAISIE!$B$5)))</f>
        <v/>
      </c>
      <c r="C563" s="63" t="str">
        <f>IF(SAISIE!P45="","",SAISIE!O45)</f>
        <v/>
      </c>
      <c r="D563" s="63" t="str">
        <f>IF(SAISIE!P45="","",SAISIE!E45)</f>
        <v/>
      </c>
      <c r="E563" s="63" t="str">
        <f>IF(SAISIE!P45="","",SAISIE!F45)</f>
        <v/>
      </c>
      <c r="F563" s="70" t="str">
        <f>IF(SAISIE!$P45="","",IF(SAISIE!$N45="","",SAISIE!$N45))</f>
        <v/>
      </c>
      <c r="G563" s="63" t="str">
        <f>IF(SAISIE!P45="","",SAISIE!P45)</f>
        <v/>
      </c>
      <c r="H563" s="63"/>
      <c r="I563" s="63" t="str">
        <f>IF(SAISIE!$P45="","",SAISIE!$Q45)</f>
        <v/>
      </c>
      <c r="J563" s="71" t="str">
        <f>IF(COUNTBLANK(SAISIE!$J$6:$M$6)=4,"",IF(SAISIE!P45="","",IF(SAISIE!J45&gt;0,SAISIE!$J$6,IF(SAISIE!K45&gt;0,SAISIE!$K$6,IF(SAISIE!L45&gt;0,SAISIE!$L$6,IF(SAISIE!M45&gt;0,SAISIE!$M$6,""))))))</f>
        <v/>
      </c>
      <c r="O563" s="59" t="s">
        <v>50</v>
      </c>
    </row>
    <row r="564" spans="1:15" x14ac:dyDescent="0.25">
      <c r="A564" s="63" t="str">
        <f>IF(AND(G564="",H564=""),"SUPPR",SAISIE!$B$3)</f>
        <v>SUPPR</v>
      </c>
      <c r="B564" s="63" t="str">
        <f>IF(SAISIE!G45="","",IF(LEN(SAISIE!B45)=1,CONCATENATE("0",SAISIE!B45,"/",SAISIE!$B$4,"/",SAISIE!$B$5),CONCATENATE(SAISIE!B45,"/",SAISIE!$B$4,"/",SAISIE!$B$5)))</f>
        <v/>
      </c>
      <c r="C564" s="63" t="str">
        <f>IF(SAISIE!G45="","",SAISIE!$G$8)</f>
        <v/>
      </c>
      <c r="D564" s="63" t="str">
        <f>IF(SAISIE!G45="","",SAISIE!E45)</f>
        <v/>
      </c>
      <c r="E564" s="63" t="str">
        <f>IF(SAISIE!G45="","",SAISIE!F45)</f>
        <v/>
      </c>
      <c r="F564" s="70" t="str">
        <f>IF(SAISIE!$G45="","",IF(SAISIE!$N45="","",SAISIE!$N45))</f>
        <v/>
      </c>
      <c r="G564" s="63" t="str">
        <f>IF(SAISIE!G45="","",SAISIE!G45)</f>
        <v/>
      </c>
      <c r="H564" s="63"/>
      <c r="I564" s="63" t="str">
        <f>IF(SAISIE!$G45="","",SAISIE!$Q45)</f>
        <v/>
      </c>
      <c r="J564" s="71" t="str">
        <f>IF(COUNTBLANK(SAISIE!$J$6:$M$6)=4,"",IF(SAISIE!G45="","",IF(SAISIE!J45&gt;0,SAISIE!$J$6,IF(SAISIE!K45&gt;0,SAISIE!$K$6,IF(SAISIE!L45&gt;0,SAISIE!$L$6,IF(SAISIE!M45&gt;0,SAISIE!$M$6,""))))))</f>
        <v/>
      </c>
      <c r="O564" s="59" t="s">
        <v>51</v>
      </c>
    </row>
    <row r="565" spans="1:15" x14ac:dyDescent="0.25">
      <c r="A565" s="63" t="str">
        <f>IF(AND(G565="",H565=""),"SUPPR",SAISIE!$B$3)</f>
        <v>SUPPR</v>
      </c>
      <c r="B565" s="63" t="str">
        <f>IF(SAISIE!H45="","",IF(LEN(SAISIE!B45)=1,CONCATENATE("0",SAISIE!B45,"/",SAISIE!$B$4,"/",SAISIE!$B$5),CONCATENATE(SAISIE!B45,"/",SAISIE!$B$4,"/",SAISIE!$B$5)))</f>
        <v/>
      </c>
      <c r="C565" s="63" t="str">
        <f>IF(SAISIE!H45="","",SAISIE!$H$8)</f>
        <v/>
      </c>
      <c r="D565" s="63" t="str">
        <f>IF(SAISIE!H45="","",SAISIE!E45)</f>
        <v/>
      </c>
      <c r="E565" s="63" t="str">
        <f>IF(SAISIE!H45="","",SAISIE!F45)</f>
        <v/>
      </c>
      <c r="F565" s="70" t="str">
        <f>IF(SAISIE!$H45="","",IF(SAISIE!$N45="","",SAISIE!$N45))</f>
        <v/>
      </c>
      <c r="G565" s="63" t="str">
        <f>IF(SAISIE!H45="","",SAISIE!H45)</f>
        <v/>
      </c>
      <c r="H565" s="63"/>
      <c r="I565" s="63" t="str">
        <f>IF(SAISIE!$H45="","",SAISIE!$Q45)</f>
        <v/>
      </c>
      <c r="J565" s="71" t="str">
        <f>IF(COUNTBLANK(SAISIE!$J$6:$M$6)=4,"",IF(SAISIE!H45="","",IF(SAISIE!J45&gt;0,SAISIE!$J$6,IF(SAISIE!K45&gt;0,SAISIE!$K$6,IF(SAISIE!L45&gt;0,SAISIE!$L$6,IF(SAISIE!M45&gt;0,SAISIE!$M$6,""))))))</f>
        <v/>
      </c>
      <c r="O565" s="59" t="s">
        <v>52</v>
      </c>
    </row>
    <row r="566" spans="1:15" x14ac:dyDescent="0.25">
      <c r="A566" s="63" t="str">
        <f>IF(AND(G566="",H566=""),"SUPPR",SAISIE!$B$3)</f>
        <v>SUPPR</v>
      </c>
      <c r="B566" s="63" t="str">
        <f>IF(SAISIE!I45="","",IF(LEN(SAISIE!B45)=1,CONCATENATE("0",SAISIE!B45,"/",SAISIE!$B$4,"/",SAISIE!$B$5),CONCATENATE(SAISIE!B45,"/",SAISIE!$B$4,"/",SAISIE!$B$5)))</f>
        <v/>
      </c>
      <c r="C566" s="63" t="str">
        <f>IF(SAISIE!I45="","",SAISIE!$I$8)</f>
        <v/>
      </c>
      <c r="D566" s="63" t="str">
        <f>IF(SAISIE!I45="","",SAISIE!E45)</f>
        <v/>
      </c>
      <c r="E566" s="63" t="str">
        <f>IF(SAISIE!I45="","",SAISIE!F45)</f>
        <v/>
      </c>
      <c r="F566" s="70" t="str">
        <f>IF(SAISIE!$I45="","",IF(SAISIE!$N45="","",SAISIE!$N45))</f>
        <v/>
      </c>
      <c r="G566" s="63" t="str">
        <f>IF(SAISIE!I45="","",SAISIE!I45)</f>
        <v/>
      </c>
      <c r="H566" s="63"/>
      <c r="I566" s="63" t="str">
        <f>IF(SAISIE!$I45="","",SAISIE!$Q45)</f>
        <v/>
      </c>
      <c r="J566" s="71" t="str">
        <f>IF(COUNTBLANK(SAISIE!$J$6:$M$6)=4,"",IF(SAISIE!I45="","",IF(SAISIE!J45&gt;0,SAISIE!$J$6,IF(SAISIE!K45&gt;0,SAISIE!$K$6,IF(SAISIE!L45&gt;0,SAISIE!$L$6,IF(SAISIE!M45&gt;0,SAISIE!$M$6,""))))))</f>
        <v/>
      </c>
      <c r="O566" s="59" t="s">
        <v>53</v>
      </c>
    </row>
    <row r="567" spans="1:15" x14ac:dyDescent="0.25">
      <c r="A567" s="63" t="e">
        <f>IF(AND(G567="",H567=""),"SUPPR",SAISIE!$B$3)</f>
        <v>#REF!</v>
      </c>
      <c r="B567" s="63" t="e">
        <f>IF(SAISIE!#REF!="","",IF(LEN(SAISIE!B45)=1,CONCATENATE("0",SAISIE!B45,"/",SAISIE!$B$4,"/",SAISIE!$B$5),CONCATENATE(SAISIE!B45,"/",SAISIE!$B$4,"/",SAISIE!$B$5)))</f>
        <v>#REF!</v>
      </c>
      <c r="C567" s="63" t="e">
        <f>IF(SAISIE!#REF!="","",SAISIE!#REF!)</f>
        <v>#REF!</v>
      </c>
      <c r="D567" s="63" t="e">
        <f>IF(SAISIE!#REF!="","",SAISIE!E45)</f>
        <v>#REF!</v>
      </c>
      <c r="E567" s="63" t="e">
        <f>IF(SAISIE!#REF!="","",SAISIE!F45)</f>
        <v>#REF!</v>
      </c>
      <c r="F567" s="70" t="e">
        <f>IF(SAISIE!#REF!="","",IF(SAISIE!$N45="","",SAISIE!$N45))</f>
        <v>#REF!</v>
      </c>
      <c r="G567" s="63" t="e">
        <f>IF(SAISIE!#REF!="","",SAISIE!#REF!)</f>
        <v>#REF!</v>
      </c>
      <c r="H567" s="63"/>
      <c r="I567" s="63" t="e">
        <f>IF(SAISIE!#REF!="","",SAISIE!$Q45)</f>
        <v>#REF!</v>
      </c>
      <c r="J567" s="71" t="str">
        <f>IF(COUNTBLANK(SAISIE!$J$6:$M$6)=4,"",IF(SAISIE!#REF!="","",IF(SAISIE!J45&gt;0,SAISIE!$J$6,IF(SAISIE!K45&gt;0,SAISIE!$K$6,IF(SAISIE!L45&gt;0,SAISIE!$L$6,IF(SAISIE!M45&gt;0,SAISIE!$M$6,""))))))</f>
        <v/>
      </c>
      <c r="O567" s="59" t="s">
        <v>54</v>
      </c>
    </row>
    <row r="568" spans="1:15" x14ac:dyDescent="0.25">
      <c r="A568" s="63" t="e">
        <f>IF(AND(G568="",H568=""),"SUPPR",SAISIE!$B$3)</f>
        <v>#REF!</v>
      </c>
      <c r="B568" s="63" t="e">
        <f>IF(SAISIE!#REF!="","",IF(LEN(SAISIE!B45)=1,CONCATENATE("0",SAISIE!B45,"/",SAISIE!$B$4,"/",SAISIE!$B$5),CONCATENATE(SAISIE!B45,"/",SAISIE!$B$4,"/",SAISIE!$B$5)))</f>
        <v>#REF!</v>
      </c>
      <c r="C568" s="63" t="e">
        <f>IF(SAISIE!#REF!="","",SAISIE!#REF!)</f>
        <v>#REF!</v>
      </c>
      <c r="D568" s="63" t="e">
        <f>IF(SAISIE!#REF!="","",SAISIE!E45)</f>
        <v>#REF!</v>
      </c>
      <c r="E568" s="63" t="e">
        <f>IF(SAISIE!#REF!="","",SAISIE!F45)</f>
        <v>#REF!</v>
      </c>
      <c r="F568" s="70" t="e">
        <f>IF(SAISIE!#REF!="","",IF(SAISIE!$N45="","",SAISIE!$N45))</f>
        <v>#REF!</v>
      </c>
      <c r="G568" s="63" t="e">
        <f>IF(SAISIE!#REF!="","",SAISIE!#REF!)</f>
        <v>#REF!</v>
      </c>
      <c r="H568" s="63"/>
      <c r="I568" s="63" t="e">
        <f>IF(SAISIE!#REF!="","",SAISIE!$Q45)</f>
        <v>#REF!</v>
      </c>
      <c r="J568" s="71" t="str">
        <f>IF(COUNTBLANK(SAISIE!$J$6:$M$6)=4,"",IF(SAISIE!#REF!="","",IF(SAISIE!J45&gt;0,SAISIE!$J$6,IF(SAISIE!K45&gt;0,SAISIE!$K$6,IF(SAISIE!L45&gt;0,SAISIE!$L$6,IF(SAISIE!M45&gt;0,SAISIE!$M$6,""))))))</f>
        <v/>
      </c>
      <c r="O568" s="59" t="s">
        <v>55</v>
      </c>
    </row>
    <row r="569" spans="1:15" x14ac:dyDescent="0.25">
      <c r="A569" s="63" t="e">
        <f>IF(AND(G569="",H569=""),"SUPPR",SAISIE!$B$3)</f>
        <v>#REF!</v>
      </c>
      <c r="B569" s="63" t="e">
        <f>IF(SAISIE!#REF!="","",IF(LEN(SAISIE!B45)=1,CONCATENATE("0",SAISIE!B45,"/",SAISIE!$B$4,"/",SAISIE!$B$5),CONCATENATE(SAISIE!B45,"/",SAISIE!$B$4,"/",SAISIE!$B$5)))</f>
        <v>#REF!</v>
      </c>
      <c r="C569" s="63" t="e">
        <f>IF(SAISIE!#REF!="","",SAISIE!#REF!)</f>
        <v>#REF!</v>
      </c>
      <c r="D569" s="63" t="e">
        <f>IF(SAISIE!#REF!="","",SAISIE!E45)</f>
        <v>#REF!</v>
      </c>
      <c r="E569" s="63" t="e">
        <f>IF(SAISIE!#REF!="","",SAISIE!F45)</f>
        <v>#REF!</v>
      </c>
      <c r="F569" s="70" t="e">
        <f>IF(SAISIE!#REF!="","",IF(SAISIE!$N45="","",SAISIE!$N45))</f>
        <v>#REF!</v>
      </c>
      <c r="G569" s="63" t="e">
        <f>IF(SAISIE!#REF!="","",SAISIE!#REF!)</f>
        <v>#REF!</v>
      </c>
      <c r="H569" s="63"/>
      <c r="I569" s="63" t="e">
        <f>IF(SAISIE!#REF!="","",SAISIE!$Q45)</f>
        <v>#REF!</v>
      </c>
      <c r="J569" s="71" t="str">
        <f>IF(COUNTBLANK(SAISIE!$J$6:$M$6)=4,"",IF(SAISIE!#REF!="","",IF(SAISIE!J45&gt;0,SAISIE!$J$6,IF(SAISIE!K45&gt;0,SAISIE!$K$6,IF(SAISIE!L45&gt;0,SAISIE!$L$6,IF(SAISIE!M45&gt;0,SAISIE!$M$6,""))))))</f>
        <v/>
      </c>
      <c r="O569" s="59" t="s">
        <v>56</v>
      </c>
    </row>
    <row r="570" spans="1:15" x14ac:dyDescent="0.25">
      <c r="A570" s="63" t="e">
        <f>IF(AND(G570="",H570=""),"SUPPR",SAISIE!$B$3)</f>
        <v>#REF!</v>
      </c>
      <c r="B570" s="63" t="e">
        <f>IF(SAISIE!#REF!="","",IF(LEN(SAISIE!B45)=1,CONCATENATE("0",SAISIE!B45,"/",SAISIE!$B$4,"/",SAISIE!$B$5),CONCATENATE(SAISIE!B45,"/",SAISIE!$B$4,"/",SAISIE!$B$5)))</f>
        <v>#REF!</v>
      </c>
      <c r="C570" s="63" t="e">
        <f>IF(SAISIE!#REF!="","",SAISIE!#REF!)</f>
        <v>#REF!</v>
      </c>
      <c r="D570" s="63" t="e">
        <f>IF(SAISIE!#REF!="","",SAISIE!E45)</f>
        <v>#REF!</v>
      </c>
      <c r="E570" s="63" t="e">
        <f>IF(SAISIE!#REF!="","",SAISIE!F45)</f>
        <v>#REF!</v>
      </c>
      <c r="F570" s="70" t="e">
        <f>IF(SAISIE!#REF!="","",IF(SAISIE!$N45="","",SAISIE!$N45))</f>
        <v>#REF!</v>
      </c>
      <c r="G570" s="63" t="e">
        <f>IF(SAISIE!#REF!="","",SAISIE!#REF!)</f>
        <v>#REF!</v>
      </c>
      <c r="H570" s="63"/>
      <c r="I570" s="63" t="e">
        <f>IF(SAISIE!#REF!="","",SAISIE!$Q45)</f>
        <v>#REF!</v>
      </c>
      <c r="J570" s="71" t="str">
        <f>IF(COUNTBLANK(SAISIE!$J$6:$M$6)=4,"",IF(SAISIE!#REF!="","",IF(SAISIE!J45&gt;0,SAISIE!$J$6,IF(SAISIE!K45&gt;0,SAISIE!$K$6,IF(SAISIE!L45&gt;0,SAISIE!$L$6,IF(SAISIE!M45&gt;0,SAISIE!$M$6,""))))))</f>
        <v/>
      </c>
      <c r="O570" s="59" t="s">
        <v>57</v>
      </c>
    </row>
    <row r="571" spans="1:15" x14ac:dyDescent="0.25">
      <c r="A571" s="63" t="e">
        <f>IF(AND(G571="",H571=""),"SUPPR",SAISIE!$B$3)</f>
        <v>#REF!</v>
      </c>
      <c r="B571" s="63" t="e">
        <f>IF(SAISIE!#REF!="","",IF(LEN(SAISIE!B45)=1,CONCATENATE("0",SAISIE!B45,"/",SAISIE!$B$4,"/",SAISIE!$B$5),CONCATENATE(SAISIE!B45,"/",SAISIE!$B$4,"/",SAISIE!$B$5)))</f>
        <v>#REF!</v>
      </c>
      <c r="C571" s="63" t="e">
        <f>IF(SAISIE!#REF!="","",SAISIE!#REF!)</f>
        <v>#REF!</v>
      </c>
      <c r="D571" s="63" t="e">
        <f>IF(SAISIE!#REF!="","",SAISIE!E45)</f>
        <v>#REF!</v>
      </c>
      <c r="E571" s="63" t="e">
        <f>IF(SAISIE!#REF!="","",SAISIE!F45)</f>
        <v>#REF!</v>
      </c>
      <c r="F571" s="70" t="e">
        <f>IF(SAISIE!#REF!="","",IF(SAISIE!$N45="","",SAISIE!$N45))</f>
        <v>#REF!</v>
      </c>
      <c r="G571" s="63" t="e">
        <f>IF(SAISIE!#REF!="","",SAISIE!#REF!)</f>
        <v>#REF!</v>
      </c>
      <c r="H571" s="63"/>
      <c r="I571" s="63" t="e">
        <f>IF(SAISIE!#REF!="","",SAISIE!$Q45)</f>
        <v>#REF!</v>
      </c>
      <c r="J571" s="71" t="str">
        <f>IF(COUNTBLANK(SAISIE!$J$6:$M$6)=4,"",IF(SAISIE!#REF!="","",IF(SAISIE!J45&gt;0,SAISIE!$J$6,IF(SAISIE!K45&gt;0,SAISIE!$K$6,IF(SAISIE!L45&gt;0,SAISIE!$L$6,IF(SAISIE!M45&gt;0,SAISIE!$M$6,""))))))</f>
        <v/>
      </c>
      <c r="O571" s="59" t="s">
        <v>58</v>
      </c>
    </row>
    <row r="572" spans="1:15" x14ac:dyDescent="0.25">
      <c r="A572" s="63" t="e">
        <f>IF(AND(G572="",H572=""),"SUPPR",SAISIE!$B$3)</f>
        <v>#REF!</v>
      </c>
      <c r="B572" s="63" t="e">
        <f>IF(SAISIE!#REF!="","",IF(LEN(SAISIE!B45)=1,CONCATENATE("0",SAISIE!B45,"/",SAISIE!$B$4,"/",SAISIE!$B$5),CONCATENATE(SAISIE!B45,"/",SAISIE!$B$4,"/",SAISIE!$B$5)))</f>
        <v>#REF!</v>
      </c>
      <c r="C572" s="63" t="e">
        <f>IF(SAISIE!#REF!="","",SAISIE!#REF!)</f>
        <v>#REF!</v>
      </c>
      <c r="D572" s="63" t="e">
        <f>IF(SAISIE!#REF!="","",SAISIE!E45)</f>
        <v>#REF!</v>
      </c>
      <c r="E572" s="63" t="e">
        <f>IF(SAISIE!#REF!="","",SAISIE!F45)</f>
        <v>#REF!</v>
      </c>
      <c r="F572" s="70" t="e">
        <f>IF(SAISIE!#REF!="","",IF(SAISIE!$N45="","",SAISIE!$N45))</f>
        <v>#REF!</v>
      </c>
      <c r="G572" s="63" t="e">
        <f>IF(SAISIE!#REF!="","",SAISIE!#REF!)</f>
        <v>#REF!</v>
      </c>
      <c r="H572" s="63"/>
      <c r="I572" s="63" t="e">
        <f>IF(SAISIE!#REF!="","",SAISIE!$Q45)</f>
        <v>#REF!</v>
      </c>
      <c r="J572" s="71" t="str">
        <f>IF(COUNTBLANK(SAISIE!$J$6:$M$6)=4,"",IF(SAISIE!#REF!="","",IF(SAISIE!J45&gt;0,SAISIE!$J$6,IF(SAISIE!K45&gt;0,SAISIE!$K$6,IF(SAISIE!L45&gt;0,SAISIE!$L$6,IF(SAISIE!M45&gt;0,SAISIE!$M$6,""))))))</f>
        <v/>
      </c>
      <c r="O572" s="59" t="s">
        <v>59</v>
      </c>
    </row>
    <row r="573" spans="1:15" x14ac:dyDescent="0.25">
      <c r="A573" s="63" t="e">
        <f>IF(AND(G573="",H573=""),"SUPPR",SAISIE!$B$3)</f>
        <v>#REF!</v>
      </c>
      <c r="B573" s="63" t="e">
        <f>IF(SAISIE!#REF!="","",IF(LEN(SAISIE!B45)=1,CONCATENATE("0",SAISIE!B45,"/",SAISIE!$B$4,"/",SAISIE!$B$5),CONCATENATE(SAISIE!B45,"/",SAISIE!$B$4,"/",SAISIE!$B$5)))</f>
        <v>#REF!</v>
      </c>
      <c r="C573" s="63" t="e">
        <f>IF(SAISIE!#REF!="","",SAISIE!#REF!)</f>
        <v>#REF!</v>
      </c>
      <c r="D573" s="63" t="e">
        <f>IF(SAISIE!#REF!="","",SAISIE!E45)</f>
        <v>#REF!</v>
      </c>
      <c r="E573" s="63" t="e">
        <f>IF(SAISIE!#REF!="","",SAISIE!F45)</f>
        <v>#REF!</v>
      </c>
      <c r="F573" s="70" t="e">
        <f>IF(SAISIE!#REF!="","",IF(SAISIE!$N45="","",SAISIE!$N45))</f>
        <v>#REF!</v>
      </c>
      <c r="G573" s="63" t="e">
        <f>IF(SAISIE!#REF!="","",SAISIE!#REF!)</f>
        <v>#REF!</v>
      </c>
      <c r="H573" s="63"/>
      <c r="I573" s="63" t="e">
        <f>IF(SAISIE!#REF!="","",SAISIE!$Q45)</f>
        <v>#REF!</v>
      </c>
      <c r="J573" s="71" t="str">
        <f>IF(COUNTBLANK(SAISIE!$J$6:$M$6)=4,"",IF(SAISIE!#REF!="","",IF(SAISIE!J45&gt;0,SAISIE!$J$6,IF(SAISIE!K45&gt;0,SAISIE!$K$6,IF(SAISIE!L45&gt;0,SAISIE!$L$6,IF(SAISIE!M45&gt;0,SAISIE!$M$6,""))))))</f>
        <v/>
      </c>
      <c r="O573" s="59" t="s">
        <v>60</v>
      </c>
    </row>
    <row r="574" spans="1:15" x14ac:dyDescent="0.25">
      <c r="A574" s="63" t="str">
        <f>IF(AND(G574="",H574=""),"SUPPR",SAISIE!$B$3)</f>
        <v>SUPPR</v>
      </c>
      <c r="B574" s="63" t="str">
        <f>IF(SAISIE!J45="","",IF(LEN(SAISIE!B45)=1,CONCATENATE("0",SAISIE!B45,"/",SAISIE!$B$4,"/",SAISIE!$B$5),CONCATENATE(SAISIE!B45,"/",SAISIE!$B$4,"/",SAISIE!$B$5)))</f>
        <v/>
      </c>
      <c r="C574" s="63" t="str">
        <f>IF(SAISIE!J45="","",SAISIE!$J$8)</f>
        <v/>
      </c>
      <c r="D574" s="63" t="str">
        <f>IF(SAISIE!J45="","",SAISIE!E45)</f>
        <v/>
      </c>
      <c r="E574" s="63" t="str">
        <f>IF(SAISIE!J45="","",SAISIE!F45)</f>
        <v/>
      </c>
      <c r="F574" s="70" t="str">
        <f>IF(SAISIE!$J45="","",IF(SAISIE!$N45="","",SAISIE!$N45))</f>
        <v/>
      </c>
      <c r="G574" s="63" t="str">
        <f>IF(SAISIE!J45="","",SAISIE!J45)</f>
        <v/>
      </c>
      <c r="H574" s="63"/>
      <c r="I574" s="72"/>
      <c r="J574" s="71"/>
      <c r="O574" s="73"/>
    </row>
    <row r="575" spans="1:15" x14ac:dyDescent="0.25">
      <c r="A575" s="63" t="str">
        <f>IF(AND(G575="",H575=""),"SUPPR",SAISIE!$B$3)</f>
        <v>SUPPR</v>
      </c>
      <c r="B575" s="63" t="str">
        <f>IF(SAISIE!K45="","",IF(LEN(SAISIE!B45)=1,CONCATENATE("0",SAISIE!B45,"/",SAISIE!$B$4,"/",SAISIE!$B$5),CONCATENATE(SAISIE!B45,"/",SAISIE!$B$4,"/",SAISIE!$B$5)))</f>
        <v/>
      </c>
      <c r="C575" s="63" t="str">
        <f>IF(SAISIE!K45="","",SAISIE!$K$8)</f>
        <v/>
      </c>
      <c r="D575" s="63" t="str">
        <f>IF(SAISIE!K45="","",SAISIE!E45)</f>
        <v/>
      </c>
      <c r="E575" s="63" t="str">
        <f>IF(SAISIE!K45="","",SAISIE!F45)</f>
        <v/>
      </c>
      <c r="F575" s="70" t="str">
        <f>IF(SAISIE!$K45="","",IF(SAISIE!$N45="","",SAISIE!$N45))</f>
        <v/>
      </c>
      <c r="G575" s="63" t="str">
        <f>IF(SAISIE!K45="","",SAISIE!K45)</f>
        <v/>
      </c>
      <c r="H575" s="63"/>
      <c r="I575" s="72"/>
      <c r="J575" s="71"/>
    </row>
    <row r="576" spans="1:15" x14ac:dyDescent="0.25">
      <c r="A576" s="63" t="str">
        <f>IF(AND(G576="",H576=""),"SUPPR",SAISIE!$B$3)</f>
        <v>SUPPR</v>
      </c>
      <c r="B576" s="63" t="str">
        <f>IF(SAISIE!L45="","",IF(LEN(SAISIE!B45)=1,CONCATENATE("0",SAISIE!B45,"/",SAISIE!$B$4,"/",SAISIE!$B$5),CONCATENATE(SAISIE!B45,"/",SAISIE!$B$4,"/",SAISIE!$B$5)))</f>
        <v/>
      </c>
      <c r="C576" s="63" t="str">
        <f>IF(SAISIE!L45="","",SAISIE!$L$8)</f>
        <v/>
      </c>
      <c r="D576" s="63" t="str">
        <f>IF(SAISIE!L45="","",SAISIE!E45)</f>
        <v/>
      </c>
      <c r="E576" s="63" t="str">
        <f>IF(SAISIE!L45="","",SAISIE!F45)</f>
        <v/>
      </c>
      <c r="F576" s="70" t="str">
        <f>IF(SAISIE!$L45="","",IF(SAISIE!$N45="","",SAISIE!$N45))</f>
        <v/>
      </c>
      <c r="G576" s="63" t="str">
        <f>IF(SAISIE!L45="","",SAISIE!L45)</f>
        <v/>
      </c>
      <c r="H576" s="63"/>
      <c r="I576" s="72"/>
      <c r="J576" s="71"/>
    </row>
    <row r="577" spans="1:15" x14ac:dyDescent="0.25">
      <c r="A577" s="63" t="str">
        <f>IF(AND(G577="",H577=""),"SUPPR",SAISIE!$B$3)</f>
        <v>SUPPR</v>
      </c>
      <c r="B577" s="63" t="str">
        <f>IF(SAISIE!M45="","",IF(LEN(SAISIE!B45)=1,CONCATENATE("0",SAISIE!B45,"/",SAISIE!$B$4,"/",SAISIE!$B$5),CONCATENATE(SAISIE!B45,"/",SAISIE!$B$4,"/",SAISIE!$B$5)))</f>
        <v/>
      </c>
      <c r="C577" s="74" t="str">
        <f>IF(SAISIE!M45="","",SAISIE!$M$8)</f>
        <v/>
      </c>
      <c r="D577" s="74" t="str">
        <f>IF(SAISIE!M45="","",SAISIE!E45)</f>
        <v/>
      </c>
      <c r="E577" s="74" t="str">
        <f>IF(SAISIE!M45="","",SAISIE!F45)</f>
        <v/>
      </c>
      <c r="F577" s="75" t="str">
        <f>IF(SAISIE!$M45="","",IF(SAISIE!$N45="","",SAISIE!$N45))</f>
        <v/>
      </c>
      <c r="G577" s="74" t="str">
        <f>IF(SAISIE!M45="","",SAISIE!M45)</f>
        <v/>
      </c>
      <c r="H577" s="76"/>
      <c r="I577" s="77"/>
      <c r="J577" s="78"/>
    </row>
    <row r="578" spans="1:15" x14ac:dyDescent="0.25">
      <c r="A578" s="63" t="str">
        <f>IF(AND(G578="",H578=""),"SUPPR",SAISIE!$B$3)</f>
        <v>SUPPR</v>
      </c>
      <c r="B578" s="64" t="str">
        <f>IF(SAISIE!B46="","",IF(LEN(SAISIE!B46)=1,CONCATENATE("0",SAISIE!B46,"/",SAISIE!$B$4,"/",SAISIE!$B$5),CONCATENATE(SAISIE!B46,"/",SAISIE!$B$4,"/",SAISIE!$B$5)))</f>
        <v/>
      </c>
      <c r="C578" s="64" t="str">
        <f>IF(SAISIE!B46="","",CONCATENATE($M$2,SAISIE!C46))</f>
        <v/>
      </c>
      <c r="D578" s="64" t="str">
        <f>IF(SAISIE!B46="","",SAISIE!E46)</f>
        <v/>
      </c>
      <c r="E578" s="64" t="str">
        <f>IF(SAISIE!B46="","",SAISIE!F46)</f>
        <v/>
      </c>
      <c r="F578" s="65" t="str">
        <f>IF(A578="SUPPR","",IF(SAISIE!$N46="","",SAISIE!$N46))</f>
        <v/>
      </c>
      <c r="G578" s="64"/>
      <c r="H578" s="64" t="str">
        <f>IF(SAISIE!B46="","",SAISIE!D46)</f>
        <v/>
      </c>
      <c r="I578" s="66"/>
      <c r="J578" s="67" t="str">
        <f>IF(AZ46="","","")</f>
        <v/>
      </c>
      <c r="O578" s="69">
        <f>O562+1</f>
        <v>46</v>
      </c>
    </row>
    <row r="579" spans="1:15" x14ac:dyDescent="0.25">
      <c r="A579" s="63" t="str">
        <f>IF(AND(G579="",H579=""),"SUPPR",SAISIE!$B$3)</f>
        <v>SUPPR</v>
      </c>
      <c r="B579" s="63" t="str">
        <f>IF(SAISIE!P46="","",IF(LEN(SAISIE!B46)=1,CONCATENATE("0",SAISIE!B46,"/",SAISIE!$B$4,"/",SAISIE!$B$5),CONCATENATE(SAISIE!B46,"/",SAISIE!$B$4,"/",SAISIE!$B$5)))</f>
        <v/>
      </c>
      <c r="C579" s="63" t="str">
        <f>IF(SAISIE!P46="","",SAISIE!O46)</f>
        <v/>
      </c>
      <c r="D579" s="63" t="str">
        <f>IF(SAISIE!P46="","",SAISIE!E46)</f>
        <v/>
      </c>
      <c r="E579" s="63" t="str">
        <f>IF(SAISIE!P46="","",SAISIE!F46)</f>
        <v/>
      </c>
      <c r="F579" s="70" t="str">
        <f>IF(SAISIE!$P46="","",IF(SAISIE!$N46="","",SAISIE!$N46))</f>
        <v/>
      </c>
      <c r="G579" s="63" t="str">
        <f>IF(SAISIE!P46="","",SAISIE!P46)</f>
        <v/>
      </c>
      <c r="H579" s="63"/>
      <c r="I579" s="63" t="str">
        <f>IF(SAISIE!$P46="","",SAISIE!$Q46)</f>
        <v/>
      </c>
      <c r="J579" s="71" t="str">
        <f>IF(COUNTBLANK(SAISIE!$J$6:$M$6)=4,"",IF(SAISIE!P46="","",IF(SAISIE!J46&gt;0,SAISIE!$J$6,IF(SAISIE!K46&gt;0,SAISIE!$K$6,IF(SAISIE!L46&gt;0,SAISIE!$L$6,IF(SAISIE!M46&gt;0,SAISIE!$M$6,""))))))</f>
        <v/>
      </c>
      <c r="O579" s="59" t="s">
        <v>50</v>
      </c>
    </row>
    <row r="580" spans="1:15" x14ac:dyDescent="0.25">
      <c r="A580" s="63" t="str">
        <f>IF(AND(G580="",H580=""),"SUPPR",SAISIE!$B$3)</f>
        <v>SUPPR</v>
      </c>
      <c r="B580" s="63" t="str">
        <f>IF(SAISIE!G46="","",IF(LEN(SAISIE!B46)=1,CONCATENATE("0",SAISIE!B46,"/",SAISIE!$B$4,"/",SAISIE!$B$5),CONCATENATE(SAISIE!B46,"/",SAISIE!$B$4,"/",SAISIE!$B$5)))</f>
        <v/>
      </c>
      <c r="C580" s="63" t="str">
        <f>IF(SAISIE!G46="","",SAISIE!$G$8)</f>
        <v/>
      </c>
      <c r="D580" s="63" t="str">
        <f>IF(SAISIE!G46="","",SAISIE!E46)</f>
        <v/>
      </c>
      <c r="E580" s="63" t="str">
        <f>IF(SAISIE!G46="","",SAISIE!F46)</f>
        <v/>
      </c>
      <c r="F580" s="70" t="str">
        <f>IF(SAISIE!$G46="","",IF(SAISIE!$N46="","",SAISIE!$N46))</f>
        <v/>
      </c>
      <c r="G580" s="63" t="str">
        <f>IF(SAISIE!G46="","",SAISIE!G46)</f>
        <v/>
      </c>
      <c r="H580" s="63"/>
      <c r="I580" s="63" t="str">
        <f>IF(SAISIE!$G46="","",SAISIE!$Q46)</f>
        <v/>
      </c>
      <c r="J580" s="71" t="str">
        <f>IF(COUNTBLANK(SAISIE!$J$6:$M$6)=4,"",IF(SAISIE!G46="","",IF(SAISIE!J46&gt;0,SAISIE!$J$6,IF(SAISIE!K46&gt;0,SAISIE!$K$6,IF(SAISIE!L46&gt;0,SAISIE!$L$6,IF(SAISIE!M46&gt;0,SAISIE!$M$6,""))))))</f>
        <v/>
      </c>
      <c r="O580" s="59" t="s">
        <v>51</v>
      </c>
    </row>
    <row r="581" spans="1:15" x14ac:dyDescent="0.25">
      <c r="A581" s="63" t="str">
        <f>IF(AND(G581="",H581=""),"SUPPR",SAISIE!$B$3)</f>
        <v>SUPPR</v>
      </c>
      <c r="B581" s="63" t="str">
        <f>IF(SAISIE!H46="","",IF(LEN(SAISIE!B46)=1,CONCATENATE("0",SAISIE!B46,"/",SAISIE!$B$4,"/",SAISIE!$B$5),CONCATENATE(SAISIE!B46,"/",SAISIE!$B$4,"/",SAISIE!$B$5)))</f>
        <v/>
      </c>
      <c r="C581" s="63" t="str">
        <f>IF(SAISIE!H46="","",SAISIE!$H$8)</f>
        <v/>
      </c>
      <c r="D581" s="63" t="str">
        <f>IF(SAISIE!H46="","",SAISIE!E46)</f>
        <v/>
      </c>
      <c r="E581" s="63" t="str">
        <f>IF(SAISIE!H46="","",SAISIE!F46)</f>
        <v/>
      </c>
      <c r="F581" s="70" t="str">
        <f>IF(SAISIE!$H46="","",IF(SAISIE!$N46="","",SAISIE!$N46))</f>
        <v/>
      </c>
      <c r="G581" s="63" t="str">
        <f>IF(SAISIE!H46="","",SAISIE!H46)</f>
        <v/>
      </c>
      <c r="H581" s="63"/>
      <c r="I581" s="63" t="str">
        <f>IF(SAISIE!$H46="","",SAISIE!$Q46)</f>
        <v/>
      </c>
      <c r="J581" s="71" t="str">
        <f>IF(COUNTBLANK(SAISIE!$J$6:$M$6)=4,"",IF(SAISIE!H46="","",IF(SAISIE!J46&gt;0,SAISIE!$J$6,IF(SAISIE!K46&gt;0,SAISIE!$K$6,IF(SAISIE!L46&gt;0,SAISIE!$L$6,IF(SAISIE!M46&gt;0,SAISIE!$M$6,""))))))</f>
        <v/>
      </c>
      <c r="O581" s="59" t="s">
        <v>52</v>
      </c>
    </row>
    <row r="582" spans="1:15" x14ac:dyDescent="0.25">
      <c r="A582" s="63" t="str">
        <f>IF(AND(G582="",H582=""),"SUPPR",SAISIE!$B$3)</f>
        <v>SUPPR</v>
      </c>
      <c r="B582" s="63" t="str">
        <f>IF(SAISIE!I46="","",IF(LEN(SAISIE!B46)=1,CONCATENATE("0",SAISIE!B46,"/",SAISIE!$B$4,"/",SAISIE!$B$5),CONCATENATE(SAISIE!B46,"/",SAISIE!$B$4,"/",SAISIE!$B$5)))</f>
        <v/>
      </c>
      <c r="C582" s="63" t="str">
        <f>IF(SAISIE!I46="","",SAISIE!$I$8)</f>
        <v/>
      </c>
      <c r="D582" s="63" t="str">
        <f>IF(SAISIE!I46="","",SAISIE!E46)</f>
        <v/>
      </c>
      <c r="E582" s="63" t="str">
        <f>IF(SAISIE!I46="","",SAISIE!F46)</f>
        <v/>
      </c>
      <c r="F582" s="70" t="str">
        <f>IF(SAISIE!$I46="","",IF(SAISIE!$N46="","",SAISIE!$N46))</f>
        <v/>
      </c>
      <c r="G582" s="63" t="str">
        <f>IF(SAISIE!I46="","",SAISIE!I46)</f>
        <v/>
      </c>
      <c r="H582" s="63"/>
      <c r="I582" s="63" t="str">
        <f>IF(SAISIE!$I46="","",SAISIE!$Q46)</f>
        <v/>
      </c>
      <c r="J582" s="71" t="str">
        <f>IF(COUNTBLANK(SAISIE!$J$6:$M$6)=4,"",IF(SAISIE!I46="","",IF(SAISIE!J46&gt;0,SAISIE!$J$6,IF(SAISIE!K46&gt;0,SAISIE!$K$6,IF(SAISIE!L46&gt;0,SAISIE!$L$6,IF(SAISIE!M46&gt;0,SAISIE!$M$6,""))))))</f>
        <v/>
      </c>
      <c r="O582" s="59" t="s">
        <v>53</v>
      </c>
    </row>
    <row r="583" spans="1:15" x14ac:dyDescent="0.25">
      <c r="A583" s="63" t="e">
        <f>IF(AND(G583="",H583=""),"SUPPR",SAISIE!$B$3)</f>
        <v>#REF!</v>
      </c>
      <c r="B583" s="63" t="e">
        <f>IF(SAISIE!#REF!="","",IF(LEN(SAISIE!B46)=1,CONCATENATE("0",SAISIE!B46,"/",SAISIE!$B$4,"/",SAISIE!$B$5),CONCATENATE(SAISIE!B46,"/",SAISIE!$B$4,"/",SAISIE!$B$5)))</f>
        <v>#REF!</v>
      </c>
      <c r="C583" s="63" t="e">
        <f>IF(SAISIE!#REF!="","",SAISIE!#REF!)</f>
        <v>#REF!</v>
      </c>
      <c r="D583" s="63" t="e">
        <f>IF(SAISIE!#REF!="","",SAISIE!E46)</f>
        <v>#REF!</v>
      </c>
      <c r="E583" s="63" t="e">
        <f>IF(SAISIE!#REF!="","",SAISIE!F46)</f>
        <v>#REF!</v>
      </c>
      <c r="F583" s="70" t="e">
        <f>IF(SAISIE!#REF!="","",IF(SAISIE!$N46="","",SAISIE!$N46))</f>
        <v>#REF!</v>
      </c>
      <c r="G583" s="63" t="e">
        <f>IF(SAISIE!#REF!="","",SAISIE!#REF!)</f>
        <v>#REF!</v>
      </c>
      <c r="H583" s="63"/>
      <c r="I583" s="63" t="e">
        <f>IF(SAISIE!#REF!="","",SAISIE!$Q46)</f>
        <v>#REF!</v>
      </c>
      <c r="J583" s="71" t="str">
        <f>IF(COUNTBLANK(SAISIE!$J$6:$M$6)=4,"",IF(SAISIE!#REF!="","",IF(SAISIE!J46&gt;0,SAISIE!$J$6,IF(SAISIE!K46&gt;0,SAISIE!$K$6,IF(SAISIE!L46&gt;0,SAISIE!$L$6,IF(SAISIE!M46&gt;0,SAISIE!$M$6,""))))))</f>
        <v/>
      </c>
      <c r="O583" s="59" t="s">
        <v>54</v>
      </c>
    </row>
    <row r="584" spans="1:15" x14ac:dyDescent="0.25">
      <c r="A584" s="63" t="e">
        <f>IF(AND(G584="",H584=""),"SUPPR",SAISIE!$B$3)</f>
        <v>#REF!</v>
      </c>
      <c r="B584" s="63" t="e">
        <f>IF(SAISIE!#REF!="","",IF(LEN(SAISIE!B46)=1,CONCATENATE("0",SAISIE!B46,"/",SAISIE!$B$4,"/",SAISIE!$B$5),CONCATENATE(SAISIE!B46,"/",SAISIE!$B$4,"/",SAISIE!$B$5)))</f>
        <v>#REF!</v>
      </c>
      <c r="C584" s="63" t="e">
        <f>IF(SAISIE!#REF!="","",SAISIE!#REF!)</f>
        <v>#REF!</v>
      </c>
      <c r="D584" s="63" t="e">
        <f>IF(SAISIE!#REF!="","",SAISIE!E46)</f>
        <v>#REF!</v>
      </c>
      <c r="E584" s="63" t="e">
        <f>IF(SAISIE!#REF!="","",SAISIE!F46)</f>
        <v>#REF!</v>
      </c>
      <c r="F584" s="70" t="e">
        <f>IF(SAISIE!#REF!="","",IF(SAISIE!$N46="","",SAISIE!$N46))</f>
        <v>#REF!</v>
      </c>
      <c r="G584" s="63" t="e">
        <f>IF(SAISIE!#REF!="","",SAISIE!#REF!)</f>
        <v>#REF!</v>
      </c>
      <c r="H584" s="63"/>
      <c r="I584" s="63" t="e">
        <f>IF(SAISIE!#REF!="","",SAISIE!$Q46)</f>
        <v>#REF!</v>
      </c>
      <c r="J584" s="71" t="str">
        <f>IF(COUNTBLANK(SAISIE!$J$6:$M$6)=4,"",IF(SAISIE!#REF!="","",IF(SAISIE!J46&gt;0,SAISIE!$J$6,IF(SAISIE!K46&gt;0,SAISIE!$K$6,IF(SAISIE!L46&gt;0,SAISIE!$L$6,IF(SAISIE!M46&gt;0,SAISIE!$M$6,""))))))</f>
        <v/>
      </c>
      <c r="O584" s="59" t="s">
        <v>55</v>
      </c>
    </row>
    <row r="585" spans="1:15" x14ac:dyDescent="0.25">
      <c r="A585" s="63" t="e">
        <f>IF(AND(G585="",H585=""),"SUPPR",SAISIE!$B$3)</f>
        <v>#REF!</v>
      </c>
      <c r="B585" s="63" t="e">
        <f>IF(SAISIE!#REF!="","",IF(LEN(SAISIE!B46)=1,CONCATENATE("0",SAISIE!B46,"/",SAISIE!$B$4,"/",SAISIE!$B$5),CONCATENATE(SAISIE!B46,"/",SAISIE!$B$4,"/",SAISIE!$B$5)))</f>
        <v>#REF!</v>
      </c>
      <c r="C585" s="63" t="e">
        <f>IF(SAISIE!#REF!="","",SAISIE!#REF!)</f>
        <v>#REF!</v>
      </c>
      <c r="D585" s="63" t="e">
        <f>IF(SAISIE!#REF!="","",SAISIE!E46)</f>
        <v>#REF!</v>
      </c>
      <c r="E585" s="63" t="e">
        <f>IF(SAISIE!#REF!="","",SAISIE!F46)</f>
        <v>#REF!</v>
      </c>
      <c r="F585" s="70" t="e">
        <f>IF(SAISIE!#REF!="","",IF(SAISIE!$N46="","",SAISIE!$N46))</f>
        <v>#REF!</v>
      </c>
      <c r="G585" s="63" t="e">
        <f>IF(SAISIE!#REF!="","",SAISIE!#REF!)</f>
        <v>#REF!</v>
      </c>
      <c r="H585" s="63"/>
      <c r="I585" s="63" t="e">
        <f>IF(SAISIE!#REF!="","",SAISIE!$Q46)</f>
        <v>#REF!</v>
      </c>
      <c r="J585" s="71" t="str">
        <f>IF(COUNTBLANK(SAISIE!$J$6:$M$6)=4,"",IF(SAISIE!#REF!="","",IF(SAISIE!J46&gt;0,SAISIE!$J$6,IF(SAISIE!K46&gt;0,SAISIE!$K$6,IF(SAISIE!L46&gt;0,SAISIE!$L$6,IF(SAISIE!M46&gt;0,SAISIE!$M$6,""))))))</f>
        <v/>
      </c>
      <c r="O585" s="59" t="s">
        <v>56</v>
      </c>
    </row>
    <row r="586" spans="1:15" x14ac:dyDescent="0.25">
      <c r="A586" s="63" t="e">
        <f>IF(AND(G586="",H586=""),"SUPPR",SAISIE!$B$3)</f>
        <v>#REF!</v>
      </c>
      <c r="B586" s="63" t="e">
        <f>IF(SAISIE!#REF!="","",IF(LEN(SAISIE!B46)=1,CONCATENATE("0",SAISIE!B46,"/",SAISIE!$B$4,"/",SAISIE!$B$5),CONCATENATE(SAISIE!B46,"/",SAISIE!$B$4,"/",SAISIE!$B$5)))</f>
        <v>#REF!</v>
      </c>
      <c r="C586" s="63" t="e">
        <f>IF(SAISIE!#REF!="","",SAISIE!#REF!)</f>
        <v>#REF!</v>
      </c>
      <c r="D586" s="63" t="e">
        <f>IF(SAISIE!#REF!="","",SAISIE!E46)</f>
        <v>#REF!</v>
      </c>
      <c r="E586" s="63" t="e">
        <f>IF(SAISIE!#REF!="","",SAISIE!F46)</f>
        <v>#REF!</v>
      </c>
      <c r="F586" s="70" t="e">
        <f>IF(SAISIE!#REF!="","",IF(SAISIE!$N46="","",SAISIE!$N46))</f>
        <v>#REF!</v>
      </c>
      <c r="G586" s="63" t="e">
        <f>IF(SAISIE!#REF!="","",SAISIE!#REF!)</f>
        <v>#REF!</v>
      </c>
      <c r="H586" s="63"/>
      <c r="I586" s="63" t="e">
        <f>IF(SAISIE!#REF!="","",SAISIE!$Q46)</f>
        <v>#REF!</v>
      </c>
      <c r="J586" s="71" t="str">
        <f>IF(COUNTBLANK(SAISIE!$J$6:$M$6)=4,"",IF(SAISIE!#REF!="","",IF(SAISIE!J46&gt;0,SAISIE!$J$6,IF(SAISIE!K46&gt;0,SAISIE!$K$6,IF(SAISIE!L46&gt;0,SAISIE!$L$6,IF(SAISIE!M46&gt;0,SAISIE!$M$6,""))))))</f>
        <v/>
      </c>
      <c r="O586" s="59" t="s">
        <v>57</v>
      </c>
    </row>
    <row r="587" spans="1:15" x14ac:dyDescent="0.25">
      <c r="A587" s="63" t="e">
        <f>IF(AND(G587="",H587=""),"SUPPR",SAISIE!$B$3)</f>
        <v>#REF!</v>
      </c>
      <c r="B587" s="63" t="e">
        <f>IF(SAISIE!#REF!="","",IF(LEN(SAISIE!B46)=1,CONCATENATE("0",SAISIE!B46,"/",SAISIE!$B$4,"/",SAISIE!$B$5),CONCATENATE(SAISIE!B46,"/",SAISIE!$B$4,"/",SAISIE!$B$5)))</f>
        <v>#REF!</v>
      </c>
      <c r="C587" s="63" t="e">
        <f>IF(SAISIE!#REF!="","",SAISIE!#REF!)</f>
        <v>#REF!</v>
      </c>
      <c r="D587" s="63" t="e">
        <f>IF(SAISIE!#REF!="","",SAISIE!E46)</f>
        <v>#REF!</v>
      </c>
      <c r="E587" s="63" t="e">
        <f>IF(SAISIE!#REF!="","",SAISIE!F46)</f>
        <v>#REF!</v>
      </c>
      <c r="F587" s="70" t="e">
        <f>IF(SAISIE!#REF!="","",IF(SAISIE!$N46="","",SAISIE!$N46))</f>
        <v>#REF!</v>
      </c>
      <c r="G587" s="63" t="e">
        <f>IF(SAISIE!#REF!="","",SAISIE!#REF!)</f>
        <v>#REF!</v>
      </c>
      <c r="H587" s="63"/>
      <c r="I587" s="63" t="e">
        <f>IF(SAISIE!#REF!="","",SAISIE!$Q46)</f>
        <v>#REF!</v>
      </c>
      <c r="J587" s="71" t="str">
        <f>IF(COUNTBLANK(SAISIE!$J$6:$M$6)=4,"",IF(SAISIE!#REF!="","",IF(SAISIE!J46&gt;0,SAISIE!$J$6,IF(SAISIE!K46&gt;0,SAISIE!$K$6,IF(SAISIE!L46&gt;0,SAISIE!$L$6,IF(SAISIE!M46&gt;0,SAISIE!$M$6,""))))))</f>
        <v/>
      </c>
      <c r="O587" s="59" t="s">
        <v>58</v>
      </c>
    </row>
    <row r="588" spans="1:15" x14ac:dyDescent="0.25">
      <c r="A588" s="63" t="e">
        <f>IF(AND(G588="",H588=""),"SUPPR",SAISIE!$B$3)</f>
        <v>#REF!</v>
      </c>
      <c r="B588" s="63" t="e">
        <f>IF(SAISIE!#REF!="","",IF(LEN(SAISIE!B46)=1,CONCATENATE("0",SAISIE!B46,"/",SAISIE!$B$4,"/",SAISIE!$B$5),CONCATENATE(SAISIE!B46,"/",SAISIE!$B$4,"/",SAISIE!$B$5)))</f>
        <v>#REF!</v>
      </c>
      <c r="C588" s="63" t="e">
        <f>IF(SAISIE!#REF!="","",SAISIE!#REF!)</f>
        <v>#REF!</v>
      </c>
      <c r="D588" s="63" t="e">
        <f>IF(SAISIE!#REF!="","",SAISIE!E46)</f>
        <v>#REF!</v>
      </c>
      <c r="E588" s="63" t="e">
        <f>IF(SAISIE!#REF!="","",SAISIE!F46)</f>
        <v>#REF!</v>
      </c>
      <c r="F588" s="70" t="e">
        <f>IF(SAISIE!#REF!="","",IF(SAISIE!$N46="","",SAISIE!$N46))</f>
        <v>#REF!</v>
      </c>
      <c r="G588" s="63" t="e">
        <f>IF(SAISIE!#REF!="","",SAISIE!#REF!)</f>
        <v>#REF!</v>
      </c>
      <c r="H588" s="63"/>
      <c r="I588" s="63" t="e">
        <f>IF(SAISIE!#REF!="","",SAISIE!$Q46)</f>
        <v>#REF!</v>
      </c>
      <c r="J588" s="71" t="str">
        <f>IF(COUNTBLANK(SAISIE!$J$6:$M$6)=4,"",IF(SAISIE!#REF!="","",IF(SAISIE!J46&gt;0,SAISIE!$J$6,IF(SAISIE!K46&gt;0,SAISIE!$K$6,IF(SAISIE!L46&gt;0,SAISIE!$L$6,IF(SAISIE!M46&gt;0,SAISIE!$M$6,""))))))</f>
        <v/>
      </c>
      <c r="O588" s="59" t="s">
        <v>59</v>
      </c>
    </row>
    <row r="589" spans="1:15" x14ac:dyDescent="0.25">
      <c r="A589" s="63" t="e">
        <f>IF(AND(G589="",H589=""),"SUPPR",SAISIE!$B$3)</f>
        <v>#REF!</v>
      </c>
      <c r="B589" s="63" t="e">
        <f>IF(SAISIE!#REF!="","",IF(LEN(SAISIE!B46)=1,CONCATENATE("0",SAISIE!B46,"/",SAISIE!$B$4,"/",SAISIE!$B$5),CONCATENATE(SAISIE!B46,"/",SAISIE!$B$4,"/",SAISIE!$B$5)))</f>
        <v>#REF!</v>
      </c>
      <c r="C589" s="63" t="e">
        <f>IF(SAISIE!#REF!="","",SAISIE!#REF!)</f>
        <v>#REF!</v>
      </c>
      <c r="D589" s="63" t="e">
        <f>IF(SAISIE!#REF!="","",SAISIE!E46)</f>
        <v>#REF!</v>
      </c>
      <c r="E589" s="63" t="e">
        <f>IF(SAISIE!#REF!="","",SAISIE!F46)</f>
        <v>#REF!</v>
      </c>
      <c r="F589" s="70" t="e">
        <f>IF(SAISIE!#REF!="","",IF(SAISIE!$N46="","",SAISIE!$N46))</f>
        <v>#REF!</v>
      </c>
      <c r="G589" s="63" t="e">
        <f>IF(SAISIE!#REF!="","",SAISIE!#REF!)</f>
        <v>#REF!</v>
      </c>
      <c r="H589" s="63"/>
      <c r="I589" s="63" t="e">
        <f>IF(SAISIE!#REF!="","",SAISIE!$Q46)</f>
        <v>#REF!</v>
      </c>
      <c r="J589" s="71" t="str">
        <f>IF(COUNTBLANK(SAISIE!$J$6:$M$6)=4,"",IF(SAISIE!#REF!="","",IF(SAISIE!J46&gt;0,SAISIE!$J$6,IF(SAISIE!K46&gt;0,SAISIE!$K$6,IF(SAISIE!L46&gt;0,SAISIE!$L$6,IF(SAISIE!M46&gt;0,SAISIE!$M$6,""))))))</f>
        <v/>
      </c>
      <c r="O589" s="59" t="s">
        <v>60</v>
      </c>
    </row>
    <row r="590" spans="1:15" x14ac:dyDescent="0.25">
      <c r="A590" s="63" t="str">
        <f>IF(AND(G590="",H590=""),"SUPPR",SAISIE!$B$3)</f>
        <v>SUPPR</v>
      </c>
      <c r="B590" s="63" t="str">
        <f>IF(SAISIE!J46="","",IF(LEN(SAISIE!B46)=1,CONCATENATE("0",SAISIE!B46,"/",SAISIE!$B$4,"/",SAISIE!$B$5),CONCATENATE(SAISIE!B46,"/",SAISIE!$B$4,"/",SAISIE!$B$5)))</f>
        <v/>
      </c>
      <c r="C590" s="63" t="str">
        <f>IF(SAISIE!J46="","",SAISIE!$J$8)</f>
        <v/>
      </c>
      <c r="D590" s="63" t="str">
        <f>IF(SAISIE!J46="","",SAISIE!E46)</f>
        <v/>
      </c>
      <c r="E590" s="63" t="str">
        <f>IF(SAISIE!J46="","",SAISIE!F46)</f>
        <v/>
      </c>
      <c r="F590" s="70" t="str">
        <f>IF(SAISIE!$J46="","",IF(SAISIE!$N46="","",SAISIE!$N46))</f>
        <v/>
      </c>
      <c r="G590" s="63" t="str">
        <f>IF(SAISIE!J46="","",SAISIE!J46)</f>
        <v/>
      </c>
      <c r="H590" s="63"/>
      <c r="I590" s="72"/>
      <c r="J590" s="71"/>
      <c r="O590" s="73"/>
    </row>
    <row r="591" spans="1:15" x14ac:dyDescent="0.25">
      <c r="A591" s="63" t="str">
        <f>IF(AND(G591="",H591=""),"SUPPR",SAISIE!$B$3)</f>
        <v>SUPPR</v>
      </c>
      <c r="B591" s="63" t="str">
        <f>IF(SAISIE!K46="","",IF(LEN(SAISIE!B46)=1,CONCATENATE("0",SAISIE!B46,"/",SAISIE!$B$4,"/",SAISIE!$B$5),CONCATENATE(SAISIE!B46,"/",SAISIE!$B$4,"/",SAISIE!$B$5)))</f>
        <v/>
      </c>
      <c r="C591" s="63" t="str">
        <f>IF(SAISIE!K46="","",SAISIE!$K$8)</f>
        <v/>
      </c>
      <c r="D591" s="63" t="str">
        <f>IF(SAISIE!K46="","",SAISIE!E46)</f>
        <v/>
      </c>
      <c r="E591" s="63" t="str">
        <f>IF(SAISIE!K46="","",SAISIE!F46)</f>
        <v/>
      </c>
      <c r="F591" s="70" t="str">
        <f>IF(SAISIE!$K46="","",IF(SAISIE!$N46="","",SAISIE!$N46))</f>
        <v/>
      </c>
      <c r="G591" s="63" t="str">
        <f>IF(SAISIE!K46="","",SAISIE!K46)</f>
        <v/>
      </c>
      <c r="H591" s="63"/>
      <c r="I591" s="72"/>
      <c r="J591" s="71"/>
    </row>
    <row r="592" spans="1:15" x14ac:dyDescent="0.25">
      <c r="A592" s="63" t="str">
        <f>IF(AND(G592="",H592=""),"SUPPR",SAISIE!$B$3)</f>
        <v>SUPPR</v>
      </c>
      <c r="B592" s="63" t="str">
        <f>IF(SAISIE!L46="","",IF(LEN(SAISIE!B46)=1,CONCATENATE("0",SAISIE!B46,"/",SAISIE!$B$4,"/",SAISIE!$B$5),CONCATENATE(SAISIE!B46,"/",SAISIE!$B$4,"/",SAISIE!$B$5)))</f>
        <v/>
      </c>
      <c r="C592" s="63" t="str">
        <f>IF(SAISIE!L46="","",SAISIE!$L$8)</f>
        <v/>
      </c>
      <c r="D592" s="63" t="str">
        <f>IF(SAISIE!L46="","",SAISIE!E46)</f>
        <v/>
      </c>
      <c r="E592" s="63" t="str">
        <f>IF(SAISIE!L46="","",SAISIE!F46)</f>
        <v/>
      </c>
      <c r="F592" s="70" t="str">
        <f>IF(SAISIE!$L46="","",IF(SAISIE!$N46="","",SAISIE!$N46))</f>
        <v/>
      </c>
      <c r="G592" s="63" t="str">
        <f>IF(SAISIE!L46="","",SAISIE!L46)</f>
        <v/>
      </c>
      <c r="H592" s="63"/>
      <c r="I592" s="72"/>
      <c r="J592" s="71"/>
    </row>
    <row r="593" spans="1:15" x14ac:dyDescent="0.25">
      <c r="A593" s="63" t="str">
        <f>IF(AND(G593="",H593=""),"SUPPR",SAISIE!$B$3)</f>
        <v>SUPPR</v>
      </c>
      <c r="B593" s="63" t="str">
        <f>IF(SAISIE!M46="","",IF(LEN(SAISIE!B46)=1,CONCATENATE("0",SAISIE!B46,"/",SAISIE!$B$4,"/",SAISIE!$B$5),CONCATENATE(SAISIE!B46,"/",SAISIE!$B$4,"/",SAISIE!$B$5)))</f>
        <v/>
      </c>
      <c r="C593" s="74" t="str">
        <f>IF(SAISIE!M46="","",SAISIE!$M$8)</f>
        <v/>
      </c>
      <c r="D593" s="74" t="str">
        <f>IF(SAISIE!M46="","",SAISIE!E46)</f>
        <v/>
      </c>
      <c r="E593" s="74" t="str">
        <f>IF(SAISIE!M46="","",SAISIE!F46)</f>
        <v/>
      </c>
      <c r="F593" s="75" t="str">
        <f>IF(SAISIE!$M46="","",IF(SAISIE!$N46="","",SAISIE!$N46))</f>
        <v/>
      </c>
      <c r="G593" s="74" t="str">
        <f>IF(SAISIE!M46="","",SAISIE!M46)</f>
        <v/>
      </c>
      <c r="H593" s="76"/>
      <c r="I593" s="77"/>
      <c r="J593" s="78"/>
    </row>
    <row r="594" spans="1:15" x14ac:dyDescent="0.25">
      <c r="A594" s="63" t="str">
        <f>IF(AND(G594="",H594=""),"SUPPR",SAISIE!$B$3)</f>
        <v>SUPPR</v>
      </c>
      <c r="B594" s="64" t="str">
        <f>IF(SAISIE!B47="","",IF(LEN(SAISIE!B47)=1,CONCATENATE("0",SAISIE!B47,"/",SAISIE!$B$4,"/",SAISIE!$B$5),CONCATENATE(SAISIE!B47,"/",SAISIE!$B$4,"/",SAISIE!$B$5)))</f>
        <v/>
      </c>
      <c r="C594" s="64" t="str">
        <f>IF(SAISIE!B47="","",CONCATENATE($M$2,SAISIE!C47))</f>
        <v/>
      </c>
      <c r="D594" s="64" t="str">
        <f>IF(SAISIE!B47="","",SAISIE!E47)</f>
        <v/>
      </c>
      <c r="E594" s="64" t="str">
        <f>IF(SAISIE!B47="","",SAISIE!F47)</f>
        <v/>
      </c>
      <c r="F594" s="65" t="str">
        <f>IF(A594="SUPPR","",IF(SAISIE!$N47="","",SAISIE!$N47))</f>
        <v/>
      </c>
      <c r="G594" s="64"/>
      <c r="H594" s="64" t="str">
        <f>IF(SAISIE!B47="","",SAISIE!D47)</f>
        <v/>
      </c>
      <c r="I594" s="66"/>
      <c r="J594" s="67" t="str">
        <f>IF(AZ47="","","")</f>
        <v/>
      </c>
      <c r="O594" s="69">
        <f>O578+1</f>
        <v>47</v>
      </c>
    </row>
    <row r="595" spans="1:15" x14ac:dyDescent="0.25">
      <c r="A595" s="63" t="str">
        <f>IF(AND(G595="",H595=""),"SUPPR",SAISIE!$B$3)</f>
        <v>SUPPR</v>
      </c>
      <c r="B595" s="63" t="str">
        <f>IF(SAISIE!P47="","",IF(LEN(SAISIE!B47)=1,CONCATENATE("0",SAISIE!B47,"/",SAISIE!$B$4,"/",SAISIE!$B$5),CONCATENATE(SAISIE!B47,"/",SAISIE!$B$4,"/",SAISIE!$B$5)))</f>
        <v/>
      </c>
      <c r="C595" s="63" t="str">
        <f>IF(SAISIE!P47="","",SAISIE!O47)</f>
        <v/>
      </c>
      <c r="D595" s="63" t="str">
        <f>IF(SAISIE!P47="","",SAISIE!E47)</f>
        <v/>
      </c>
      <c r="E595" s="63" t="str">
        <f>IF(SAISIE!P47="","",SAISIE!F47)</f>
        <v/>
      </c>
      <c r="F595" s="70" t="str">
        <f>IF(SAISIE!$P47="","",IF(SAISIE!$N47="","",SAISIE!$N47))</f>
        <v/>
      </c>
      <c r="G595" s="63" t="str">
        <f>IF(SAISIE!P47="","",SAISIE!P47)</f>
        <v/>
      </c>
      <c r="H595" s="63"/>
      <c r="I595" s="63" t="str">
        <f>IF(SAISIE!$P47="","",SAISIE!$Q47)</f>
        <v/>
      </c>
      <c r="J595" s="71" t="str">
        <f>IF(COUNTBLANK(SAISIE!$J$6:$M$6)=4,"",IF(SAISIE!P47="","",IF(SAISIE!J47&gt;0,SAISIE!$J$6,IF(SAISIE!K47&gt;0,SAISIE!$K$6,IF(SAISIE!L47&gt;0,SAISIE!$L$6,IF(SAISIE!M47&gt;0,SAISIE!$M$6,""))))))</f>
        <v/>
      </c>
      <c r="O595" s="59" t="s">
        <v>50</v>
      </c>
    </row>
    <row r="596" spans="1:15" x14ac:dyDescent="0.25">
      <c r="A596" s="63" t="str">
        <f>IF(AND(G596="",H596=""),"SUPPR",SAISIE!$B$3)</f>
        <v>SUPPR</v>
      </c>
      <c r="B596" s="63" t="str">
        <f>IF(SAISIE!G47="","",IF(LEN(SAISIE!B47)=1,CONCATENATE("0",SAISIE!B47,"/",SAISIE!$B$4,"/",SAISIE!$B$5),CONCATENATE(SAISIE!B47,"/",SAISIE!$B$4,"/",SAISIE!$B$5)))</f>
        <v/>
      </c>
      <c r="C596" s="63" t="str">
        <f>IF(SAISIE!G47="","",SAISIE!$G$8)</f>
        <v/>
      </c>
      <c r="D596" s="63" t="str">
        <f>IF(SAISIE!G47="","",SAISIE!E47)</f>
        <v/>
      </c>
      <c r="E596" s="63" t="str">
        <f>IF(SAISIE!G47="","",SAISIE!F47)</f>
        <v/>
      </c>
      <c r="F596" s="70" t="str">
        <f>IF(SAISIE!$G47="","",IF(SAISIE!$N47="","",SAISIE!$N47))</f>
        <v/>
      </c>
      <c r="G596" s="63" t="str">
        <f>IF(SAISIE!G47="","",SAISIE!G47)</f>
        <v/>
      </c>
      <c r="H596" s="63"/>
      <c r="I596" s="63" t="str">
        <f>IF(SAISIE!$G47="","",SAISIE!$Q47)</f>
        <v/>
      </c>
      <c r="J596" s="71" t="str">
        <f>IF(COUNTBLANK(SAISIE!$J$6:$M$6)=4,"",IF(SAISIE!G47="","",IF(SAISIE!J47&gt;0,SAISIE!$J$6,IF(SAISIE!K47&gt;0,SAISIE!$K$6,IF(SAISIE!L47&gt;0,SAISIE!$L$6,IF(SAISIE!M47&gt;0,SAISIE!$M$6,""))))))</f>
        <v/>
      </c>
      <c r="O596" s="59" t="s">
        <v>51</v>
      </c>
    </row>
    <row r="597" spans="1:15" x14ac:dyDescent="0.25">
      <c r="A597" s="63" t="str">
        <f>IF(AND(G597="",H597=""),"SUPPR",SAISIE!$B$3)</f>
        <v>SUPPR</v>
      </c>
      <c r="B597" s="63" t="str">
        <f>IF(SAISIE!H47="","",IF(LEN(SAISIE!B47)=1,CONCATENATE("0",SAISIE!B47,"/",SAISIE!$B$4,"/",SAISIE!$B$5),CONCATENATE(SAISIE!B47,"/",SAISIE!$B$4,"/",SAISIE!$B$5)))</f>
        <v/>
      </c>
      <c r="C597" s="63" t="str">
        <f>IF(SAISIE!H47="","",SAISIE!$H$8)</f>
        <v/>
      </c>
      <c r="D597" s="63" t="str">
        <f>IF(SAISIE!H47="","",SAISIE!E47)</f>
        <v/>
      </c>
      <c r="E597" s="63" t="str">
        <f>IF(SAISIE!H47="","",SAISIE!F47)</f>
        <v/>
      </c>
      <c r="F597" s="70" t="str">
        <f>IF(SAISIE!$H47="","",IF(SAISIE!$N47="","",SAISIE!$N47))</f>
        <v/>
      </c>
      <c r="G597" s="63" t="str">
        <f>IF(SAISIE!H47="","",SAISIE!H47)</f>
        <v/>
      </c>
      <c r="H597" s="63"/>
      <c r="I597" s="63" t="str">
        <f>IF(SAISIE!$H47="","",SAISIE!$Q47)</f>
        <v/>
      </c>
      <c r="J597" s="71" t="str">
        <f>IF(COUNTBLANK(SAISIE!$J$6:$M$6)=4,"",IF(SAISIE!H47="","",IF(SAISIE!J47&gt;0,SAISIE!$J$6,IF(SAISIE!K47&gt;0,SAISIE!$K$6,IF(SAISIE!L47&gt;0,SAISIE!$L$6,IF(SAISIE!M47&gt;0,SAISIE!$M$6,""))))))</f>
        <v/>
      </c>
      <c r="O597" s="59" t="s">
        <v>52</v>
      </c>
    </row>
    <row r="598" spans="1:15" x14ac:dyDescent="0.25">
      <c r="A598" s="63" t="str">
        <f>IF(AND(G598="",H598=""),"SUPPR",SAISIE!$B$3)</f>
        <v>SUPPR</v>
      </c>
      <c r="B598" s="63" t="str">
        <f>IF(SAISIE!I47="","",IF(LEN(SAISIE!B47)=1,CONCATENATE("0",SAISIE!B47,"/",SAISIE!$B$4,"/",SAISIE!$B$5),CONCATENATE(SAISIE!B47,"/",SAISIE!$B$4,"/",SAISIE!$B$5)))</f>
        <v/>
      </c>
      <c r="C598" s="63" t="str">
        <f>IF(SAISIE!I47="","",SAISIE!$I$8)</f>
        <v/>
      </c>
      <c r="D598" s="63" t="str">
        <f>IF(SAISIE!I47="","",SAISIE!E47)</f>
        <v/>
      </c>
      <c r="E598" s="63" t="str">
        <f>IF(SAISIE!I47="","",SAISIE!F47)</f>
        <v/>
      </c>
      <c r="F598" s="70" t="str">
        <f>IF(SAISIE!$I47="","",IF(SAISIE!$N47="","",SAISIE!$N47))</f>
        <v/>
      </c>
      <c r="G598" s="63" t="str">
        <f>IF(SAISIE!I47="","",SAISIE!I47)</f>
        <v/>
      </c>
      <c r="H598" s="63"/>
      <c r="I598" s="63" t="str">
        <f>IF(SAISIE!$I47="","",SAISIE!$Q47)</f>
        <v/>
      </c>
      <c r="J598" s="71" t="str">
        <f>IF(COUNTBLANK(SAISIE!$J$6:$M$6)=4,"",IF(SAISIE!I47="","",IF(SAISIE!J47&gt;0,SAISIE!$J$6,IF(SAISIE!K47&gt;0,SAISIE!$K$6,IF(SAISIE!L47&gt;0,SAISIE!$L$6,IF(SAISIE!M47&gt;0,SAISIE!$M$6,""))))))</f>
        <v/>
      </c>
      <c r="O598" s="59" t="s">
        <v>53</v>
      </c>
    </row>
    <row r="599" spans="1:15" x14ac:dyDescent="0.25">
      <c r="A599" s="63" t="e">
        <f>IF(AND(G599="",H599=""),"SUPPR",SAISIE!$B$3)</f>
        <v>#REF!</v>
      </c>
      <c r="B599" s="63" t="e">
        <f>IF(SAISIE!#REF!="","",IF(LEN(SAISIE!B47)=1,CONCATENATE("0",SAISIE!B47,"/",SAISIE!$B$4,"/",SAISIE!$B$5),CONCATENATE(SAISIE!B47,"/",SAISIE!$B$4,"/",SAISIE!$B$5)))</f>
        <v>#REF!</v>
      </c>
      <c r="C599" s="63" t="e">
        <f>IF(SAISIE!#REF!="","",SAISIE!#REF!)</f>
        <v>#REF!</v>
      </c>
      <c r="D599" s="63" t="e">
        <f>IF(SAISIE!#REF!="","",SAISIE!E47)</f>
        <v>#REF!</v>
      </c>
      <c r="E599" s="63" t="e">
        <f>IF(SAISIE!#REF!="","",SAISIE!F47)</f>
        <v>#REF!</v>
      </c>
      <c r="F599" s="70" t="e">
        <f>IF(SAISIE!#REF!="","",IF(SAISIE!$N47="","",SAISIE!$N47))</f>
        <v>#REF!</v>
      </c>
      <c r="G599" s="63" t="e">
        <f>IF(SAISIE!#REF!="","",SAISIE!#REF!)</f>
        <v>#REF!</v>
      </c>
      <c r="H599" s="63"/>
      <c r="I599" s="63" t="e">
        <f>IF(SAISIE!#REF!="","",SAISIE!$Q47)</f>
        <v>#REF!</v>
      </c>
      <c r="J599" s="71" t="str">
        <f>IF(COUNTBLANK(SAISIE!$J$6:$M$6)=4,"",IF(SAISIE!#REF!="","",IF(SAISIE!J47&gt;0,SAISIE!$J$6,IF(SAISIE!K47&gt;0,SAISIE!$K$6,IF(SAISIE!L47&gt;0,SAISIE!$L$6,IF(SAISIE!M47&gt;0,SAISIE!$M$6,""))))))</f>
        <v/>
      </c>
      <c r="O599" s="59" t="s">
        <v>54</v>
      </c>
    </row>
    <row r="600" spans="1:15" x14ac:dyDescent="0.25">
      <c r="A600" s="63" t="e">
        <f>IF(AND(G600="",H600=""),"SUPPR",SAISIE!$B$3)</f>
        <v>#REF!</v>
      </c>
      <c r="B600" s="63" t="e">
        <f>IF(SAISIE!#REF!="","",IF(LEN(SAISIE!B47)=1,CONCATENATE("0",SAISIE!B47,"/",SAISIE!$B$4,"/",SAISIE!$B$5),CONCATENATE(SAISIE!B47,"/",SAISIE!$B$4,"/",SAISIE!$B$5)))</f>
        <v>#REF!</v>
      </c>
      <c r="C600" s="63" t="e">
        <f>IF(SAISIE!#REF!="","",SAISIE!#REF!)</f>
        <v>#REF!</v>
      </c>
      <c r="D600" s="63" t="e">
        <f>IF(SAISIE!#REF!="","",SAISIE!E47)</f>
        <v>#REF!</v>
      </c>
      <c r="E600" s="63" t="e">
        <f>IF(SAISIE!#REF!="","",SAISIE!F47)</f>
        <v>#REF!</v>
      </c>
      <c r="F600" s="70" t="e">
        <f>IF(SAISIE!#REF!="","",IF(SAISIE!$N47="","",SAISIE!$N47))</f>
        <v>#REF!</v>
      </c>
      <c r="G600" s="63" t="e">
        <f>IF(SAISIE!#REF!="","",SAISIE!#REF!)</f>
        <v>#REF!</v>
      </c>
      <c r="H600" s="63"/>
      <c r="I600" s="63" t="e">
        <f>IF(SAISIE!#REF!="","",SAISIE!$Q47)</f>
        <v>#REF!</v>
      </c>
      <c r="J600" s="71" t="str">
        <f>IF(COUNTBLANK(SAISIE!$J$6:$M$6)=4,"",IF(SAISIE!#REF!="","",IF(SAISIE!J47&gt;0,SAISIE!$J$6,IF(SAISIE!K47&gt;0,SAISIE!$K$6,IF(SAISIE!L47&gt;0,SAISIE!$L$6,IF(SAISIE!M47&gt;0,SAISIE!$M$6,""))))))</f>
        <v/>
      </c>
      <c r="O600" s="59" t="s">
        <v>55</v>
      </c>
    </row>
    <row r="601" spans="1:15" x14ac:dyDescent="0.25">
      <c r="A601" s="63" t="e">
        <f>IF(AND(G601="",H601=""),"SUPPR",SAISIE!$B$3)</f>
        <v>#REF!</v>
      </c>
      <c r="B601" s="63" t="e">
        <f>IF(SAISIE!#REF!="","",IF(LEN(SAISIE!B47)=1,CONCATENATE("0",SAISIE!B47,"/",SAISIE!$B$4,"/",SAISIE!$B$5),CONCATENATE(SAISIE!B47,"/",SAISIE!$B$4,"/",SAISIE!$B$5)))</f>
        <v>#REF!</v>
      </c>
      <c r="C601" s="63" t="e">
        <f>IF(SAISIE!#REF!="","",SAISIE!#REF!)</f>
        <v>#REF!</v>
      </c>
      <c r="D601" s="63" t="e">
        <f>IF(SAISIE!#REF!="","",SAISIE!E47)</f>
        <v>#REF!</v>
      </c>
      <c r="E601" s="63" t="e">
        <f>IF(SAISIE!#REF!="","",SAISIE!F47)</f>
        <v>#REF!</v>
      </c>
      <c r="F601" s="70" t="e">
        <f>IF(SAISIE!#REF!="","",IF(SAISIE!$N47="","",SAISIE!$N47))</f>
        <v>#REF!</v>
      </c>
      <c r="G601" s="63" t="e">
        <f>IF(SAISIE!#REF!="","",SAISIE!#REF!)</f>
        <v>#REF!</v>
      </c>
      <c r="H601" s="63"/>
      <c r="I601" s="63" t="e">
        <f>IF(SAISIE!#REF!="","",SAISIE!$Q47)</f>
        <v>#REF!</v>
      </c>
      <c r="J601" s="71" t="str">
        <f>IF(COUNTBLANK(SAISIE!$J$6:$M$6)=4,"",IF(SAISIE!#REF!="","",IF(SAISIE!J47&gt;0,SAISIE!$J$6,IF(SAISIE!K47&gt;0,SAISIE!$K$6,IF(SAISIE!L47&gt;0,SAISIE!$L$6,IF(SAISIE!M47&gt;0,SAISIE!$M$6,""))))))</f>
        <v/>
      </c>
      <c r="O601" s="59" t="s">
        <v>56</v>
      </c>
    </row>
    <row r="602" spans="1:15" x14ac:dyDescent="0.25">
      <c r="A602" s="63" t="e">
        <f>IF(AND(G602="",H602=""),"SUPPR",SAISIE!$B$3)</f>
        <v>#REF!</v>
      </c>
      <c r="B602" s="63" t="e">
        <f>IF(SAISIE!#REF!="","",IF(LEN(SAISIE!B47)=1,CONCATENATE("0",SAISIE!B47,"/",SAISIE!$B$4,"/",SAISIE!$B$5),CONCATENATE(SAISIE!B47,"/",SAISIE!$B$4,"/",SAISIE!$B$5)))</f>
        <v>#REF!</v>
      </c>
      <c r="C602" s="63" t="e">
        <f>IF(SAISIE!#REF!="","",SAISIE!#REF!)</f>
        <v>#REF!</v>
      </c>
      <c r="D602" s="63" t="e">
        <f>IF(SAISIE!#REF!="","",SAISIE!E47)</f>
        <v>#REF!</v>
      </c>
      <c r="E602" s="63" t="e">
        <f>IF(SAISIE!#REF!="","",SAISIE!F47)</f>
        <v>#REF!</v>
      </c>
      <c r="F602" s="70" t="e">
        <f>IF(SAISIE!#REF!="","",IF(SAISIE!$N47="","",SAISIE!$N47))</f>
        <v>#REF!</v>
      </c>
      <c r="G602" s="63" t="e">
        <f>IF(SAISIE!#REF!="","",SAISIE!#REF!)</f>
        <v>#REF!</v>
      </c>
      <c r="H602" s="63"/>
      <c r="I602" s="63" t="e">
        <f>IF(SAISIE!#REF!="","",SAISIE!$Q47)</f>
        <v>#REF!</v>
      </c>
      <c r="J602" s="71" t="str">
        <f>IF(COUNTBLANK(SAISIE!$J$6:$M$6)=4,"",IF(SAISIE!#REF!="","",IF(SAISIE!J47&gt;0,SAISIE!$J$6,IF(SAISIE!K47&gt;0,SAISIE!$K$6,IF(SAISIE!L47&gt;0,SAISIE!$L$6,IF(SAISIE!M47&gt;0,SAISIE!$M$6,""))))))</f>
        <v/>
      </c>
      <c r="O602" s="59" t="s">
        <v>57</v>
      </c>
    </row>
    <row r="603" spans="1:15" x14ac:dyDescent="0.25">
      <c r="A603" s="63" t="e">
        <f>IF(AND(G603="",H603=""),"SUPPR",SAISIE!$B$3)</f>
        <v>#REF!</v>
      </c>
      <c r="B603" s="63" t="e">
        <f>IF(SAISIE!#REF!="","",IF(LEN(SAISIE!B47)=1,CONCATENATE("0",SAISIE!B47,"/",SAISIE!$B$4,"/",SAISIE!$B$5),CONCATENATE(SAISIE!B47,"/",SAISIE!$B$4,"/",SAISIE!$B$5)))</f>
        <v>#REF!</v>
      </c>
      <c r="C603" s="63" t="e">
        <f>IF(SAISIE!#REF!="","",SAISIE!#REF!)</f>
        <v>#REF!</v>
      </c>
      <c r="D603" s="63" t="e">
        <f>IF(SAISIE!#REF!="","",SAISIE!E47)</f>
        <v>#REF!</v>
      </c>
      <c r="E603" s="63" t="e">
        <f>IF(SAISIE!#REF!="","",SAISIE!F47)</f>
        <v>#REF!</v>
      </c>
      <c r="F603" s="70" t="e">
        <f>IF(SAISIE!#REF!="","",IF(SAISIE!$N47="","",SAISIE!$N47))</f>
        <v>#REF!</v>
      </c>
      <c r="G603" s="63" t="e">
        <f>IF(SAISIE!#REF!="","",SAISIE!#REF!)</f>
        <v>#REF!</v>
      </c>
      <c r="H603" s="63"/>
      <c r="I603" s="63" t="e">
        <f>IF(SAISIE!#REF!="","",SAISIE!$Q47)</f>
        <v>#REF!</v>
      </c>
      <c r="J603" s="71" t="str">
        <f>IF(COUNTBLANK(SAISIE!$J$6:$M$6)=4,"",IF(SAISIE!#REF!="","",IF(SAISIE!J47&gt;0,SAISIE!$J$6,IF(SAISIE!K47&gt;0,SAISIE!$K$6,IF(SAISIE!L47&gt;0,SAISIE!$L$6,IF(SAISIE!M47&gt;0,SAISIE!$M$6,""))))))</f>
        <v/>
      </c>
      <c r="O603" s="59" t="s">
        <v>58</v>
      </c>
    </row>
    <row r="604" spans="1:15" x14ac:dyDescent="0.25">
      <c r="A604" s="63" t="e">
        <f>IF(AND(G604="",H604=""),"SUPPR",SAISIE!$B$3)</f>
        <v>#REF!</v>
      </c>
      <c r="B604" s="63" t="e">
        <f>IF(SAISIE!#REF!="","",IF(LEN(SAISIE!B47)=1,CONCATENATE("0",SAISIE!B47,"/",SAISIE!$B$4,"/",SAISIE!$B$5),CONCATENATE(SAISIE!B47,"/",SAISIE!$B$4,"/",SAISIE!$B$5)))</f>
        <v>#REF!</v>
      </c>
      <c r="C604" s="63" t="e">
        <f>IF(SAISIE!#REF!="","",SAISIE!#REF!)</f>
        <v>#REF!</v>
      </c>
      <c r="D604" s="63" t="e">
        <f>IF(SAISIE!#REF!="","",SAISIE!E47)</f>
        <v>#REF!</v>
      </c>
      <c r="E604" s="63" t="e">
        <f>IF(SAISIE!#REF!="","",SAISIE!F47)</f>
        <v>#REF!</v>
      </c>
      <c r="F604" s="70" t="e">
        <f>IF(SAISIE!#REF!="","",IF(SAISIE!$N47="","",SAISIE!$N47))</f>
        <v>#REF!</v>
      </c>
      <c r="G604" s="63" t="e">
        <f>IF(SAISIE!#REF!="","",SAISIE!#REF!)</f>
        <v>#REF!</v>
      </c>
      <c r="H604" s="63"/>
      <c r="I604" s="63" t="e">
        <f>IF(SAISIE!#REF!="","",SAISIE!$Q47)</f>
        <v>#REF!</v>
      </c>
      <c r="J604" s="71" t="str">
        <f>IF(COUNTBLANK(SAISIE!$J$6:$M$6)=4,"",IF(SAISIE!#REF!="","",IF(SAISIE!J47&gt;0,SAISIE!$J$6,IF(SAISIE!K47&gt;0,SAISIE!$K$6,IF(SAISIE!L47&gt;0,SAISIE!$L$6,IF(SAISIE!M47&gt;0,SAISIE!$M$6,""))))))</f>
        <v/>
      </c>
      <c r="O604" s="59" t="s">
        <v>59</v>
      </c>
    </row>
    <row r="605" spans="1:15" x14ac:dyDescent="0.25">
      <c r="A605" s="63" t="e">
        <f>IF(AND(G605="",H605=""),"SUPPR",SAISIE!$B$3)</f>
        <v>#REF!</v>
      </c>
      <c r="B605" s="63" t="e">
        <f>IF(SAISIE!#REF!="","",IF(LEN(SAISIE!B47)=1,CONCATENATE("0",SAISIE!B47,"/",SAISIE!$B$4,"/",SAISIE!$B$5),CONCATENATE(SAISIE!B47,"/",SAISIE!$B$4,"/",SAISIE!$B$5)))</f>
        <v>#REF!</v>
      </c>
      <c r="C605" s="63" t="e">
        <f>IF(SAISIE!#REF!="","",SAISIE!#REF!)</f>
        <v>#REF!</v>
      </c>
      <c r="D605" s="63" t="e">
        <f>IF(SAISIE!#REF!="","",SAISIE!E47)</f>
        <v>#REF!</v>
      </c>
      <c r="E605" s="63" t="e">
        <f>IF(SAISIE!#REF!="","",SAISIE!F47)</f>
        <v>#REF!</v>
      </c>
      <c r="F605" s="70" t="e">
        <f>IF(SAISIE!#REF!="","",IF(SAISIE!$N47="","",SAISIE!$N47))</f>
        <v>#REF!</v>
      </c>
      <c r="G605" s="63" t="e">
        <f>IF(SAISIE!#REF!="","",SAISIE!#REF!)</f>
        <v>#REF!</v>
      </c>
      <c r="H605" s="63"/>
      <c r="I605" s="63" t="e">
        <f>IF(SAISIE!#REF!="","",SAISIE!$Q47)</f>
        <v>#REF!</v>
      </c>
      <c r="J605" s="71" t="str">
        <f>IF(COUNTBLANK(SAISIE!$J$6:$M$6)=4,"",IF(SAISIE!#REF!="","",IF(SAISIE!J47&gt;0,SAISIE!$J$6,IF(SAISIE!K47&gt;0,SAISIE!$K$6,IF(SAISIE!L47&gt;0,SAISIE!$L$6,IF(SAISIE!M47&gt;0,SAISIE!$M$6,""))))))</f>
        <v/>
      </c>
      <c r="O605" s="59" t="s">
        <v>60</v>
      </c>
    </row>
    <row r="606" spans="1:15" x14ac:dyDescent="0.25">
      <c r="A606" s="63" t="str">
        <f>IF(AND(G606="",H606=""),"SUPPR",SAISIE!$B$3)</f>
        <v>SUPPR</v>
      </c>
      <c r="B606" s="63" t="str">
        <f>IF(SAISIE!J47="","",IF(LEN(SAISIE!B47)=1,CONCATENATE("0",SAISIE!B47,"/",SAISIE!$B$4,"/",SAISIE!$B$5),CONCATENATE(SAISIE!B47,"/",SAISIE!$B$4,"/",SAISIE!$B$5)))</f>
        <v/>
      </c>
      <c r="C606" s="63" t="str">
        <f>IF(SAISIE!J47="","",SAISIE!$J$8)</f>
        <v/>
      </c>
      <c r="D606" s="63" t="str">
        <f>IF(SAISIE!J47="","",SAISIE!E47)</f>
        <v/>
      </c>
      <c r="E606" s="63" t="str">
        <f>IF(SAISIE!J47="","",SAISIE!F47)</f>
        <v/>
      </c>
      <c r="F606" s="70" t="str">
        <f>IF(SAISIE!$J47="","",IF(SAISIE!$N47="","",SAISIE!$N47))</f>
        <v/>
      </c>
      <c r="G606" s="63" t="str">
        <f>IF(SAISIE!J47="","",SAISIE!J47)</f>
        <v/>
      </c>
      <c r="H606" s="63"/>
      <c r="I606" s="72"/>
      <c r="J606" s="71"/>
      <c r="O606" s="73"/>
    </row>
    <row r="607" spans="1:15" x14ac:dyDescent="0.25">
      <c r="A607" s="63" t="str">
        <f>IF(AND(G607="",H607=""),"SUPPR",SAISIE!$B$3)</f>
        <v>SUPPR</v>
      </c>
      <c r="B607" s="63" t="str">
        <f>IF(SAISIE!K47="","",IF(LEN(SAISIE!B47)=1,CONCATENATE("0",SAISIE!B47,"/",SAISIE!$B$4,"/",SAISIE!$B$5),CONCATENATE(SAISIE!B47,"/",SAISIE!$B$4,"/",SAISIE!$B$5)))</f>
        <v/>
      </c>
      <c r="C607" s="63" t="str">
        <f>IF(SAISIE!K47="","",SAISIE!$K$8)</f>
        <v/>
      </c>
      <c r="D607" s="63" t="str">
        <f>IF(SAISIE!K47="","",SAISIE!E47)</f>
        <v/>
      </c>
      <c r="E607" s="63" t="str">
        <f>IF(SAISIE!K47="","",SAISIE!F47)</f>
        <v/>
      </c>
      <c r="F607" s="70" t="str">
        <f>IF(SAISIE!$K47="","",IF(SAISIE!$N47="","",SAISIE!$N47))</f>
        <v/>
      </c>
      <c r="G607" s="63" t="str">
        <f>IF(SAISIE!K47="","",SAISIE!K47)</f>
        <v/>
      </c>
      <c r="H607" s="63"/>
      <c r="I607" s="72"/>
      <c r="J607" s="71"/>
    </row>
    <row r="608" spans="1:15" x14ac:dyDescent="0.25">
      <c r="A608" s="63" t="str">
        <f>IF(AND(G608="",H608=""),"SUPPR",SAISIE!$B$3)</f>
        <v>SUPPR</v>
      </c>
      <c r="B608" s="63" t="str">
        <f>IF(SAISIE!L47="","",IF(LEN(SAISIE!B47)=1,CONCATENATE("0",SAISIE!B47,"/",SAISIE!$B$4,"/",SAISIE!$B$5),CONCATENATE(SAISIE!B47,"/",SAISIE!$B$4,"/",SAISIE!$B$5)))</f>
        <v/>
      </c>
      <c r="C608" s="63" t="str">
        <f>IF(SAISIE!L47="","",SAISIE!$L$8)</f>
        <v/>
      </c>
      <c r="D608" s="63" t="str">
        <f>IF(SAISIE!L47="","",SAISIE!E47)</f>
        <v/>
      </c>
      <c r="E608" s="63" t="str">
        <f>IF(SAISIE!L47="","",SAISIE!F47)</f>
        <v/>
      </c>
      <c r="F608" s="70" t="str">
        <f>IF(SAISIE!$L47="","",IF(SAISIE!$N47="","",SAISIE!$N47))</f>
        <v/>
      </c>
      <c r="G608" s="63" t="str">
        <f>IF(SAISIE!L47="","",SAISIE!L47)</f>
        <v/>
      </c>
      <c r="H608" s="63"/>
      <c r="I608" s="72"/>
      <c r="J608" s="71"/>
    </row>
    <row r="609" spans="1:15" x14ac:dyDescent="0.25">
      <c r="A609" s="63" t="str">
        <f>IF(AND(G609="",H609=""),"SUPPR",SAISIE!$B$3)</f>
        <v>SUPPR</v>
      </c>
      <c r="B609" s="63" t="str">
        <f>IF(SAISIE!M47="","",IF(LEN(SAISIE!B47)=1,CONCATENATE("0",SAISIE!B47,"/",SAISIE!$B$4,"/",SAISIE!$B$5),CONCATENATE(SAISIE!B47,"/",SAISIE!$B$4,"/",SAISIE!$B$5)))</f>
        <v/>
      </c>
      <c r="C609" s="74" t="str">
        <f>IF(SAISIE!M47="","",SAISIE!$M$8)</f>
        <v/>
      </c>
      <c r="D609" s="74" t="str">
        <f>IF(SAISIE!M47="","",SAISIE!E47)</f>
        <v/>
      </c>
      <c r="E609" s="74" t="str">
        <f>IF(SAISIE!M47="","",SAISIE!F47)</f>
        <v/>
      </c>
      <c r="F609" s="75" t="str">
        <f>IF(SAISIE!$M47="","",IF(SAISIE!$N47="","",SAISIE!$N47))</f>
        <v/>
      </c>
      <c r="G609" s="74" t="str">
        <f>IF(SAISIE!M47="","",SAISIE!M47)</f>
        <v/>
      </c>
      <c r="H609" s="76"/>
      <c r="I609" s="77"/>
      <c r="J609" s="78"/>
    </row>
    <row r="610" spans="1:15" x14ac:dyDescent="0.25">
      <c r="A610" s="63" t="str">
        <f>IF(AND(G610="",H610=""),"SUPPR",SAISIE!$B$3)</f>
        <v>SUPPR</v>
      </c>
      <c r="B610" s="64" t="str">
        <f>IF(SAISIE!B48="","",IF(LEN(SAISIE!B48)=1,CONCATENATE("0",SAISIE!B48,"/",SAISIE!$B$4,"/",SAISIE!$B$5),CONCATENATE(SAISIE!B48,"/",SAISIE!$B$4,"/",SAISIE!$B$5)))</f>
        <v/>
      </c>
      <c r="C610" s="64" t="str">
        <f>IF(SAISIE!B48="","",CONCATENATE($M$2,SAISIE!C48))</f>
        <v/>
      </c>
      <c r="D610" s="64" t="str">
        <f>IF(SAISIE!B48="","",SAISIE!E48)</f>
        <v/>
      </c>
      <c r="E610" s="64" t="str">
        <f>IF(SAISIE!B48="","",SAISIE!F48)</f>
        <v/>
      </c>
      <c r="F610" s="65" t="str">
        <f>IF(A610="SUPPR","",IF(SAISIE!$N48="","",SAISIE!$N48))</f>
        <v/>
      </c>
      <c r="G610" s="64"/>
      <c r="H610" s="64" t="str">
        <f>IF(SAISIE!B48="","",SAISIE!D48)</f>
        <v/>
      </c>
      <c r="I610" s="66"/>
      <c r="J610" s="67" t="str">
        <f>IF(AZ48="","","")</f>
        <v/>
      </c>
      <c r="O610" s="69">
        <f>O594+1</f>
        <v>48</v>
      </c>
    </row>
    <row r="611" spans="1:15" x14ac:dyDescent="0.25">
      <c r="A611" s="63" t="str">
        <f>IF(AND(G611="",H611=""),"SUPPR",SAISIE!$B$3)</f>
        <v>SUPPR</v>
      </c>
      <c r="B611" s="63" t="str">
        <f>IF(SAISIE!P48="","",IF(LEN(SAISIE!B48)=1,CONCATENATE("0",SAISIE!B48,"/",SAISIE!$B$4,"/",SAISIE!$B$5),CONCATENATE(SAISIE!B48,"/",SAISIE!$B$4,"/",SAISIE!$B$5)))</f>
        <v/>
      </c>
      <c r="C611" s="63" t="str">
        <f>IF(SAISIE!P48="","",SAISIE!O48)</f>
        <v/>
      </c>
      <c r="D611" s="63" t="str">
        <f>IF(SAISIE!P48="","",SAISIE!E48)</f>
        <v/>
      </c>
      <c r="E611" s="63" t="str">
        <f>IF(SAISIE!P48="","",SAISIE!F48)</f>
        <v/>
      </c>
      <c r="F611" s="70" t="str">
        <f>IF(SAISIE!$P48="","",IF(SAISIE!$N48="","",SAISIE!$N48))</f>
        <v/>
      </c>
      <c r="G611" s="63" t="str">
        <f>IF(SAISIE!P48="","",SAISIE!P48)</f>
        <v/>
      </c>
      <c r="H611" s="63"/>
      <c r="I611" s="63" t="str">
        <f>IF(SAISIE!$P48="","",SAISIE!$Q48)</f>
        <v/>
      </c>
      <c r="J611" s="71" t="str">
        <f>IF(COUNTBLANK(SAISIE!$J$6:$M$6)=4,"",IF(SAISIE!P48="","",IF(SAISIE!J48&gt;0,SAISIE!$J$6,IF(SAISIE!K48&gt;0,SAISIE!$K$6,IF(SAISIE!L48&gt;0,SAISIE!$L$6,IF(SAISIE!M48&gt;0,SAISIE!$M$6,""))))))</f>
        <v/>
      </c>
      <c r="O611" s="59" t="s">
        <v>50</v>
      </c>
    </row>
    <row r="612" spans="1:15" x14ac:dyDescent="0.25">
      <c r="A612" s="63" t="str">
        <f>IF(AND(G612="",H612=""),"SUPPR",SAISIE!$B$3)</f>
        <v>SUPPR</v>
      </c>
      <c r="B612" s="63" t="str">
        <f>IF(SAISIE!G48="","",IF(LEN(SAISIE!B48)=1,CONCATENATE("0",SAISIE!B48,"/",SAISIE!$B$4,"/",SAISIE!$B$5),CONCATENATE(SAISIE!B48,"/",SAISIE!$B$4,"/",SAISIE!$B$5)))</f>
        <v/>
      </c>
      <c r="C612" s="63" t="str">
        <f>IF(SAISIE!G48="","",SAISIE!$G$8)</f>
        <v/>
      </c>
      <c r="D612" s="63" t="str">
        <f>IF(SAISIE!G48="","",SAISIE!E48)</f>
        <v/>
      </c>
      <c r="E612" s="63" t="str">
        <f>IF(SAISIE!G48="","",SAISIE!F48)</f>
        <v/>
      </c>
      <c r="F612" s="70" t="str">
        <f>IF(SAISIE!$G48="","",IF(SAISIE!$N48="","",SAISIE!$N48))</f>
        <v/>
      </c>
      <c r="G612" s="63" t="str">
        <f>IF(SAISIE!G48="","",SAISIE!G48)</f>
        <v/>
      </c>
      <c r="H612" s="63"/>
      <c r="I612" s="63" t="str">
        <f>IF(SAISIE!$G48="","",SAISIE!$Q48)</f>
        <v/>
      </c>
      <c r="J612" s="71" t="str">
        <f>IF(COUNTBLANK(SAISIE!$J$6:$M$6)=4,"",IF(SAISIE!G48="","",IF(SAISIE!J48&gt;0,SAISIE!$J$6,IF(SAISIE!K48&gt;0,SAISIE!$K$6,IF(SAISIE!L48&gt;0,SAISIE!$L$6,IF(SAISIE!M48&gt;0,SAISIE!$M$6,""))))))</f>
        <v/>
      </c>
      <c r="O612" s="59" t="s">
        <v>51</v>
      </c>
    </row>
    <row r="613" spans="1:15" x14ac:dyDescent="0.25">
      <c r="A613" s="63" t="str">
        <f>IF(AND(G613="",H613=""),"SUPPR",SAISIE!$B$3)</f>
        <v>SUPPR</v>
      </c>
      <c r="B613" s="63" t="str">
        <f>IF(SAISIE!H48="","",IF(LEN(SAISIE!B48)=1,CONCATENATE("0",SAISIE!B48,"/",SAISIE!$B$4,"/",SAISIE!$B$5),CONCATENATE(SAISIE!B48,"/",SAISIE!$B$4,"/",SAISIE!$B$5)))</f>
        <v/>
      </c>
      <c r="C613" s="63" t="str">
        <f>IF(SAISIE!H48="","",SAISIE!$H$8)</f>
        <v/>
      </c>
      <c r="D613" s="63" t="str">
        <f>IF(SAISIE!H48="","",SAISIE!E48)</f>
        <v/>
      </c>
      <c r="E613" s="63" t="str">
        <f>IF(SAISIE!H48="","",SAISIE!F48)</f>
        <v/>
      </c>
      <c r="F613" s="70" t="str">
        <f>IF(SAISIE!$H48="","",IF(SAISIE!$N48="","",SAISIE!$N48))</f>
        <v/>
      </c>
      <c r="G613" s="63" t="str">
        <f>IF(SAISIE!H48="","",SAISIE!H48)</f>
        <v/>
      </c>
      <c r="H613" s="63"/>
      <c r="I613" s="63" t="str">
        <f>IF(SAISIE!$H48="","",SAISIE!$Q48)</f>
        <v/>
      </c>
      <c r="J613" s="71" t="str">
        <f>IF(COUNTBLANK(SAISIE!$J$6:$M$6)=4,"",IF(SAISIE!H48="","",IF(SAISIE!J48&gt;0,SAISIE!$J$6,IF(SAISIE!K48&gt;0,SAISIE!$K$6,IF(SAISIE!L48&gt;0,SAISIE!$L$6,IF(SAISIE!M48&gt;0,SAISIE!$M$6,""))))))</f>
        <v/>
      </c>
      <c r="O613" s="59" t="s">
        <v>52</v>
      </c>
    </row>
    <row r="614" spans="1:15" x14ac:dyDescent="0.25">
      <c r="A614" s="63" t="str">
        <f>IF(AND(G614="",H614=""),"SUPPR",SAISIE!$B$3)</f>
        <v>SUPPR</v>
      </c>
      <c r="B614" s="63" t="str">
        <f>IF(SAISIE!I48="","",IF(LEN(SAISIE!B48)=1,CONCATENATE("0",SAISIE!B48,"/",SAISIE!$B$4,"/",SAISIE!$B$5),CONCATENATE(SAISIE!B48,"/",SAISIE!$B$4,"/",SAISIE!$B$5)))</f>
        <v/>
      </c>
      <c r="C614" s="63" t="str">
        <f>IF(SAISIE!I48="","",SAISIE!$I$8)</f>
        <v/>
      </c>
      <c r="D614" s="63" t="str">
        <f>IF(SAISIE!I48="","",SAISIE!E48)</f>
        <v/>
      </c>
      <c r="E614" s="63" t="str">
        <f>IF(SAISIE!I48="","",SAISIE!F48)</f>
        <v/>
      </c>
      <c r="F614" s="70" t="str">
        <f>IF(SAISIE!$I48="","",IF(SAISIE!$N48="","",SAISIE!$N48))</f>
        <v/>
      </c>
      <c r="G614" s="63" t="str">
        <f>IF(SAISIE!I48="","",SAISIE!I48)</f>
        <v/>
      </c>
      <c r="H614" s="63"/>
      <c r="I614" s="63" t="str">
        <f>IF(SAISIE!$I48="","",SAISIE!$Q48)</f>
        <v/>
      </c>
      <c r="J614" s="71" t="str">
        <f>IF(COUNTBLANK(SAISIE!$J$6:$M$6)=4,"",IF(SAISIE!I48="","",IF(SAISIE!J48&gt;0,SAISIE!$J$6,IF(SAISIE!K48&gt;0,SAISIE!$K$6,IF(SAISIE!L48&gt;0,SAISIE!$L$6,IF(SAISIE!M48&gt;0,SAISIE!$M$6,""))))))</f>
        <v/>
      </c>
      <c r="O614" s="59" t="s">
        <v>53</v>
      </c>
    </row>
    <row r="615" spans="1:15" x14ac:dyDescent="0.25">
      <c r="A615" s="63" t="e">
        <f>IF(AND(G615="",H615=""),"SUPPR",SAISIE!$B$3)</f>
        <v>#REF!</v>
      </c>
      <c r="B615" s="63" t="e">
        <f>IF(SAISIE!#REF!="","",IF(LEN(SAISIE!B48)=1,CONCATENATE("0",SAISIE!B48,"/",SAISIE!$B$4,"/",SAISIE!$B$5),CONCATENATE(SAISIE!B48,"/",SAISIE!$B$4,"/",SAISIE!$B$5)))</f>
        <v>#REF!</v>
      </c>
      <c r="C615" s="63" t="e">
        <f>IF(SAISIE!#REF!="","",SAISIE!#REF!)</f>
        <v>#REF!</v>
      </c>
      <c r="D615" s="63" t="e">
        <f>IF(SAISIE!#REF!="","",SAISIE!E48)</f>
        <v>#REF!</v>
      </c>
      <c r="E615" s="63" t="e">
        <f>IF(SAISIE!#REF!="","",SAISIE!F48)</f>
        <v>#REF!</v>
      </c>
      <c r="F615" s="70" t="e">
        <f>IF(SAISIE!#REF!="","",IF(SAISIE!$N48="","",SAISIE!$N48))</f>
        <v>#REF!</v>
      </c>
      <c r="G615" s="63" t="e">
        <f>IF(SAISIE!#REF!="","",SAISIE!#REF!)</f>
        <v>#REF!</v>
      </c>
      <c r="H615" s="63"/>
      <c r="I615" s="63" t="e">
        <f>IF(SAISIE!#REF!="","",SAISIE!$Q48)</f>
        <v>#REF!</v>
      </c>
      <c r="J615" s="71" t="str">
        <f>IF(COUNTBLANK(SAISIE!$J$6:$M$6)=4,"",IF(SAISIE!#REF!="","",IF(SAISIE!J48&gt;0,SAISIE!$J$6,IF(SAISIE!K48&gt;0,SAISIE!$K$6,IF(SAISIE!L48&gt;0,SAISIE!$L$6,IF(SAISIE!M48&gt;0,SAISIE!$M$6,""))))))</f>
        <v/>
      </c>
      <c r="O615" s="59" t="s">
        <v>54</v>
      </c>
    </row>
    <row r="616" spans="1:15" x14ac:dyDescent="0.25">
      <c r="A616" s="63" t="e">
        <f>IF(AND(G616="",H616=""),"SUPPR",SAISIE!$B$3)</f>
        <v>#REF!</v>
      </c>
      <c r="B616" s="63" t="e">
        <f>IF(SAISIE!#REF!="","",IF(LEN(SAISIE!B48)=1,CONCATENATE("0",SAISIE!B48,"/",SAISIE!$B$4,"/",SAISIE!$B$5),CONCATENATE(SAISIE!B48,"/",SAISIE!$B$4,"/",SAISIE!$B$5)))</f>
        <v>#REF!</v>
      </c>
      <c r="C616" s="63" t="e">
        <f>IF(SAISIE!#REF!="","",SAISIE!#REF!)</f>
        <v>#REF!</v>
      </c>
      <c r="D616" s="63" t="e">
        <f>IF(SAISIE!#REF!="","",SAISIE!E48)</f>
        <v>#REF!</v>
      </c>
      <c r="E616" s="63" t="e">
        <f>IF(SAISIE!#REF!="","",SAISIE!F48)</f>
        <v>#REF!</v>
      </c>
      <c r="F616" s="70" t="e">
        <f>IF(SAISIE!#REF!="","",IF(SAISIE!$N48="","",SAISIE!$N48))</f>
        <v>#REF!</v>
      </c>
      <c r="G616" s="63" t="e">
        <f>IF(SAISIE!#REF!="","",SAISIE!#REF!)</f>
        <v>#REF!</v>
      </c>
      <c r="H616" s="63"/>
      <c r="I616" s="63" t="e">
        <f>IF(SAISIE!#REF!="","",SAISIE!$Q48)</f>
        <v>#REF!</v>
      </c>
      <c r="J616" s="71" t="str">
        <f>IF(COUNTBLANK(SAISIE!$J$6:$M$6)=4,"",IF(SAISIE!#REF!="","",IF(SAISIE!J48&gt;0,SAISIE!$J$6,IF(SAISIE!K48&gt;0,SAISIE!$K$6,IF(SAISIE!L48&gt;0,SAISIE!$L$6,IF(SAISIE!M48&gt;0,SAISIE!$M$6,""))))))</f>
        <v/>
      </c>
      <c r="O616" s="59" t="s">
        <v>55</v>
      </c>
    </row>
    <row r="617" spans="1:15" x14ac:dyDescent="0.25">
      <c r="A617" s="63" t="e">
        <f>IF(AND(G617="",H617=""),"SUPPR",SAISIE!$B$3)</f>
        <v>#REF!</v>
      </c>
      <c r="B617" s="63" t="e">
        <f>IF(SAISIE!#REF!="","",IF(LEN(SAISIE!B48)=1,CONCATENATE("0",SAISIE!B48,"/",SAISIE!$B$4,"/",SAISIE!$B$5),CONCATENATE(SAISIE!B48,"/",SAISIE!$B$4,"/",SAISIE!$B$5)))</f>
        <v>#REF!</v>
      </c>
      <c r="C617" s="63" t="e">
        <f>IF(SAISIE!#REF!="","",SAISIE!#REF!)</f>
        <v>#REF!</v>
      </c>
      <c r="D617" s="63" t="e">
        <f>IF(SAISIE!#REF!="","",SAISIE!E48)</f>
        <v>#REF!</v>
      </c>
      <c r="E617" s="63" t="e">
        <f>IF(SAISIE!#REF!="","",SAISIE!F48)</f>
        <v>#REF!</v>
      </c>
      <c r="F617" s="70" t="e">
        <f>IF(SAISIE!#REF!="","",IF(SAISIE!$N48="","",SAISIE!$N48))</f>
        <v>#REF!</v>
      </c>
      <c r="G617" s="63" t="e">
        <f>IF(SAISIE!#REF!="","",SAISIE!#REF!)</f>
        <v>#REF!</v>
      </c>
      <c r="H617" s="63"/>
      <c r="I617" s="63" t="e">
        <f>IF(SAISIE!#REF!="","",SAISIE!$Q48)</f>
        <v>#REF!</v>
      </c>
      <c r="J617" s="71" t="str">
        <f>IF(COUNTBLANK(SAISIE!$J$6:$M$6)=4,"",IF(SAISIE!#REF!="","",IF(SAISIE!J48&gt;0,SAISIE!$J$6,IF(SAISIE!K48&gt;0,SAISIE!$K$6,IF(SAISIE!L48&gt;0,SAISIE!$L$6,IF(SAISIE!M48&gt;0,SAISIE!$M$6,""))))))</f>
        <v/>
      </c>
      <c r="O617" s="59" t="s">
        <v>56</v>
      </c>
    </row>
    <row r="618" spans="1:15" x14ac:dyDescent="0.25">
      <c r="A618" s="63" t="e">
        <f>IF(AND(G618="",H618=""),"SUPPR",SAISIE!$B$3)</f>
        <v>#REF!</v>
      </c>
      <c r="B618" s="63" t="e">
        <f>IF(SAISIE!#REF!="","",IF(LEN(SAISIE!B48)=1,CONCATENATE("0",SAISIE!B48,"/",SAISIE!$B$4,"/",SAISIE!$B$5),CONCATENATE(SAISIE!B48,"/",SAISIE!$B$4,"/",SAISIE!$B$5)))</f>
        <v>#REF!</v>
      </c>
      <c r="C618" s="63" t="e">
        <f>IF(SAISIE!#REF!="","",SAISIE!#REF!)</f>
        <v>#REF!</v>
      </c>
      <c r="D618" s="63" t="e">
        <f>IF(SAISIE!#REF!="","",SAISIE!E48)</f>
        <v>#REF!</v>
      </c>
      <c r="E618" s="63" t="e">
        <f>IF(SAISIE!#REF!="","",SAISIE!F48)</f>
        <v>#REF!</v>
      </c>
      <c r="F618" s="70" t="e">
        <f>IF(SAISIE!#REF!="","",IF(SAISIE!$N48="","",SAISIE!$N48))</f>
        <v>#REF!</v>
      </c>
      <c r="G618" s="63" t="e">
        <f>IF(SAISIE!#REF!="","",SAISIE!#REF!)</f>
        <v>#REF!</v>
      </c>
      <c r="H618" s="63"/>
      <c r="I618" s="63" t="e">
        <f>IF(SAISIE!#REF!="","",SAISIE!$Q48)</f>
        <v>#REF!</v>
      </c>
      <c r="J618" s="71" t="str">
        <f>IF(COUNTBLANK(SAISIE!$J$6:$M$6)=4,"",IF(SAISIE!#REF!="","",IF(SAISIE!J48&gt;0,SAISIE!$J$6,IF(SAISIE!K48&gt;0,SAISIE!$K$6,IF(SAISIE!L48&gt;0,SAISIE!$L$6,IF(SAISIE!M48&gt;0,SAISIE!$M$6,""))))))</f>
        <v/>
      </c>
      <c r="O618" s="59" t="s">
        <v>57</v>
      </c>
    </row>
    <row r="619" spans="1:15" x14ac:dyDescent="0.25">
      <c r="A619" s="63" t="e">
        <f>IF(AND(G619="",H619=""),"SUPPR",SAISIE!$B$3)</f>
        <v>#REF!</v>
      </c>
      <c r="B619" s="63" t="e">
        <f>IF(SAISIE!#REF!="","",IF(LEN(SAISIE!B48)=1,CONCATENATE("0",SAISIE!B48,"/",SAISIE!$B$4,"/",SAISIE!$B$5),CONCATENATE(SAISIE!B48,"/",SAISIE!$B$4,"/",SAISIE!$B$5)))</f>
        <v>#REF!</v>
      </c>
      <c r="C619" s="63" t="e">
        <f>IF(SAISIE!#REF!="","",SAISIE!#REF!)</f>
        <v>#REF!</v>
      </c>
      <c r="D619" s="63" t="e">
        <f>IF(SAISIE!#REF!="","",SAISIE!E48)</f>
        <v>#REF!</v>
      </c>
      <c r="E619" s="63" t="e">
        <f>IF(SAISIE!#REF!="","",SAISIE!F48)</f>
        <v>#REF!</v>
      </c>
      <c r="F619" s="70" t="e">
        <f>IF(SAISIE!#REF!="","",IF(SAISIE!$N48="","",SAISIE!$N48))</f>
        <v>#REF!</v>
      </c>
      <c r="G619" s="63" t="e">
        <f>IF(SAISIE!#REF!="","",SAISIE!#REF!)</f>
        <v>#REF!</v>
      </c>
      <c r="H619" s="63"/>
      <c r="I619" s="63" t="e">
        <f>IF(SAISIE!#REF!="","",SAISIE!$Q48)</f>
        <v>#REF!</v>
      </c>
      <c r="J619" s="71" t="str">
        <f>IF(COUNTBLANK(SAISIE!$J$6:$M$6)=4,"",IF(SAISIE!#REF!="","",IF(SAISIE!J48&gt;0,SAISIE!$J$6,IF(SAISIE!K48&gt;0,SAISIE!$K$6,IF(SAISIE!L48&gt;0,SAISIE!$L$6,IF(SAISIE!M48&gt;0,SAISIE!$M$6,""))))))</f>
        <v/>
      </c>
      <c r="O619" s="59" t="s">
        <v>58</v>
      </c>
    </row>
    <row r="620" spans="1:15" x14ac:dyDescent="0.25">
      <c r="A620" s="63" t="e">
        <f>IF(AND(G620="",H620=""),"SUPPR",SAISIE!$B$3)</f>
        <v>#REF!</v>
      </c>
      <c r="B620" s="63" t="e">
        <f>IF(SAISIE!#REF!="","",IF(LEN(SAISIE!B48)=1,CONCATENATE("0",SAISIE!B48,"/",SAISIE!$B$4,"/",SAISIE!$B$5),CONCATENATE(SAISIE!B48,"/",SAISIE!$B$4,"/",SAISIE!$B$5)))</f>
        <v>#REF!</v>
      </c>
      <c r="C620" s="63" t="e">
        <f>IF(SAISIE!#REF!="","",SAISIE!#REF!)</f>
        <v>#REF!</v>
      </c>
      <c r="D620" s="63" t="e">
        <f>IF(SAISIE!#REF!="","",SAISIE!E48)</f>
        <v>#REF!</v>
      </c>
      <c r="E620" s="63" t="e">
        <f>IF(SAISIE!#REF!="","",SAISIE!F48)</f>
        <v>#REF!</v>
      </c>
      <c r="F620" s="70" t="e">
        <f>IF(SAISIE!#REF!="","",IF(SAISIE!$N48="","",SAISIE!$N48))</f>
        <v>#REF!</v>
      </c>
      <c r="G620" s="63" t="e">
        <f>IF(SAISIE!#REF!="","",SAISIE!#REF!)</f>
        <v>#REF!</v>
      </c>
      <c r="H620" s="63"/>
      <c r="I620" s="63" t="e">
        <f>IF(SAISIE!#REF!="","",SAISIE!$Q48)</f>
        <v>#REF!</v>
      </c>
      <c r="J620" s="71" t="str">
        <f>IF(COUNTBLANK(SAISIE!$J$6:$M$6)=4,"",IF(SAISIE!#REF!="","",IF(SAISIE!J48&gt;0,SAISIE!$J$6,IF(SAISIE!K48&gt;0,SAISIE!$K$6,IF(SAISIE!L48&gt;0,SAISIE!$L$6,IF(SAISIE!M48&gt;0,SAISIE!$M$6,""))))))</f>
        <v/>
      </c>
      <c r="O620" s="59" t="s">
        <v>59</v>
      </c>
    </row>
    <row r="621" spans="1:15" x14ac:dyDescent="0.25">
      <c r="A621" s="63" t="e">
        <f>IF(AND(G621="",H621=""),"SUPPR",SAISIE!$B$3)</f>
        <v>#REF!</v>
      </c>
      <c r="B621" s="63" t="e">
        <f>IF(SAISIE!#REF!="","",IF(LEN(SAISIE!B48)=1,CONCATENATE("0",SAISIE!B48,"/",SAISIE!$B$4,"/",SAISIE!$B$5),CONCATENATE(SAISIE!B48,"/",SAISIE!$B$4,"/",SAISIE!$B$5)))</f>
        <v>#REF!</v>
      </c>
      <c r="C621" s="63" t="e">
        <f>IF(SAISIE!#REF!="","",SAISIE!#REF!)</f>
        <v>#REF!</v>
      </c>
      <c r="D621" s="63" t="e">
        <f>IF(SAISIE!#REF!="","",SAISIE!E48)</f>
        <v>#REF!</v>
      </c>
      <c r="E621" s="63" t="e">
        <f>IF(SAISIE!#REF!="","",SAISIE!F48)</f>
        <v>#REF!</v>
      </c>
      <c r="F621" s="70" t="e">
        <f>IF(SAISIE!#REF!="","",IF(SAISIE!$N48="","",SAISIE!$N48))</f>
        <v>#REF!</v>
      </c>
      <c r="G621" s="63" t="e">
        <f>IF(SAISIE!#REF!="","",SAISIE!#REF!)</f>
        <v>#REF!</v>
      </c>
      <c r="H621" s="63"/>
      <c r="I621" s="63" t="e">
        <f>IF(SAISIE!#REF!="","",SAISIE!$Q48)</f>
        <v>#REF!</v>
      </c>
      <c r="J621" s="71" t="str">
        <f>IF(COUNTBLANK(SAISIE!$J$6:$M$6)=4,"",IF(SAISIE!#REF!="","",IF(SAISIE!J48&gt;0,SAISIE!$J$6,IF(SAISIE!K48&gt;0,SAISIE!$K$6,IF(SAISIE!L48&gt;0,SAISIE!$L$6,IF(SAISIE!M48&gt;0,SAISIE!$M$6,""))))))</f>
        <v/>
      </c>
      <c r="O621" s="59" t="s">
        <v>60</v>
      </c>
    </row>
    <row r="622" spans="1:15" x14ac:dyDescent="0.25">
      <c r="A622" s="63" t="str">
        <f>IF(AND(G622="",H622=""),"SUPPR",SAISIE!$B$3)</f>
        <v>SUPPR</v>
      </c>
      <c r="B622" s="63" t="str">
        <f>IF(SAISIE!J48="","",IF(LEN(SAISIE!B48)=1,CONCATENATE("0",SAISIE!B48,"/",SAISIE!$B$4,"/",SAISIE!$B$5),CONCATENATE(SAISIE!B48,"/",SAISIE!$B$4,"/",SAISIE!$B$5)))</f>
        <v/>
      </c>
      <c r="C622" s="63" t="str">
        <f>IF(SAISIE!J48="","",SAISIE!$J$8)</f>
        <v/>
      </c>
      <c r="D622" s="63" t="str">
        <f>IF(SAISIE!J48="","",SAISIE!E48)</f>
        <v/>
      </c>
      <c r="E622" s="63" t="str">
        <f>IF(SAISIE!J48="","",SAISIE!F48)</f>
        <v/>
      </c>
      <c r="F622" s="70" t="str">
        <f>IF(SAISIE!$J48="","",IF(SAISIE!$N48="","",SAISIE!$N48))</f>
        <v/>
      </c>
      <c r="G622" s="63" t="str">
        <f>IF(SAISIE!J48="","",SAISIE!J48)</f>
        <v/>
      </c>
      <c r="H622" s="63"/>
      <c r="I622" s="72"/>
      <c r="J622" s="71"/>
      <c r="O622" s="73"/>
    </row>
    <row r="623" spans="1:15" x14ac:dyDescent="0.25">
      <c r="A623" s="63" t="str">
        <f>IF(AND(G623="",H623=""),"SUPPR",SAISIE!$B$3)</f>
        <v>SUPPR</v>
      </c>
      <c r="B623" s="63" t="str">
        <f>IF(SAISIE!K48="","",IF(LEN(SAISIE!B48)=1,CONCATENATE("0",SAISIE!B48,"/",SAISIE!$B$4,"/",SAISIE!$B$5),CONCATENATE(SAISIE!B48,"/",SAISIE!$B$4,"/",SAISIE!$B$5)))</f>
        <v/>
      </c>
      <c r="C623" s="63" t="str">
        <f>IF(SAISIE!K48="","",SAISIE!$K$8)</f>
        <v/>
      </c>
      <c r="D623" s="63" t="str">
        <f>IF(SAISIE!K48="","",SAISIE!E48)</f>
        <v/>
      </c>
      <c r="E623" s="63" t="str">
        <f>IF(SAISIE!K48="","",SAISIE!F48)</f>
        <v/>
      </c>
      <c r="F623" s="70" t="str">
        <f>IF(SAISIE!$K48="","",IF(SAISIE!$N48="","",SAISIE!$N48))</f>
        <v/>
      </c>
      <c r="G623" s="63" t="str">
        <f>IF(SAISIE!K48="","",SAISIE!K48)</f>
        <v/>
      </c>
      <c r="H623" s="63"/>
      <c r="I623" s="72"/>
      <c r="J623" s="71"/>
    </row>
    <row r="624" spans="1:15" x14ac:dyDescent="0.25">
      <c r="A624" s="63" t="str">
        <f>IF(AND(G624="",H624=""),"SUPPR",SAISIE!$B$3)</f>
        <v>SUPPR</v>
      </c>
      <c r="B624" s="63" t="str">
        <f>IF(SAISIE!L48="","",IF(LEN(SAISIE!B48)=1,CONCATENATE("0",SAISIE!B48,"/",SAISIE!$B$4,"/",SAISIE!$B$5),CONCATENATE(SAISIE!B48,"/",SAISIE!$B$4,"/",SAISIE!$B$5)))</f>
        <v/>
      </c>
      <c r="C624" s="63" t="str">
        <f>IF(SAISIE!L48="","",SAISIE!$L$8)</f>
        <v/>
      </c>
      <c r="D624" s="63" t="str">
        <f>IF(SAISIE!L48="","",SAISIE!E48)</f>
        <v/>
      </c>
      <c r="E624" s="63" t="str">
        <f>IF(SAISIE!L48="","",SAISIE!F48)</f>
        <v/>
      </c>
      <c r="F624" s="70" t="str">
        <f>IF(SAISIE!$L48="","",IF(SAISIE!$N48="","",SAISIE!$N48))</f>
        <v/>
      </c>
      <c r="G624" s="63" t="str">
        <f>IF(SAISIE!L48="","",SAISIE!L48)</f>
        <v/>
      </c>
      <c r="H624" s="63"/>
      <c r="I624" s="72"/>
      <c r="J624" s="71"/>
    </row>
    <row r="625" spans="1:15" x14ac:dyDescent="0.25">
      <c r="A625" s="63" t="str">
        <f>IF(AND(G625="",H625=""),"SUPPR",SAISIE!$B$3)</f>
        <v>SUPPR</v>
      </c>
      <c r="B625" s="63" t="str">
        <f>IF(SAISIE!M48="","",IF(LEN(SAISIE!B48)=1,CONCATENATE("0",SAISIE!B48,"/",SAISIE!$B$4,"/",SAISIE!$B$5),CONCATENATE(SAISIE!B48,"/",SAISIE!$B$4,"/",SAISIE!$B$5)))</f>
        <v/>
      </c>
      <c r="C625" s="74" t="str">
        <f>IF(SAISIE!M48="","",SAISIE!$M$8)</f>
        <v/>
      </c>
      <c r="D625" s="74" t="str">
        <f>IF(SAISIE!M48="","",SAISIE!E48)</f>
        <v/>
      </c>
      <c r="E625" s="74" t="str">
        <f>IF(SAISIE!M48="","",SAISIE!F48)</f>
        <v/>
      </c>
      <c r="F625" s="75" t="str">
        <f>IF(SAISIE!$M48="","",IF(SAISIE!$N48="","",SAISIE!$N48))</f>
        <v/>
      </c>
      <c r="G625" s="74" t="str">
        <f>IF(SAISIE!M48="","",SAISIE!M48)</f>
        <v/>
      </c>
      <c r="H625" s="76"/>
      <c r="I625" s="77"/>
      <c r="J625" s="78"/>
    </row>
    <row r="626" spans="1:15" x14ac:dyDescent="0.25">
      <c r="A626" s="63" t="str">
        <f>IF(AND(G626="",H626=""),"SUPPR",SAISIE!$B$3)</f>
        <v>SUPPR</v>
      </c>
      <c r="B626" s="64" t="str">
        <f>IF(SAISIE!B49="","",IF(LEN(SAISIE!B49)=1,CONCATENATE("0",SAISIE!B49,"/",SAISIE!$B$4,"/",SAISIE!$B$5),CONCATENATE(SAISIE!B49,"/",SAISIE!$B$4,"/",SAISIE!$B$5)))</f>
        <v/>
      </c>
      <c r="C626" s="64" t="str">
        <f>IF(SAISIE!B49="","",CONCATENATE($M$2,SAISIE!C49))</f>
        <v/>
      </c>
      <c r="D626" s="64" t="str">
        <f>IF(SAISIE!B49="","",SAISIE!E49)</f>
        <v/>
      </c>
      <c r="E626" s="64" t="str">
        <f>IF(SAISIE!B49="","",SAISIE!F49)</f>
        <v/>
      </c>
      <c r="F626" s="65" t="str">
        <f>IF(A626="SUPPR","",IF(SAISIE!$N49="","",SAISIE!$N49))</f>
        <v/>
      </c>
      <c r="G626" s="64"/>
      <c r="H626" s="64" t="str">
        <f>IF(SAISIE!B49="","",SAISIE!D49)</f>
        <v/>
      </c>
      <c r="I626" s="66"/>
      <c r="J626" s="67" t="str">
        <f>IF(AZ49="","","")</f>
        <v/>
      </c>
      <c r="O626" s="69">
        <f>O610+1</f>
        <v>49</v>
      </c>
    </row>
    <row r="627" spans="1:15" x14ac:dyDescent="0.25">
      <c r="A627" s="63" t="str">
        <f>IF(AND(G627="",H627=""),"SUPPR",SAISIE!$B$3)</f>
        <v>SUPPR</v>
      </c>
      <c r="B627" s="63" t="str">
        <f>IF(SAISIE!P49="","",IF(LEN(SAISIE!B49)=1,CONCATENATE("0",SAISIE!B49,"/",SAISIE!$B$4,"/",SAISIE!$B$5),CONCATENATE(SAISIE!B49,"/",SAISIE!$B$4,"/",SAISIE!$B$5)))</f>
        <v/>
      </c>
      <c r="C627" s="63" t="str">
        <f>IF(SAISIE!P49="","",SAISIE!O49)</f>
        <v/>
      </c>
      <c r="D627" s="63" t="str">
        <f>IF(SAISIE!P49="","",SAISIE!E49)</f>
        <v/>
      </c>
      <c r="E627" s="63" t="str">
        <f>IF(SAISIE!P49="","",SAISIE!F49)</f>
        <v/>
      </c>
      <c r="F627" s="70" t="str">
        <f>IF(SAISIE!$P49="","",IF(SAISIE!$N49="","",SAISIE!$N49))</f>
        <v/>
      </c>
      <c r="G627" s="63" t="str">
        <f>IF(SAISIE!P49="","",SAISIE!P49)</f>
        <v/>
      </c>
      <c r="H627" s="63"/>
      <c r="I627" s="63" t="str">
        <f>IF(SAISIE!$P49="","",SAISIE!$Q49)</f>
        <v/>
      </c>
      <c r="J627" s="71" t="str">
        <f>IF(COUNTBLANK(SAISIE!$J$6:$M$6)=4,"",IF(SAISIE!P49="","",IF(SAISIE!J49&gt;0,SAISIE!$J$6,IF(SAISIE!K49&gt;0,SAISIE!$K$6,IF(SAISIE!L49&gt;0,SAISIE!$L$6,IF(SAISIE!M49&gt;0,SAISIE!$M$6,""))))))</f>
        <v/>
      </c>
      <c r="O627" s="59" t="s">
        <v>50</v>
      </c>
    </row>
    <row r="628" spans="1:15" x14ac:dyDescent="0.25">
      <c r="A628" s="63" t="str">
        <f>IF(AND(G628="",H628=""),"SUPPR",SAISIE!$B$3)</f>
        <v>SUPPR</v>
      </c>
      <c r="B628" s="63" t="str">
        <f>IF(SAISIE!G49="","",IF(LEN(SAISIE!B49)=1,CONCATENATE("0",SAISIE!B49,"/",SAISIE!$B$4,"/",SAISIE!$B$5),CONCATENATE(SAISIE!B49,"/",SAISIE!$B$4,"/",SAISIE!$B$5)))</f>
        <v/>
      </c>
      <c r="C628" s="63" t="str">
        <f>IF(SAISIE!G49="","",SAISIE!$G$8)</f>
        <v/>
      </c>
      <c r="D628" s="63" t="str">
        <f>IF(SAISIE!G49="","",SAISIE!E49)</f>
        <v/>
      </c>
      <c r="E628" s="63" t="str">
        <f>IF(SAISIE!G49="","",SAISIE!F49)</f>
        <v/>
      </c>
      <c r="F628" s="70" t="str">
        <f>IF(SAISIE!$G49="","",IF(SAISIE!$N49="","",SAISIE!$N49))</f>
        <v/>
      </c>
      <c r="G628" s="63" t="str">
        <f>IF(SAISIE!G49="","",SAISIE!G49)</f>
        <v/>
      </c>
      <c r="H628" s="63"/>
      <c r="I628" s="63" t="str">
        <f>IF(SAISIE!$G49="","",SAISIE!$Q49)</f>
        <v/>
      </c>
      <c r="J628" s="71" t="str">
        <f>IF(COUNTBLANK(SAISIE!$J$6:$M$6)=4,"",IF(SAISIE!G49="","",IF(SAISIE!J49&gt;0,SAISIE!$J$6,IF(SAISIE!K49&gt;0,SAISIE!$K$6,IF(SAISIE!L49&gt;0,SAISIE!$L$6,IF(SAISIE!M49&gt;0,SAISIE!$M$6,""))))))</f>
        <v/>
      </c>
      <c r="O628" s="59" t="s">
        <v>51</v>
      </c>
    </row>
    <row r="629" spans="1:15" x14ac:dyDescent="0.25">
      <c r="A629" s="63" t="str">
        <f>IF(AND(G629="",H629=""),"SUPPR",SAISIE!$B$3)</f>
        <v>SUPPR</v>
      </c>
      <c r="B629" s="63" t="str">
        <f>IF(SAISIE!H49="","",IF(LEN(SAISIE!B49)=1,CONCATENATE("0",SAISIE!B49,"/",SAISIE!$B$4,"/",SAISIE!$B$5),CONCATENATE(SAISIE!B49,"/",SAISIE!$B$4,"/",SAISIE!$B$5)))</f>
        <v/>
      </c>
      <c r="C629" s="63" t="str">
        <f>IF(SAISIE!H49="","",SAISIE!$H$8)</f>
        <v/>
      </c>
      <c r="D629" s="63" t="str">
        <f>IF(SAISIE!H49="","",SAISIE!E49)</f>
        <v/>
      </c>
      <c r="E629" s="63" t="str">
        <f>IF(SAISIE!H49="","",SAISIE!F49)</f>
        <v/>
      </c>
      <c r="F629" s="70" t="str">
        <f>IF(SAISIE!$H49="","",IF(SAISIE!$N49="","",SAISIE!$N49))</f>
        <v/>
      </c>
      <c r="G629" s="63" t="str">
        <f>IF(SAISIE!H49="","",SAISIE!H49)</f>
        <v/>
      </c>
      <c r="H629" s="63"/>
      <c r="I629" s="63" t="str">
        <f>IF(SAISIE!$H49="","",SAISIE!$Q49)</f>
        <v/>
      </c>
      <c r="J629" s="71" t="str">
        <f>IF(COUNTBLANK(SAISIE!$J$6:$M$6)=4,"",IF(SAISIE!H49="","",IF(SAISIE!J49&gt;0,SAISIE!$J$6,IF(SAISIE!K49&gt;0,SAISIE!$K$6,IF(SAISIE!L49&gt;0,SAISIE!$L$6,IF(SAISIE!M49&gt;0,SAISIE!$M$6,""))))))</f>
        <v/>
      </c>
      <c r="O629" s="59" t="s">
        <v>52</v>
      </c>
    </row>
    <row r="630" spans="1:15" x14ac:dyDescent="0.25">
      <c r="A630" s="63" t="str">
        <f>IF(AND(G630="",H630=""),"SUPPR",SAISIE!$B$3)</f>
        <v>SUPPR</v>
      </c>
      <c r="B630" s="63" t="str">
        <f>IF(SAISIE!I49="","",IF(LEN(SAISIE!B49)=1,CONCATENATE("0",SAISIE!B49,"/",SAISIE!$B$4,"/",SAISIE!$B$5),CONCATENATE(SAISIE!B49,"/",SAISIE!$B$4,"/",SAISIE!$B$5)))</f>
        <v/>
      </c>
      <c r="C630" s="63" t="str">
        <f>IF(SAISIE!I49="","",SAISIE!$I$8)</f>
        <v/>
      </c>
      <c r="D630" s="63" t="str">
        <f>IF(SAISIE!I49="","",SAISIE!E49)</f>
        <v/>
      </c>
      <c r="E630" s="63" t="str">
        <f>IF(SAISIE!I49="","",SAISIE!F49)</f>
        <v/>
      </c>
      <c r="F630" s="70" t="str">
        <f>IF(SAISIE!$I49="","",IF(SAISIE!$N49="","",SAISIE!$N49))</f>
        <v/>
      </c>
      <c r="G630" s="63" t="str">
        <f>IF(SAISIE!I49="","",SAISIE!I49)</f>
        <v/>
      </c>
      <c r="H630" s="63"/>
      <c r="I630" s="63" t="str">
        <f>IF(SAISIE!$I49="","",SAISIE!$Q49)</f>
        <v/>
      </c>
      <c r="J630" s="71" t="str">
        <f>IF(COUNTBLANK(SAISIE!$J$6:$M$6)=4,"",IF(SAISIE!I49="","",IF(SAISIE!J49&gt;0,SAISIE!$J$6,IF(SAISIE!K49&gt;0,SAISIE!$K$6,IF(SAISIE!L49&gt;0,SAISIE!$L$6,IF(SAISIE!M49&gt;0,SAISIE!$M$6,""))))))</f>
        <v/>
      </c>
      <c r="O630" s="59" t="s">
        <v>53</v>
      </c>
    </row>
    <row r="631" spans="1:15" x14ac:dyDescent="0.25">
      <c r="A631" s="63" t="e">
        <f>IF(AND(G631="",H631=""),"SUPPR",SAISIE!$B$3)</f>
        <v>#REF!</v>
      </c>
      <c r="B631" s="63" t="e">
        <f>IF(SAISIE!#REF!="","",IF(LEN(SAISIE!B49)=1,CONCATENATE("0",SAISIE!B49,"/",SAISIE!$B$4,"/",SAISIE!$B$5),CONCATENATE(SAISIE!B49,"/",SAISIE!$B$4,"/",SAISIE!$B$5)))</f>
        <v>#REF!</v>
      </c>
      <c r="C631" s="63" t="e">
        <f>IF(SAISIE!#REF!="","",SAISIE!#REF!)</f>
        <v>#REF!</v>
      </c>
      <c r="D631" s="63" t="e">
        <f>IF(SAISIE!#REF!="","",SAISIE!E49)</f>
        <v>#REF!</v>
      </c>
      <c r="E631" s="63" t="e">
        <f>IF(SAISIE!#REF!="","",SAISIE!F49)</f>
        <v>#REF!</v>
      </c>
      <c r="F631" s="70" t="e">
        <f>IF(SAISIE!#REF!="","",IF(SAISIE!$N49="","",SAISIE!$N49))</f>
        <v>#REF!</v>
      </c>
      <c r="G631" s="63" t="e">
        <f>IF(SAISIE!#REF!="","",SAISIE!#REF!)</f>
        <v>#REF!</v>
      </c>
      <c r="H631" s="63"/>
      <c r="I631" s="63" t="e">
        <f>IF(SAISIE!#REF!="","",SAISIE!$Q49)</f>
        <v>#REF!</v>
      </c>
      <c r="J631" s="71" t="str">
        <f>IF(COUNTBLANK(SAISIE!$J$6:$M$6)=4,"",IF(SAISIE!#REF!="","",IF(SAISIE!J49&gt;0,SAISIE!$J$6,IF(SAISIE!K49&gt;0,SAISIE!$K$6,IF(SAISIE!L49&gt;0,SAISIE!$L$6,IF(SAISIE!M49&gt;0,SAISIE!$M$6,""))))))</f>
        <v/>
      </c>
      <c r="O631" s="59" t="s">
        <v>54</v>
      </c>
    </row>
    <row r="632" spans="1:15" x14ac:dyDescent="0.25">
      <c r="A632" s="63" t="e">
        <f>IF(AND(G632="",H632=""),"SUPPR",SAISIE!$B$3)</f>
        <v>#REF!</v>
      </c>
      <c r="B632" s="63" t="e">
        <f>IF(SAISIE!#REF!="","",IF(LEN(SAISIE!B49)=1,CONCATENATE("0",SAISIE!B49,"/",SAISIE!$B$4,"/",SAISIE!$B$5),CONCATENATE(SAISIE!B49,"/",SAISIE!$B$4,"/",SAISIE!$B$5)))</f>
        <v>#REF!</v>
      </c>
      <c r="C632" s="63" t="e">
        <f>IF(SAISIE!#REF!="","",SAISIE!#REF!)</f>
        <v>#REF!</v>
      </c>
      <c r="D632" s="63" t="e">
        <f>IF(SAISIE!#REF!="","",SAISIE!E49)</f>
        <v>#REF!</v>
      </c>
      <c r="E632" s="63" t="e">
        <f>IF(SAISIE!#REF!="","",SAISIE!F49)</f>
        <v>#REF!</v>
      </c>
      <c r="F632" s="70" t="e">
        <f>IF(SAISIE!#REF!="","",IF(SAISIE!$N49="","",SAISIE!$N49))</f>
        <v>#REF!</v>
      </c>
      <c r="G632" s="63" t="e">
        <f>IF(SAISIE!#REF!="","",SAISIE!#REF!)</f>
        <v>#REF!</v>
      </c>
      <c r="H632" s="63"/>
      <c r="I632" s="63" t="e">
        <f>IF(SAISIE!#REF!="","",SAISIE!$Q49)</f>
        <v>#REF!</v>
      </c>
      <c r="J632" s="71" t="str">
        <f>IF(COUNTBLANK(SAISIE!$J$6:$M$6)=4,"",IF(SAISIE!#REF!="","",IF(SAISIE!J49&gt;0,SAISIE!$J$6,IF(SAISIE!K49&gt;0,SAISIE!$K$6,IF(SAISIE!L49&gt;0,SAISIE!$L$6,IF(SAISIE!M49&gt;0,SAISIE!$M$6,""))))))</f>
        <v/>
      </c>
      <c r="O632" s="59" t="s">
        <v>55</v>
      </c>
    </row>
    <row r="633" spans="1:15" x14ac:dyDescent="0.25">
      <c r="A633" s="63" t="e">
        <f>IF(AND(G633="",H633=""),"SUPPR",SAISIE!$B$3)</f>
        <v>#REF!</v>
      </c>
      <c r="B633" s="63" t="e">
        <f>IF(SAISIE!#REF!="","",IF(LEN(SAISIE!B49)=1,CONCATENATE("0",SAISIE!B49,"/",SAISIE!$B$4,"/",SAISIE!$B$5),CONCATENATE(SAISIE!B49,"/",SAISIE!$B$4,"/",SAISIE!$B$5)))</f>
        <v>#REF!</v>
      </c>
      <c r="C633" s="63" t="e">
        <f>IF(SAISIE!#REF!="","",SAISIE!#REF!)</f>
        <v>#REF!</v>
      </c>
      <c r="D633" s="63" t="e">
        <f>IF(SAISIE!#REF!="","",SAISIE!E49)</f>
        <v>#REF!</v>
      </c>
      <c r="E633" s="63" t="e">
        <f>IF(SAISIE!#REF!="","",SAISIE!F49)</f>
        <v>#REF!</v>
      </c>
      <c r="F633" s="70" t="e">
        <f>IF(SAISIE!#REF!="","",IF(SAISIE!$N49="","",SAISIE!$N49))</f>
        <v>#REF!</v>
      </c>
      <c r="G633" s="63" t="e">
        <f>IF(SAISIE!#REF!="","",SAISIE!#REF!)</f>
        <v>#REF!</v>
      </c>
      <c r="H633" s="63"/>
      <c r="I633" s="63" t="e">
        <f>IF(SAISIE!#REF!="","",SAISIE!$Q49)</f>
        <v>#REF!</v>
      </c>
      <c r="J633" s="71" t="str">
        <f>IF(COUNTBLANK(SAISIE!$J$6:$M$6)=4,"",IF(SAISIE!#REF!="","",IF(SAISIE!J49&gt;0,SAISIE!$J$6,IF(SAISIE!K49&gt;0,SAISIE!$K$6,IF(SAISIE!L49&gt;0,SAISIE!$L$6,IF(SAISIE!M49&gt;0,SAISIE!$M$6,""))))))</f>
        <v/>
      </c>
      <c r="O633" s="59" t="s">
        <v>56</v>
      </c>
    </row>
    <row r="634" spans="1:15" x14ac:dyDescent="0.25">
      <c r="A634" s="63" t="e">
        <f>IF(AND(G634="",H634=""),"SUPPR",SAISIE!$B$3)</f>
        <v>#REF!</v>
      </c>
      <c r="B634" s="63" t="e">
        <f>IF(SAISIE!#REF!="","",IF(LEN(SAISIE!B49)=1,CONCATENATE("0",SAISIE!B49,"/",SAISIE!$B$4,"/",SAISIE!$B$5),CONCATENATE(SAISIE!B49,"/",SAISIE!$B$4,"/",SAISIE!$B$5)))</f>
        <v>#REF!</v>
      </c>
      <c r="C634" s="63" t="e">
        <f>IF(SAISIE!#REF!="","",SAISIE!#REF!)</f>
        <v>#REF!</v>
      </c>
      <c r="D634" s="63" t="e">
        <f>IF(SAISIE!#REF!="","",SAISIE!E49)</f>
        <v>#REF!</v>
      </c>
      <c r="E634" s="63" t="e">
        <f>IF(SAISIE!#REF!="","",SAISIE!F49)</f>
        <v>#REF!</v>
      </c>
      <c r="F634" s="70" t="e">
        <f>IF(SAISIE!#REF!="","",IF(SAISIE!$N49="","",SAISIE!$N49))</f>
        <v>#REF!</v>
      </c>
      <c r="G634" s="63" t="e">
        <f>IF(SAISIE!#REF!="","",SAISIE!#REF!)</f>
        <v>#REF!</v>
      </c>
      <c r="H634" s="63"/>
      <c r="I634" s="63" t="e">
        <f>IF(SAISIE!#REF!="","",SAISIE!$Q49)</f>
        <v>#REF!</v>
      </c>
      <c r="J634" s="71" t="str">
        <f>IF(COUNTBLANK(SAISIE!$J$6:$M$6)=4,"",IF(SAISIE!#REF!="","",IF(SAISIE!J49&gt;0,SAISIE!$J$6,IF(SAISIE!K49&gt;0,SAISIE!$K$6,IF(SAISIE!L49&gt;0,SAISIE!$L$6,IF(SAISIE!M49&gt;0,SAISIE!$M$6,""))))))</f>
        <v/>
      </c>
      <c r="O634" s="59" t="s">
        <v>57</v>
      </c>
    </row>
    <row r="635" spans="1:15" x14ac:dyDescent="0.25">
      <c r="A635" s="63" t="e">
        <f>IF(AND(G635="",H635=""),"SUPPR",SAISIE!$B$3)</f>
        <v>#REF!</v>
      </c>
      <c r="B635" s="63" t="e">
        <f>IF(SAISIE!#REF!="","",IF(LEN(SAISIE!B49)=1,CONCATENATE("0",SAISIE!B49,"/",SAISIE!$B$4,"/",SAISIE!$B$5),CONCATENATE(SAISIE!B49,"/",SAISIE!$B$4,"/",SAISIE!$B$5)))</f>
        <v>#REF!</v>
      </c>
      <c r="C635" s="63" t="e">
        <f>IF(SAISIE!#REF!="","",SAISIE!#REF!)</f>
        <v>#REF!</v>
      </c>
      <c r="D635" s="63" t="e">
        <f>IF(SAISIE!#REF!="","",SAISIE!E49)</f>
        <v>#REF!</v>
      </c>
      <c r="E635" s="63" t="e">
        <f>IF(SAISIE!#REF!="","",SAISIE!F49)</f>
        <v>#REF!</v>
      </c>
      <c r="F635" s="70" t="e">
        <f>IF(SAISIE!#REF!="","",IF(SAISIE!$N49="","",SAISIE!$N49))</f>
        <v>#REF!</v>
      </c>
      <c r="G635" s="63" t="e">
        <f>IF(SAISIE!#REF!="","",SAISIE!#REF!)</f>
        <v>#REF!</v>
      </c>
      <c r="H635" s="63"/>
      <c r="I635" s="63" t="e">
        <f>IF(SAISIE!#REF!="","",SAISIE!$Q49)</f>
        <v>#REF!</v>
      </c>
      <c r="J635" s="71" t="str">
        <f>IF(COUNTBLANK(SAISIE!$J$6:$M$6)=4,"",IF(SAISIE!#REF!="","",IF(SAISIE!J49&gt;0,SAISIE!$J$6,IF(SAISIE!K49&gt;0,SAISIE!$K$6,IF(SAISIE!L49&gt;0,SAISIE!$L$6,IF(SAISIE!M49&gt;0,SAISIE!$M$6,""))))))</f>
        <v/>
      </c>
      <c r="O635" s="59" t="s">
        <v>58</v>
      </c>
    </row>
    <row r="636" spans="1:15" x14ac:dyDescent="0.25">
      <c r="A636" s="63" t="e">
        <f>IF(AND(G636="",H636=""),"SUPPR",SAISIE!$B$3)</f>
        <v>#REF!</v>
      </c>
      <c r="B636" s="63" t="e">
        <f>IF(SAISIE!#REF!="","",IF(LEN(SAISIE!B49)=1,CONCATENATE("0",SAISIE!B49,"/",SAISIE!$B$4,"/",SAISIE!$B$5),CONCATENATE(SAISIE!B49,"/",SAISIE!$B$4,"/",SAISIE!$B$5)))</f>
        <v>#REF!</v>
      </c>
      <c r="C636" s="63" t="e">
        <f>IF(SAISIE!#REF!="","",SAISIE!#REF!)</f>
        <v>#REF!</v>
      </c>
      <c r="D636" s="63" t="e">
        <f>IF(SAISIE!#REF!="","",SAISIE!E49)</f>
        <v>#REF!</v>
      </c>
      <c r="E636" s="63" t="e">
        <f>IF(SAISIE!#REF!="","",SAISIE!F49)</f>
        <v>#REF!</v>
      </c>
      <c r="F636" s="70" t="e">
        <f>IF(SAISIE!#REF!="","",IF(SAISIE!$N49="","",SAISIE!$N49))</f>
        <v>#REF!</v>
      </c>
      <c r="G636" s="63" t="e">
        <f>IF(SAISIE!#REF!="","",SAISIE!#REF!)</f>
        <v>#REF!</v>
      </c>
      <c r="H636" s="63"/>
      <c r="I636" s="63" t="e">
        <f>IF(SAISIE!#REF!="","",SAISIE!$Q49)</f>
        <v>#REF!</v>
      </c>
      <c r="J636" s="71" t="str">
        <f>IF(COUNTBLANK(SAISIE!$J$6:$M$6)=4,"",IF(SAISIE!#REF!="","",IF(SAISIE!J49&gt;0,SAISIE!$J$6,IF(SAISIE!K49&gt;0,SAISIE!$K$6,IF(SAISIE!L49&gt;0,SAISIE!$L$6,IF(SAISIE!M49&gt;0,SAISIE!$M$6,""))))))</f>
        <v/>
      </c>
      <c r="O636" s="59" t="s">
        <v>59</v>
      </c>
    </row>
    <row r="637" spans="1:15" x14ac:dyDescent="0.25">
      <c r="A637" s="63" t="e">
        <f>IF(AND(G637="",H637=""),"SUPPR",SAISIE!$B$3)</f>
        <v>#REF!</v>
      </c>
      <c r="B637" s="63" t="e">
        <f>IF(SAISIE!#REF!="","",IF(LEN(SAISIE!B49)=1,CONCATENATE("0",SAISIE!B49,"/",SAISIE!$B$4,"/",SAISIE!$B$5),CONCATENATE(SAISIE!B49,"/",SAISIE!$B$4,"/",SAISIE!$B$5)))</f>
        <v>#REF!</v>
      </c>
      <c r="C637" s="63" t="e">
        <f>IF(SAISIE!#REF!="","",SAISIE!#REF!)</f>
        <v>#REF!</v>
      </c>
      <c r="D637" s="63" t="e">
        <f>IF(SAISIE!#REF!="","",SAISIE!E49)</f>
        <v>#REF!</v>
      </c>
      <c r="E637" s="63" t="e">
        <f>IF(SAISIE!#REF!="","",SAISIE!F49)</f>
        <v>#REF!</v>
      </c>
      <c r="F637" s="70" t="e">
        <f>IF(SAISIE!#REF!="","",IF(SAISIE!$N49="","",SAISIE!$N49))</f>
        <v>#REF!</v>
      </c>
      <c r="G637" s="63" t="e">
        <f>IF(SAISIE!#REF!="","",SAISIE!#REF!)</f>
        <v>#REF!</v>
      </c>
      <c r="H637" s="63"/>
      <c r="I637" s="63" t="e">
        <f>IF(SAISIE!#REF!="","",SAISIE!$Q49)</f>
        <v>#REF!</v>
      </c>
      <c r="J637" s="71" t="str">
        <f>IF(COUNTBLANK(SAISIE!$J$6:$M$6)=4,"",IF(SAISIE!#REF!="","",IF(SAISIE!J49&gt;0,SAISIE!$J$6,IF(SAISIE!K49&gt;0,SAISIE!$K$6,IF(SAISIE!L49&gt;0,SAISIE!$L$6,IF(SAISIE!M49&gt;0,SAISIE!$M$6,""))))))</f>
        <v/>
      </c>
      <c r="O637" s="59" t="s">
        <v>60</v>
      </c>
    </row>
    <row r="638" spans="1:15" x14ac:dyDescent="0.25">
      <c r="A638" s="63" t="str">
        <f>IF(AND(G638="",H638=""),"SUPPR",SAISIE!$B$3)</f>
        <v>SUPPR</v>
      </c>
      <c r="B638" s="63" t="str">
        <f>IF(SAISIE!J49="","",IF(LEN(SAISIE!B49)=1,CONCATENATE("0",SAISIE!B49,"/",SAISIE!$B$4,"/",SAISIE!$B$5),CONCATENATE(SAISIE!B49,"/",SAISIE!$B$4,"/",SAISIE!$B$5)))</f>
        <v/>
      </c>
      <c r="C638" s="63" t="str">
        <f>IF(SAISIE!J49="","",SAISIE!$J$8)</f>
        <v/>
      </c>
      <c r="D638" s="63" t="str">
        <f>IF(SAISIE!J49="","",SAISIE!E49)</f>
        <v/>
      </c>
      <c r="E638" s="63" t="str">
        <f>IF(SAISIE!J49="","",SAISIE!F49)</f>
        <v/>
      </c>
      <c r="F638" s="70" t="str">
        <f>IF(SAISIE!$J49="","",IF(SAISIE!$N49="","",SAISIE!$N49))</f>
        <v/>
      </c>
      <c r="G638" s="63" t="str">
        <f>IF(SAISIE!J49="","",SAISIE!J49)</f>
        <v/>
      </c>
      <c r="H638" s="63"/>
      <c r="I638" s="72"/>
      <c r="J638" s="71"/>
      <c r="O638" s="73"/>
    </row>
    <row r="639" spans="1:15" x14ac:dyDescent="0.25">
      <c r="A639" s="63" t="str">
        <f>IF(AND(G639="",H639=""),"SUPPR",SAISIE!$B$3)</f>
        <v>SUPPR</v>
      </c>
      <c r="B639" s="63" t="str">
        <f>IF(SAISIE!K49="","",IF(LEN(SAISIE!B49)=1,CONCATENATE("0",SAISIE!B49,"/",SAISIE!$B$4,"/",SAISIE!$B$5),CONCATENATE(SAISIE!B49,"/",SAISIE!$B$4,"/",SAISIE!$B$5)))</f>
        <v/>
      </c>
      <c r="C639" s="63" t="str">
        <f>IF(SAISIE!K49="","",SAISIE!$K$8)</f>
        <v/>
      </c>
      <c r="D639" s="63" t="str">
        <f>IF(SAISIE!K49="","",SAISIE!E49)</f>
        <v/>
      </c>
      <c r="E639" s="63" t="str">
        <f>IF(SAISIE!K49="","",SAISIE!F49)</f>
        <v/>
      </c>
      <c r="F639" s="70" t="str">
        <f>IF(SAISIE!$K49="","",IF(SAISIE!$N49="","",SAISIE!$N49))</f>
        <v/>
      </c>
      <c r="G639" s="63" t="str">
        <f>IF(SAISIE!K49="","",SAISIE!K49)</f>
        <v/>
      </c>
      <c r="H639" s="63"/>
      <c r="I639" s="72"/>
      <c r="J639" s="71"/>
    </row>
    <row r="640" spans="1:15" x14ac:dyDescent="0.25">
      <c r="A640" s="63" t="str">
        <f>IF(AND(G640="",H640=""),"SUPPR",SAISIE!$B$3)</f>
        <v>SUPPR</v>
      </c>
      <c r="B640" s="63" t="str">
        <f>IF(SAISIE!L49="","",IF(LEN(SAISIE!B49)=1,CONCATENATE("0",SAISIE!B49,"/",SAISIE!$B$4,"/",SAISIE!$B$5),CONCATENATE(SAISIE!B49,"/",SAISIE!$B$4,"/",SAISIE!$B$5)))</f>
        <v/>
      </c>
      <c r="C640" s="63" t="str">
        <f>IF(SAISIE!L49="","",SAISIE!$L$8)</f>
        <v/>
      </c>
      <c r="D640" s="63" t="str">
        <f>IF(SAISIE!L49="","",SAISIE!E49)</f>
        <v/>
      </c>
      <c r="E640" s="63" t="str">
        <f>IF(SAISIE!L49="","",SAISIE!F49)</f>
        <v/>
      </c>
      <c r="F640" s="70" t="str">
        <f>IF(SAISIE!$L49="","",IF(SAISIE!$N49="","",SAISIE!$N49))</f>
        <v/>
      </c>
      <c r="G640" s="63" t="str">
        <f>IF(SAISIE!L49="","",SAISIE!L49)</f>
        <v/>
      </c>
      <c r="H640" s="63"/>
      <c r="I640" s="72"/>
      <c r="J640" s="71"/>
    </row>
    <row r="641" spans="1:15" x14ac:dyDescent="0.25">
      <c r="A641" s="63" t="str">
        <f>IF(AND(G641="",H641=""),"SUPPR",SAISIE!$B$3)</f>
        <v>SUPPR</v>
      </c>
      <c r="B641" s="63" t="str">
        <f>IF(SAISIE!M49="","",IF(LEN(SAISIE!B49)=1,CONCATENATE("0",SAISIE!B49,"/",SAISIE!$B$4,"/",SAISIE!$B$5),CONCATENATE(SAISIE!B49,"/",SAISIE!$B$4,"/",SAISIE!$B$5)))</f>
        <v/>
      </c>
      <c r="C641" s="74" t="str">
        <f>IF(SAISIE!M49="","",SAISIE!$M$8)</f>
        <v/>
      </c>
      <c r="D641" s="74" t="str">
        <f>IF(SAISIE!M49="","",SAISIE!E49)</f>
        <v/>
      </c>
      <c r="E641" s="74" t="str">
        <f>IF(SAISIE!M49="","",SAISIE!F49)</f>
        <v/>
      </c>
      <c r="F641" s="75" t="str">
        <f>IF(SAISIE!$M49="","",IF(SAISIE!$N49="","",SAISIE!$N49))</f>
        <v/>
      </c>
      <c r="G641" s="74" t="str">
        <f>IF(SAISIE!M49="","",SAISIE!M49)</f>
        <v/>
      </c>
      <c r="H641" s="76"/>
      <c r="I641" s="77"/>
      <c r="J641" s="78"/>
    </row>
    <row r="642" spans="1:15" x14ac:dyDescent="0.25">
      <c r="A642" s="63" t="str">
        <f>IF(AND(G642="",H642=""),"SUPPR",SAISIE!$B$3)</f>
        <v>SUPPR</v>
      </c>
      <c r="B642" s="64" t="str">
        <f>IF(SAISIE!B50="","",IF(LEN(SAISIE!B50)=1,CONCATENATE("0",SAISIE!B50,"/",SAISIE!$B$4,"/",SAISIE!$B$5),CONCATENATE(SAISIE!B50,"/",SAISIE!$B$4,"/",SAISIE!$B$5)))</f>
        <v/>
      </c>
      <c r="C642" s="64" t="str">
        <f>IF(SAISIE!B50="","",CONCATENATE($M$2,SAISIE!C50))</f>
        <v/>
      </c>
      <c r="D642" s="64" t="str">
        <f>IF(SAISIE!B50="","",SAISIE!E50)</f>
        <v/>
      </c>
      <c r="E642" s="64" t="str">
        <f>IF(SAISIE!B50="","",SAISIE!F50)</f>
        <v/>
      </c>
      <c r="F642" s="65" t="str">
        <f>IF(A642="SUPPR","",IF(SAISIE!$N50="","",SAISIE!$N50))</f>
        <v/>
      </c>
      <c r="G642" s="64"/>
      <c r="H642" s="64" t="str">
        <f>IF(SAISIE!B50="","",SAISIE!D50)</f>
        <v/>
      </c>
      <c r="I642" s="66"/>
      <c r="J642" s="67" t="str">
        <f>IF(AZ50="","","")</f>
        <v/>
      </c>
      <c r="O642" s="69">
        <f>O626+1</f>
        <v>50</v>
      </c>
    </row>
    <row r="643" spans="1:15" x14ac:dyDescent="0.25">
      <c r="A643" s="63" t="str">
        <f>IF(AND(G643="",H643=""),"SUPPR",SAISIE!$B$3)</f>
        <v>SUPPR</v>
      </c>
      <c r="B643" s="63" t="str">
        <f>IF(SAISIE!P50="","",IF(LEN(SAISIE!B50)=1,CONCATENATE("0",SAISIE!B50,"/",SAISIE!$B$4,"/",SAISIE!$B$5),CONCATENATE(SAISIE!B50,"/",SAISIE!$B$4,"/",SAISIE!$B$5)))</f>
        <v/>
      </c>
      <c r="C643" s="63" t="str">
        <f>IF(SAISIE!P50="","",SAISIE!O50)</f>
        <v/>
      </c>
      <c r="D643" s="63" t="str">
        <f>IF(SAISIE!P50="","",SAISIE!E50)</f>
        <v/>
      </c>
      <c r="E643" s="63" t="str">
        <f>IF(SAISIE!P50="","",SAISIE!F50)</f>
        <v/>
      </c>
      <c r="F643" s="70" t="str">
        <f>IF(SAISIE!$P50="","",IF(SAISIE!$N50="","",SAISIE!$N50))</f>
        <v/>
      </c>
      <c r="G643" s="63" t="str">
        <f>IF(SAISIE!P50="","",SAISIE!P50)</f>
        <v/>
      </c>
      <c r="H643" s="63"/>
      <c r="I643" s="63" t="str">
        <f>IF(SAISIE!$P50="","",SAISIE!$Q50)</f>
        <v/>
      </c>
      <c r="J643" s="71" t="str">
        <f>IF(COUNTBLANK(SAISIE!$J$6:$M$6)=4,"",IF(SAISIE!P50="","",IF(SAISIE!J50&gt;0,SAISIE!$J$6,IF(SAISIE!K50&gt;0,SAISIE!$K$6,IF(SAISIE!L50&gt;0,SAISIE!$L$6,IF(SAISIE!M50&gt;0,SAISIE!$M$6,""))))))</f>
        <v/>
      </c>
      <c r="O643" s="59" t="s">
        <v>50</v>
      </c>
    </row>
    <row r="644" spans="1:15" x14ac:dyDescent="0.25">
      <c r="A644" s="63" t="str">
        <f>IF(AND(G644="",H644=""),"SUPPR",SAISIE!$B$3)</f>
        <v>SUPPR</v>
      </c>
      <c r="B644" s="63" t="str">
        <f>IF(SAISIE!G50="","",IF(LEN(SAISIE!B50)=1,CONCATENATE("0",SAISIE!B50,"/",SAISIE!$B$4,"/",SAISIE!$B$5),CONCATENATE(SAISIE!B50,"/",SAISIE!$B$4,"/",SAISIE!$B$5)))</f>
        <v/>
      </c>
      <c r="C644" s="63" t="str">
        <f>IF(SAISIE!G50="","",SAISIE!$G$8)</f>
        <v/>
      </c>
      <c r="D644" s="63" t="str">
        <f>IF(SAISIE!G50="","",SAISIE!E50)</f>
        <v/>
      </c>
      <c r="E644" s="63" t="str">
        <f>IF(SAISIE!G50="","",SAISIE!F50)</f>
        <v/>
      </c>
      <c r="F644" s="70" t="str">
        <f>IF(SAISIE!$G50="","",IF(SAISIE!$N50="","",SAISIE!$N50))</f>
        <v/>
      </c>
      <c r="G644" s="63" t="str">
        <f>IF(SAISIE!G50="","",SAISIE!G50)</f>
        <v/>
      </c>
      <c r="H644" s="63"/>
      <c r="I644" s="63" t="str">
        <f>IF(SAISIE!$G50="","",SAISIE!$Q50)</f>
        <v/>
      </c>
      <c r="J644" s="71" t="str">
        <f>IF(COUNTBLANK(SAISIE!$J$6:$M$6)=4,"",IF(SAISIE!G50="","",IF(SAISIE!J50&gt;0,SAISIE!$J$6,IF(SAISIE!K50&gt;0,SAISIE!$K$6,IF(SAISIE!L50&gt;0,SAISIE!$L$6,IF(SAISIE!M50&gt;0,SAISIE!$M$6,""))))))</f>
        <v/>
      </c>
      <c r="O644" s="59" t="s">
        <v>51</v>
      </c>
    </row>
    <row r="645" spans="1:15" x14ac:dyDescent="0.25">
      <c r="A645" s="63" t="str">
        <f>IF(AND(G645="",H645=""),"SUPPR",SAISIE!$B$3)</f>
        <v>SUPPR</v>
      </c>
      <c r="B645" s="63" t="str">
        <f>IF(SAISIE!H50="","",IF(LEN(SAISIE!B50)=1,CONCATENATE("0",SAISIE!B50,"/",SAISIE!$B$4,"/",SAISIE!$B$5),CONCATENATE(SAISIE!B50,"/",SAISIE!$B$4,"/",SAISIE!$B$5)))</f>
        <v/>
      </c>
      <c r="C645" s="63" t="str">
        <f>IF(SAISIE!H50="","",SAISIE!$H$8)</f>
        <v/>
      </c>
      <c r="D645" s="63" t="str">
        <f>IF(SAISIE!H50="","",SAISIE!E50)</f>
        <v/>
      </c>
      <c r="E645" s="63" t="str">
        <f>IF(SAISIE!H50="","",SAISIE!F50)</f>
        <v/>
      </c>
      <c r="F645" s="70" t="str">
        <f>IF(SAISIE!$H50="","",IF(SAISIE!$N50="","",SAISIE!$N50))</f>
        <v/>
      </c>
      <c r="G645" s="63" t="str">
        <f>IF(SAISIE!H50="","",SAISIE!H50)</f>
        <v/>
      </c>
      <c r="H645" s="63"/>
      <c r="I645" s="63" t="str">
        <f>IF(SAISIE!$H50="","",SAISIE!$Q50)</f>
        <v/>
      </c>
      <c r="J645" s="71" t="str">
        <f>IF(COUNTBLANK(SAISIE!$J$6:$M$6)=4,"",IF(SAISIE!H50="","",IF(SAISIE!J50&gt;0,SAISIE!$J$6,IF(SAISIE!K50&gt;0,SAISIE!$K$6,IF(SAISIE!L50&gt;0,SAISIE!$L$6,IF(SAISIE!M50&gt;0,SAISIE!$M$6,""))))))</f>
        <v/>
      </c>
      <c r="O645" s="59" t="s">
        <v>52</v>
      </c>
    </row>
    <row r="646" spans="1:15" x14ac:dyDescent="0.25">
      <c r="A646" s="63" t="str">
        <f>IF(AND(G646="",H646=""),"SUPPR",SAISIE!$B$3)</f>
        <v>SUPPR</v>
      </c>
      <c r="B646" s="63" t="str">
        <f>IF(SAISIE!I50="","",IF(LEN(SAISIE!B50)=1,CONCATENATE("0",SAISIE!B50,"/",SAISIE!$B$4,"/",SAISIE!$B$5),CONCATENATE(SAISIE!B50,"/",SAISIE!$B$4,"/",SAISIE!$B$5)))</f>
        <v/>
      </c>
      <c r="C646" s="63" t="str">
        <f>IF(SAISIE!I50="","",SAISIE!$I$8)</f>
        <v/>
      </c>
      <c r="D646" s="63" t="str">
        <f>IF(SAISIE!I50="","",SAISIE!E50)</f>
        <v/>
      </c>
      <c r="E646" s="63" t="str">
        <f>IF(SAISIE!I50="","",SAISIE!F50)</f>
        <v/>
      </c>
      <c r="F646" s="70" t="str">
        <f>IF(SAISIE!$I50="","",IF(SAISIE!$N50="","",SAISIE!$N50))</f>
        <v/>
      </c>
      <c r="G646" s="63" t="str">
        <f>IF(SAISIE!I50="","",SAISIE!I50)</f>
        <v/>
      </c>
      <c r="H646" s="63"/>
      <c r="I646" s="63" t="str">
        <f>IF(SAISIE!$I50="","",SAISIE!$Q50)</f>
        <v/>
      </c>
      <c r="J646" s="71" t="str">
        <f>IF(COUNTBLANK(SAISIE!$J$6:$M$6)=4,"",IF(SAISIE!I50="","",IF(SAISIE!J50&gt;0,SAISIE!$J$6,IF(SAISIE!K50&gt;0,SAISIE!$K$6,IF(SAISIE!L50&gt;0,SAISIE!$L$6,IF(SAISIE!M50&gt;0,SAISIE!$M$6,""))))))</f>
        <v/>
      </c>
      <c r="O646" s="59" t="s">
        <v>53</v>
      </c>
    </row>
    <row r="647" spans="1:15" x14ac:dyDescent="0.25">
      <c r="A647" s="63" t="e">
        <f>IF(AND(G647="",H647=""),"SUPPR",SAISIE!$B$3)</f>
        <v>#REF!</v>
      </c>
      <c r="B647" s="63" t="e">
        <f>IF(SAISIE!#REF!="","",IF(LEN(SAISIE!B50)=1,CONCATENATE("0",SAISIE!B50,"/",SAISIE!$B$4,"/",SAISIE!$B$5),CONCATENATE(SAISIE!B50,"/",SAISIE!$B$4,"/",SAISIE!$B$5)))</f>
        <v>#REF!</v>
      </c>
      <c r="C647" s="63" t="e">
        <f>IF(SAISIE!#REF!="","",SAISIE!#REF!)</f>
        <v>#REF!</v>
      </c>
      <c r="D647" s="63" t="e">
        <f>IF(SAISIE!#REF!="","",SAISIE!E50)</f>
        <v>#REF!</v>
      </c>
      <c r="E647" s="63" t="e">
        <f>IF(SAISIE!#REF!="","",SAISIE!F50)</f>
        <v>#REF!</v>
      </c>
      <c r="F647" s="70" t="e">
        <f>IF(SAISIE!#REF!="","",IF(SAISIE!$N50="","",SAISIE!$N50))</f>
        <v>#REF!</v>
      </c>
      <c r="G647" s="63" t="e">
        <f>IF(SAISIE!#REF!="","",SAISIE!#REF!)</f>
        <v>#REF!</v>
      </c>
      <c r="H647" s="63"/>
      <c r="I647" s="63" t="e">
        <f>IF(SAISIE!#REF!="","",SAISIE!$Q50)</f>
        <v>#REF!</v>
      </c>
      <c r="J647" s="71" t="str">
        <f>IF(COUNTBLANK(SAISIE!$J$6:$M$6)=4,"",IF(SAISIE!#REF!="","",IF(SAISIE!J50&gt;0,SAISIE!$J$6,IF(SAISIE!K50&gt;0,SAISIE!$K$6,IF(SAISIE!L50&gt;0,SAISIE!$L$6,IF(SAISIE!M50&gt;0,SAISIE!$M$6,""))))))</f>
        <v/>
      </c>
      <c r="O647" s="59" t="s">
        <v>54</v>
      </c>
    </row>
    <row r="648" spans="1:15" x14ac:dyDescent="0.25">
      <c r="A648" s="63" t="e">
        <f>IF(AND(G648="",H648=""),"SUPPR",SAISIE!$B$3)</f>
        <v>#REF!</v>
      </c>
      <c r="B648" s="63" t="e">
        <f>IF(SAISIE!#REF!="","",IF(LEN(SAISIE!B50)=1,CONCATENATE("0",SAISIE!B50,"/",SAISIE!$B$4,"/",SAISIE!$B$5),CONCATENATE(SAISIE!B50,"/",SAISIE!$B$4,"/",SAISIE!$B$5)))</f>
        <v>#REF!</v>
      </c>
      <c r="C648" s="63" t="e">
        <f>IF(SAISIE!#REF!="","",SAISIE!#REF!)</f>
        <v>#REF!</v>
      </c>
      <c r="D648" s="63" t="e">
        <f>IF(SAISIE!#REF!="","",SAISIE!E50)</f>
        <v>#REF!</v>
      </c>
      <c r="E648" s="63" t="e">
        <f>IF(SAISIE!#REF!="","",SAISIE!F50)</f>
        <v>#REF!</v>
      </c>
      <c r="F648" s="70" t="e">
        <f>IF(SAISIE!#REF!="","",IF(SAISIE!$N50="","",SAISIE!$N50))</f>
        <v>#REF!</v>
      </c>
      <c r="G648" s="63" t="e">
        <f>IF(SAISIE!#REF!="","",SAISIE!#REF!)</f>
        <v>#REF!</v>
      </c>
      <c r="H648" s="63"/>
      <c r="I648" s="63" t="e">
        <f>IF(SAISIE!#REF!="","",SAISIE!$Q50)</f>
        <v>#REF!</v>
      </c>
      <c r="J648" s="71" t="str">
        <f>IF(COUNTBLANK(SAISIE!$J$6:$M$6)=4,"",IF(SAISIE!#REF!="","",IF(SAISIE!J50&gt;0,SAISIE!$J$6,IF(SAISIE!K50&gt;0,SAISIE!$K$6,IF(SAISIE!L50&gt;0,SAISIE!$L$6,IF(SAISIE!M50&gt;0,SAISIE!$M$6,""))))))</f>
        <v/>
      </c>
      <c r="O648" s="59" t="s">
        <v>55</v>
      </c>
    </row>
    <row r="649" spans="1:15" x14ac:dyDescent="0.25">
      <c r="A649" s="63" t="e">
        <f>IF(AND(G649="",H649=""),"SUPPR",SAISIE!$B$3)</f>
        <v>#REF!</v>
      </c>
      <c r="B649" s="63" t="e">
        <f>IF(SAISIE!#REF!="","",IF(LEN(SAISIE!B50)=1,CONCATENATE("0",SAISIE!B50,"/",SAISIE!$B$4,"/",SAISIE!$B$5),CONCATENATE(SAISIE!B50,"/",SAISIE!$B$4,"/",SAISIE!$B$5)))</f>
        <v>#REF!</v>
      </c>
      <c r="C649" s="63" t="e">
        <f>IF(SAISIE!#REF!="","",SAISIE!#REF!)</f>
        <v>#REF!</v>
      </c>
      <c r="D649" s="63" t="e">
        <f>IF(SAISIE!#REF!="","",SAISIE!E50)</f>
        <v>#REF!</v>
      </c>
      <c r="E649" s="63" t="e">
        <f>IF(SAISIE!#REF!="","",SAISIE!F50)</f>
        <v>#REF!</v>
      </c>
      <c r="F649" s="70" t="e">
        <f>IF(SAISIE!#REF!="","",IF(SAISIE!$N50="","",SAISIE!$N50))</f>
        <v>#REF!</v>
      </c>
      <c r="G649" s="63" t="e">
        <f>IF(SAISIE!#REF!="","",SAISIE!#REF!)</f>
        <v>#REF!</v>
      </c>
      <c r="H649" s="63"/>
      <c r="I649" s="63" t="e">
        <f>IF(SAISIE!#REF!="","",SAISIE!$Q50)</f>
        <v>#REF!</v>
      </c>
      <c r="J649" s="71" t="str">
        <f>IF(COUNTBLANK(SAISIE!$J$6:$M$6)=4,"",IF(SAISIE!#REF!="","",IF(SAISIE!J50&gt;0,SAISIE!$J$6,IF(SAISIE!K50&gt;0,SAISIE!$K$6,IF(SAISIE!L50&gt;0,SAISIE!$L$6,IF(SAISIE!M50&gt;0,SAISIE!$M$6,""))))))</f>
        <v/>
      </c>
      <c r="O649" s="59" t="s">
        <v>56</v>
      </c>
    </row>
    <row r="650" spans="1:15" x14ac:dyDescent="0.25">
      <c r="A650" s="63" t="e">
        <f>IF(AND(G650="",H650=""),"SUPPR",SAISIE!$B$3)</f>
        <v>#REF!</v>
      </c>
      <c r="B650" s="63" t="e">
        <f>IF(SAISIE!#REF!="","",IF(LEN(SAISIE!B50)=1,CONCATENATE("0",SAISIE!B50,"/",SAISIE!$B$4,"/",SAISIE!$B$5),CONCATENATE(SAISIE!B50,"/",SAISIE!$B$4,"/",SAISIE!$B$5)))</f>
        <v>#REF!</v>
      </c>
      <c r="C650" s="63" t="e">
        <f>IF(SAISIE!#REF!="","",SAISIE!#REF!)</f>
        <v>#REF!</v>
      </c>
      <c r="D650" s="63" t="e">
        <f>IF(SAISIE!#REF!="","",SAISIE!E50)</f>
        <v>#REF!</v>
      </c>
      <c r="E650" s="63" t="e">
        <f>IF(SAISIE!#REF!="","",SAISIE!F50)</f>
        <v>#REF!</v>
      </c>
      <c r="F650" s="70" t="e">
        <f>IF(SAISIE!#REF!="","",IF(SAISIE!$N50="","",SAISIE!$N50))</f>
        <v>#REF!</v>
      </c>
      <c r="G650" s="63" t="e">
        <f>IF(SAISIE!#REF!="","",SAISIE!#REF!)</f>
        <v>#REF!</v>
      </c>
      <c r="H650" s="63"/>
      <c r="I650" s="63" t="e">
        <f>IF(SAISIE!#REF!="","",SAISIE!$Q50)</f>
        <v>#REF!</v>
      </c>
      <c r="J650" s="71" t="str">
        <f>IF(COUNTBLANK(SAISIE!$J$6:$M$6)=4,"",IF(SAISIE!#REF!="","",IF(SAISIE!J50&gt;0,SAISIE!$J$6,IF(SAISIE!K50&gt;0,SAISIE!$K$6,IF(SAISIE!L50&gt;0,SAISIE!$L$6,IF(SAISIE!M50&gt;0,SAISIE!$M$6,""))))))</f>
        <v/>
      </c>
      <c r="O650" s="59" t="s">
        <v>57</v>
      </c>
    </row>
    <row r="651" spans="1:15" x14ac:dyDescent="0.25">
      <c r="A651" s="63" t="e">
        <f>IF(AND(G651="",H651=""),"SUPPR",SAISIE!$B$3)</f>
        <v>#REF!</v>
      </c>
      <c r="B651" s="63" t="e">
        <f>IF(SAISIE!#REF!="","",IF(LEN(SAISIE!B50)=1,CONCATENATE("0",SAISIE!B50,"/",SAISIE!$B$4,"/",SAISIE!$B$5),CONCATENATE(SAISIE!B50,"/",SAISIE!$B$4,"/",SAISIE!$B$5)))</f>
        <v>#REF!</v>
      </c>
      <c r="C651" s="63" t="e">
        <f>IF(SAISIE!#REF!="","",SAISIE!#REF!)</f>
        <v>#REF!</v>
      </c>
      <c r="D651" s="63" t="e">
        <f>IF(SAISIE!#REF!="","",SAISIE!E50)</f>
        <v>#REF!</v>
      </c>
      <c r="E651" s="63" t="e">
        <f>IF(SAISIE!#REF!="","",SAISIE!F50)</f>
        <v>#REF!</v>
      </c>
      <c r="F651" s="70" t="e">
        <f>IF(SAISIE!#REF!="","",IF(SAISIE!$N50="","",SAISIE!$N50))</f>
        <v>#REF!</v>
      </c>
      <c r="G651" s="63" t="e">
        <f>IF(SAISIE!#REF!="","",SAISIE!#REF!)</f>
        <v>#REF!</v>
      </c>
      <c r="H651" s="63"/>
      <c r="I651" s="63" t="e">
        <f>IF(SAISIE!#REF!="","",SAISIE!$Q50)</f>
        <v>#REF!</v>
      </c>
      <c r="J651" s="71" t="str">
        <f>IF(COUNTBLANK(SAISIE!$J$6:$M$6)=4,"",IF(SAISIE!#REF!="","",IF(SAISIE!J50&gt;0,SAISIE!$J$6,IF(SAISIE!K50&gt;0,SAISIE!$K$6,IF(SAISIE!L50&gt;0,SAISIE!$L$6,IF(SAISIE!M50&gt;0,SAISIE!$M$6,""))))))</f>
        <v/>
      </c>
      <c r="O651" s="59" t="s">
        <v>58</v>
      </c>
    </row>
    <row r="652" spans="1:15" x14ac:dyDescent="0.25">
      <c r="A652" s="63" t="e">
        <f>IF(AND(G652="",H652=""),"SUPPR",SAISIE!$B$3)</f>
        <v>#REF!</v>
      </c>
      <c r="B652" s="63" t="e">
        <f>IF(SAISIE!#REF!="","",IF(LEN(SAISIE!B50)=1,CONCATENATE("0",SAISIE!B50,"/",SAISIE!$B$4,"/",SAISIE!$B$5),CONCATENATE(SAISIE!B50,"/",SAISIE!$B$4,"/",SAISIE!$B$5)))</f>
        <v>#REF!</v>
      </c>
      <c r="C652" s="63" t="e">
        <f>IF(SAISIE!#REF!="","",SAISIE!#REF!)</f>
        <v>#REF!</v>
      </c>
      <c r="D652" s="63" t="e">
        <f>IF(SAISIE!#REF!="","",SAISIE!E50)</f>
        <v>#REF!</v>
      </c>
      <c r="E652" s="63" t="e">
        <f>IF(SAISIE!#REF!="","",SAISIE!F50)</f>
        <v>#REF!</v>
      </c>
      <c r="F652" s="70" t="e">
        <f>IF(SAISIE!#REF!="","",IF(SAISIE!$N50="","",SAISIE!$N50))</f>
        <v>#REF!</v>
      </c>
      <c r="G652" s="63" t="e">
        <f>IF(SAISIE!#REF!="","",SAISIE!#REF!)</f>
        <v>#REF!</v>
      </c>
      <c r="H652" s="63"/>
      <c r="I652" s="63" t="e">
        <f>IF(SAISIE!#REF!="","",SAISIE!$Q50)</f>
        <v>#REF!</v>
      </c>
      <c r="J652" s="71" t="str">
        <f>IF(COUNTBLANK(SAISIE!$J$6:$M$6)=4,"",IF(SAISIE!#REF!="","",IF(SAISIE!J50&gt;0,SAISIE!$J$6,IF(SAISIE!K50&gt;0,SAISIE!$K$6,IF(SAISIE!L50&gt;0,SAISIE!$L$6,IF(SAISIE!M50&gt;0,SAISIE!$M$6,""))))))</f>
        <v/>
      </c>
      <c r="O652" s="59" t="s">
        <v>59</v>
      </c>
    </row>
    <row r="653" spans="1:15" x14ac:dyDescent="0.25">
      <c r="A653" s="63" t="e">
        <f>IF(AND(G653="",H653=""),"SUPPR",SAISIE!$B$3)</f>
        <v>#REF!</v>
      </c>
      <c r="B653" s="63" t="e">
        <f>IF(SAISIE!#REF!="","",IF(LEN(SAISIE!B50)=1,CONCATENATE("0",SAISIE!B50,"/",SAISIE!$B$4,"/",SAISIE!$B$5),CONCATENATE(SAISIE!B50,"/",SAISIE!$B$4,"/",SAISIE!$B$5)))</f>
        <v>#REF!</v>
      </c>
      <c r="C653" s="63" t="e">
        <f>IF(SAISIE!#REF!="","",SAISIE!#REF!)</f>
        <v>#REF!</v>
      </c>
      <c r="D653" s="63" t="e">
        <f>IF(SAISIE!#REF!="","",SAISIE!E50)</f>
        <v>#REF!</v>
      </c>
      <c r="E653" s="63" t="e">
        <f>IF(SAISIE!#REF!="","",SAISIE!F50)</f>
        <v>#REF!</v>
      </c>
      <c r="F653" s="70" t="e">
        <f>IF(SAISIE!#REF!="","",IF(SAISIE!$N50="","",SAISIE!$N50))</f>
        <v>#REF!</v>
      </c>
      <c r="G653" s="63" t="e">
        <f>IF(SAISIE!#REF!="","",SAISIE!#REF!)</f>
        <v>#REF!</v>
      </c>
      <c r="H653" s="63"/>
      <c r="I653" s="63" t="e">
        <f>IF(SAISIE!#REF!="","",SAISIE!$Q50)</f>
        <v>#REF!</v>
      </c>
      <c r="J653" s="71" t="str">
        <f>IF(COUNTBLANK(SAISIE!$J$6:$M$6)=4,"",IF(SAISIE!#REF!="","",IF(SAISIE!J50&gt;0,SAISIE!$J$6,IF(SAISIE!K50&gt;0,SAISIE!$K$6,IF(SAISIE!L50&gt;0,SAISIE!$L$6,IF(SAISIE!M50&gt;0,SAISIE!$M$6,""))))))</f>
        <v/>
      </c>
      <c r="O653" s="59" t="s">
        <v>60</v>
      </c>
    </row>
    <row r="654" spans="1:15" x14ac:dyDescent="0.25">
      <c r="A654" s="63" t="str">
        <f>IF(AND(G654="",H654=""),"SUPPR",SAISIE!$B$3)</f>
        <v>SUPPR</v>
      </c>
      <c r="B654" s="63" t="str">
        <f>IF(SAISIE!J50="","",IF(LEN(SAISIE!B50)=1,CONCATENATE("0",SAISIE!B50,"/",SAISIE!$B$4,"/",SAISIE!$B$5),CONCATENATE(SAISIE!B50,"/",SAISIE!$B$4,"/",SAISIE!$B$5)))</f>
        <v/>
      </c>
      <c r="C654" s="63" t="str">
        <f>IF(SAISIE!J50="","",SAISIE!$J$8)</f>
        <v/>
      </c>
      <c r="D654" s="63" t="str">
        <f>IF(SAISIE!J50="","",SAISIE!E50)</f>
        <v/>
      </c>
      <c r="E654" s="63" t="str">
        <f>IF(SAISIE!J50="","",SAISIE!F50)</f>
        <v/>
      </c>
      <c r="F654" s="70" t="str">
        <f>IF(SAISIE!$J50="","",IF(SAISIE!$N50="","",SAISIE!$N50))</f>
        <v/>
      </c>
      <c r="G654" s="63" t="str">
        <f>IF(SAISIE!J50="","",SAISIE!J50)</f>
        <v/>
      </c>
      <c r="H654" s="63"/>
      <c r="I654" s="72"/>
      <c r="J654" s="71"/>
      <c r="O654" s="73"/>
    </row>
    <row r="655" spans="1:15" x14ac:dyDescent="0.25">
      <c r="A655" s="63" t="str">
        <f>IF(AND(G655="",H655=""),"SUPPR",SAISIE!$B$3)</f>
        <v>SUPPR</v>
      </c>
      <c r="B655" s="63" t="str">
        <f>IF(SAISIE!K50="","",IF(LEN(SAISIE!B50)=1,CONCATENATE("0",SAISIE!B50,"/",SAISIE!$B$4,"/",SAISIE!$B$5),CONCATENATE(SAISIE!B50,"/",SAISIE!$B$4,"/",SAISIE!$B$5)))</f>
        <v/>
      </c>
      <c r="C655" s="63" t="str">
        <f>IF(SAISIE!K50="","",SAISIE!$K$8)</f>
        <v/>
      </c>
      <c r="D655" s="63" t="str">
        <f>IF(SAISIE!K50="","",SAISIE!E50)</f>
        <v/>
      </c>
      <c r="E655" s="63" t="str">
        <f>IF(SAISIE!K50="","",SAISIE!F50)</f>
        <v/>
      </c>
      <c r="F655" s="70" t="str">
        <f>IF(SAISIE!$K50="","",IF(SAISIE!$N50="","",SAISIE!$N50))</f>
        <v/>
      </c>
      <c r="G655" s="63" t="str">
        <f>IF(SAISIE!K50="","",SAISIE!K50)</f>
        <v/>
      </c>
      <c r="H655" s="63"/>
      <c r="I655" s="72"/>
      <c r="J655" s="71"/>
    </row>
    <row r="656" spans="1:15" x14ac:dyDescent="0.25">
      <c r="A656" s="63" t="str">
        <f>IF(AND(G656="",H656=""),"SUPPR",SAISIE!$B$3)</f>
        <v>SUPPR</v>
      </c>
      <c r="B656" s="63" t="str">
        <f>IF(SAISIE!L50="","",IF(LEN(SAISIE!B50)=1,CONCATENATE("0",SAISIE!B50,"/",SAISIE!$B$4,"/",SAISIE!$B$5),CONCATENATE(SAISIE!B50,"/",SAISIE!$B$4,"/",SAISIE!$B$5)))</f>
        <v/>
      </c>
      <c r="C656" s="63" t="str">
        <f>IF(SAISIE!L50="","",SAISIE!$L$8)</f>
        <v/>
      </c>
      <c r="D656" s="63" t="str">
        <f>IF(SAISIE!L50="","",SAISIE!E50)</f>
        <v/>
      </c>
      <c r="E656" s="63" t="str">
        <f>IF(SAISIE!L50="","",SAISIE!F50)</f>
        <v/>
      </c>
      <c r="F656" s="70" t="str">
        <f>IF(SAISIE!$L50="","",IF(SAISIE!$N50="","",SAISIE!$N50))</f>
        <v/>
      </c>
      <c r="G656" s="63" t="str">
        <f>IF(SAISIE!L50="","",SAISIE!L50)</f>
        <v/>
      </c>
      <c r="H656" s="63"/>
      <c r="I656" s="72"/>
      <c r="J656" s="71"/>
    </row>
    <row r="657" spans="1:15" x14ac:dyDescent="0.25">
      <c r="A657" s="63" t="str">
        <f>IF(AND(G657="",H657=""),"SUPPR",SAISIE!$B$3)</f>
        <v>SUPPR</v>
      </c>
      <c r="B657" s="63" t="str">
        <f>IF(SAISIE!M50="","",IF(LEN(SAISIE!B50)=1,CONCATENATE("0",SAISIE!B50,"/",SAISIE!$B$4,"/",SAISIE!$B$5),CONCATENATE(SAISIE!B50,"/",SAISIE!$B$4,"/",SAISIE!$B$5)))</f>
        <v/>
      </c>
      <c r="C657" s="74" t="str">
        <f>IF(SAISIE!M50="","",SAISIE!$M$8)</f>
        <v/>
      </c>
      <c r="D657" s="74" t="str">
        <f>IF(SAISIE!M50="","",SAISIE!E50)</f>
        <v/>
      </c>
      <c r="E657" s="74" t="str">
        <f>IF(SAISIE!M50="","",SAISIE!F50)</f>
        <v/>
      </c>
      <c r="F657" s="75" t="str">
        <f>IF(SAISIE!$M50="","",IF(SAISIE!$N50="","",SAISIE!$N50))</f>
        <v/>
      </c>
      <c r="G657" s="74" t="str">
        <f>IF(SAISIE!M50="","",SAISIE!M50)</f>
        <v/>
      </c>
      <c r="H657" s="76"/>
      <c r="I657" s="77"/>
      <c r="J657" s="78"/>
    </row>
    <row r="658" spans="1:15" x14ac:dyDescent="0.25">
      <c r="A658" s="63" t="str">
        <f>IF(AND(G658="",H658=""),"SUPPR",SAISIE!$B$3)</f>
        <v>SUPPR</v>
      </c>
      <c r="B658" s="64" t="str">
        <f>IF(SAISIE!B51="","",IF(LEN(SAISIE!B51)=1,CONCATENATE("0",SAISIE!B51,"/",SAISIE!$B$4,"/",SAISIE!$B$5),CONCATENATE(SAISIE!B51,"/",SAISIE!$B$4,"/",SAISIE!$B$5)))</f>
        <v/>
      </c>
      <c r="C658" s="64" t="str">
        <f>IF(SAISIE!B51="","",CONCATENATE($M$2,SAISIE!C51))</f>
        <v/>
      </c>
      <c r="D658" s="64" t="str">
        <f>IF(SAISIE!B51="","",SAISIE!E51)</f>
        <v/>
      </c>
      <c r="E658" s="64" t="str">
        <f>IF(SAISIE!B51="","",SAISIE!F51)</f>
        <v/>
      </c>
      <c r="F658" s="65" t="str">
        <f>IF(A658="SUPPR","",IF(SAISIE!$N51="","",SAISIE!$N51))</f>
        <v/>
      </c>
      <c r="G658" s="64"/>
      <c r="H658" s="64" t="str">
        <f>IF(SAISIE!B51="","",SAISIE!D51)</f>
        <v/>
      </c>
      <c r="I658" s="66"/>
      <c r="J658" s="67" t="str">
        <f>IF(AZ51="","","")</f>
        <v/>
      </c>
      <c r="O658" s="69">
        <f>O642+1</f>
        <v>51</v>
      </c>
    </row>
    <row r="659" spans="1:15" x14ac:dyDescent="0.25">
      <c r="A659" s="63" t="str">
        <f>IF(AND(G659="",H659=""),"SUPPR",SAISIE!$B$3)</f>
        <v>SUPPR</v>
      </c>
      <c r="B659" s="63" t="str">
        <f>IF(SAISIE!P51="","",IF(LEN(SAISIE!B51)=1,CONCATENATE("0",SAISIE!B51,"/",SAISIE!$B$4,"/",SAISIE!$B$5),CONCATENATE(SAISIE!B51,"/",SAISIE!$B$4,"/",SAISIE!$B$5)))</f>
        <v/>
      </c>
      <c r="C659" s="63" t="str">
        <f>IF(SAISIE!P51="","",SAISIE!O51)</f>
        <v/>
      </c>
      <c r="D659" s="63" t="str">
        <f>IF(SAISIE!P51="","",SAISIE!E51)</f>
        <v/>
      </c>
      <c r="E659" s="63" t="str">
        <f>IF(SAISIE!P51="","",SAISIE!F51)</f>
        <v/>
      </c>
      <c r="F659" s="70" t="str">
        <f>IF(SAISIE!$P51="","",IF(SAISIE!$N51="","",SAISIE!$N51))</f>
        <v/>
      </c>
      <c r="G659" s="63" t="str">
        <f>IF(SAISIE!P51="","",SAISIE!P51)</f>
        <v/>
      </c>
      <c r="H659" s="63"/>
      <c r="I659" s="63" t="str">
        <f>IF(SAISIE!$P51="","",SAISIE!$Q51)</f>
        <v/>
      </c>
      <c r="J659" s="71" t="str">
        <f>IF(COUNTBLANK(SAISIE!$J$6:$M$6)=4,"",IF(SAISIE!P51="","",IF(SAISIE!J51&gt;0,SAISIE!$J$6,IF(SAISIE!K51&gt;0,SAISIE!$K$6,IF(SAISIE!L51&gt;0,SAISIE!$L$6,IF(SAISIE!M51&gt;0,SAISIE!$M$6,""))))))</f>
        <v/>
      </c>
      <c r="O659" s="59" t="s">
        <v>50</v>
      </c>
    </row>
    <row r="660" spans="1:15" x14ac:dyDescent="0.25">
      <c r="A660" s="63" t="str">
        <f>IF(AND(G660="",H660=""),"SUPPR",SAISIE!$B$3)</f>
        <v>SUPPR</v>
      </c>
      <c r="B660" s="63" t="str">
        <f>IF(SAISIE!G51="","",IF(LEN(SAISIE!B51)=1,CONCATENATE("0",SAISIE!B51,"/",SAISIE!$B$4,"/",SAISIE!$B$5),CONCATENATE(SAISIE!B51,"/",SAISIE!$B$4,"/",SAISIE!$B$5)))</f>
        <v/>
      </c>
      <c r="C660" s="63" t="str">
        <f>IF(SAISIE!G51="","",SAISIE!$G$8)</f>
        <v/>
      </c>
      <c r="D660" s="63" t="str">
        <f>IF(SAISIE!G51="","",SAISIE!E51)</f>
        <v/>
      </c>
      <c r="E660" s="63" t="str">
        <f>IF(SAISIE!G51="","",SAISIE!F51)</f>
        <v/>
      </c>
      <c r="F660" s="70" t="str">
        <f>IF(SAISIE!$G51="","",IF(SAISIE!$N51="","",SAISIE!$N51))</f>
        <v/>
      </c>
      <c r="G660" s="63" t="str">
        <f>IF(SAISIE!G51="","",SAISIE!G51)</f>
        <v/>
      </c>
      <c r="H660" s="63"/>
      <c r="I660" s="63" t="str">
        <f>IF(SAISIE!$G51="","",SAISIE!$Q51)</f>
        <v/>
      </c>
      <c r="J660" s="71" t="str">
        <f>IF(COUNTBLANK(SAISIE!$J$6:$M$6)=4,"",IF(SAISIE!G51="","",IF(SAISIE!J51&gt;0,SAISIE!$J$6,IF(SAISIE!K51&gt;0,SAISIE!$K$6,IF(SAISIE!L51&gt;0,SAISIE!$L$6,IF(SAISIE!M51&gt;0,SAISIE!$M$6,""))))))</f>
        <v/>
      </c>
      <c r="O660" s="59" t="s">
        <v>51</v>
      </c>
    </row>
    <row r="661" spans="1:15" x14ac:dyDescent="0.25">
      <c r="A661" s="63" t="str">
        <f>IF(AND(G661="",H661=""),"SUPPR",SAISIE!$B$3)</f>
        <v>SUPPR</v>
      </c>
      <c r="B661" s="63" t="str">
        <f>IF(SAISIE!H51="","",IF(LEN(SAISIE!B51)=1,CONCATENATE("0",SAISIE!B51,"/",SAISIE!$B$4,"/",SAISIE!$B$5),CONCATENATE(SAISIE!B51,"/",SAISIE!$B$4,"/",SAISIE!$B$5)))</f>
        <v/>
      </c>
      <c r="C661" s="63" t="str">
        <f>IF(SAISIE!H51="","",SAISIE!$H$8)</f>
        <v/>
      </c>
      <c r="D661" s="63" t="str">
        <f>IF(SAISIE!H51="","",SAISIE!E51)</f>
        <v/>
      </c>
      <c r="E661" s="63" t="str">
        <f>IF(SAISIE!H51="","",SAISIE!F51)</f>
        <v/>
      </c>
      <c r="F661" s="70" t="str">
        <f>IF(SAISIE!$H51="","",IF(SAISIE!$N51="","",SAISIE!$N51))</f>
        <v/>
      </c>
      <c r="G661" s="63" t="str">
        <f>IF(SAISIE!H51="","",SAISIE!H51)</f>
        <v/>
      </c>
      <c r="H661" s="63"/>
      <c r="I661" s="63" t="str">
        <f>IF(SAISIE!$H51="","",SAISIE!$Q51)</f>
        <v/>
      </c>
      <c r="J661" s="71" t="str">
        <f>IF(COUNTBLANK(SAISIE!$J$6:$M$6)=4,"",IF(SAISIE!H51="","",IF(SAISIE!J51&gt;0,SAISIE!$J$6,IF(SAISIE!K51&gt;0,SAISIE!$K$6,IF(SAISIE!L51&gt;0,SAISIE!$L$6,IF(SAISIE!M51&gt;0,SAISIE!$M$6,""))))))</f>
        <v/>
      </c>
      <c r="O661" s="59" t="s">
        <v>52</v>
      </c>
    </row>
    <row r="662" spans="1:15" x14ac:dyDescent="0.25">
      <c r="A662" s="63" t="str">
        <f>IF(AND(G662="",H662=""),"SUPPR",SAISIE!$B$3)</f>
        <v>SUPPR</v>
      </c>
      <c r="B662" s="63" t="str">
        <f>IF(SAISIE!I51="","",IF(LEN(SAISIE!B51)=1,CONCATENATE("0",SAISIE!B51,"/",SAISIE!$B$4,"/",SAISIE!$B$5),CONCATENATE(SAISIE!B51,"/",SAISIE!$B$4,"/",SAISIE!$B$5)))</f>
        <v/>
      </c>
      <c r="C662" s="63" t="str">
        <f>IF(SAISIE!I51="","",SAISIE!$I$8)</f>
        <v/>
      </c>
      <c r="D662" s="63" t="str">
        <f>IF(SAISIE!I51="","",SAISIE!E51)</f>
        <v/>
      </c>
      <c r="E662" s="63" t="str">
        <f>IF(SAISIE!I51="","",SAISIE!F51)</f>
        <v/>
      </c>
      <c r="F662" s="70" t="str">
        <f>IF(SAISIE!$I51="","",IF(SAISIE!$N51="","",SAISIE!$N51))</f>
        <v/>
      </c>
      <c r="G662" s="63" t="str">
        <f>IF(SAISIE!I51="","",SAISIE!I51)</f>
        <v/>
      </c>
      <c r="H662" s="63"/>
      <c r="I662" s="63" t="str">
        <f>IF(SAISIE!$I51="","",SAISIE!$Q51)</f>
        <v/>
      </c>
      <c r="J662" s="71" t="str">
        <f>IF(COUNTBLANK(SAISIE!$J$6:$M$6)=4,"",IF(SAISIE!I51="","",IF(SAISIE!J51&gt;0,SAISIE!$J$6,IF(SAISIE!K51&gt;0,SAISIE!$K$6,IF(SAISIE!L51&gt;0,SAISIE!$L$6,IF(SAISIE!M51&gt;0,SAISIE!$M$6,""))))))</f>
        <v/>
      </c>
      <c r="O662" s="59" t="s">
        <v>53</v>
      </c>
    </row>
    <row r="663" spans="1:15" x14ac:dyDescent="0.25">
      <c r="A663" s="63" t="e">
        <f>IF(AND(G663="",H663=""),"SUPPR",SAISIE!$B$3)</f>
        <v>#REF!</v>
      </c>
      <c r="B663" s="63" t="e">
        <f>IF(SAISIE!#REF!="","",IF(LEN(SAISIE!B51)=1,CONCATENATE("0",SAISIE!B51,"/",SAISIE!$B$4,"/",SAISIE!$B$5),CONCATENATE(SAISIE!B51,"/",SAISIE!$B$4,"/",SAISIE!$B$5)))</f>
        <v>#REF!</v>
      </c>
      <c r="C663" s="63" t="e">
        <f>IF(SAISIE!#REF!="","",SAISIE!#REF!)</f>
        <v>#REF!</v>
      </c>
      <c r="D663" s="63" t="e">
        <f>IF(SAISIE!#REF!="","",SAISIE!E51)</f>
        <v>#REF!</v>
      </c>
      <c r="E663" s="63" t="e">
        <f>IF(SAISIE!#REF!="","",SAISIE!F51)</f>
        <v>#REF!</v>
      </c>
      <c r="F663" s="70" t="e">
        <f>IF(SAISIE!#REF!="","",IF(SAISIE!$N51="","",SAISIE!$N51))</f>
        <v>#REF!</v>
      </c>
      <c r="G663" s="63" t="e">
        <f>IF(SAISIE!#REF!="","",SAISIE!#REF!)</f>
        <v>#REF!</v>
      </c>
      <c r="H663" s="63"/>
      <c r="I663" s="63" t="e">
        <f>IF(SAISIE!#REF!="","",SAISIE!$Q51)</f>
        <v>#REF!</v>
      </c>
      <c r="J663" s="71" t="str">
        <f>IF(COUNTBLANK(SAISIE!$J$6:$M$6)=4,"",IF(SAISIE!#REF!="","",IF(SAISIE!J51&gt;0,SAISIE!$J$6,IF(SAISIE!K51&gt;0,SAISIE!$K$6,IF(SAISIE!L51&gt;0,SAISIE!$L$6,IF(SAISIE!M51&gt;0,SAISIE!$M$6,""))))))</f>
        <v/>
      </c>
      <c r="O663" s="59" t="s">
        <v>54</v>
      </c>
    </row>
    <row r="664" spans="1:15" x14ac:dyDescent="0.25">
      <c r="A664" s="63" t="e">
        <f>IF(AND(G664="",H664=""),"SUPPR",SAISIE!$B$3)</f>
        <v>#REF!</v>
      </c>
      <c r="B664" s="63" t="e">
        <f>IF(SAISIE!#REF!="","",IF(LEN(SAISIE!B51)=1,CONCATENATE("0",SAISIE!B51,"/",SAISIE!$B$4,"/",SAISIE!$B$5),CONCATENATE(SAISIE!B51,"/",SAISIE!$B$4,"/",SAISIE!$B$5)))</f>
        <v>#REF!</v>
      </c>
      <c r="C664" s="63" t="e">
        <f>IF(SAISIE!#REF!="","",SAISIE!#REF!)</f>
        <v>#REF!</v>
      </c>
      <c r="D664" s="63" t="e">
        <f>IF(SAISIE!#REF!="","",SAISIE!E51)</f>
        <v>#REF!</v>
      </c>
      <c r="E664" s="63" t="e">
        <f>IF(SAISIE!#REF!="","",SAISIE!F51)</f>
        <v>#REF!</v>
      </c>
      <c r="F664" s="70" t="e">
        <f>IF(SAISIE!#REF!="","",IF(SAISIE!$N51="","",SAISIE!$N51))</f>
        <v>#REF!</v>
      </c>
      <c r="G664" s="63" t="e">
        <f>IF(SAISIE!#REF!="","",SAISIE!#REF!)</f>
        <v>#REF!</v>
      </c>
      <c r="H664" s="63"/>
      <c r="I664" s="63" t="e">
        <f>IF(SAISIE!#REF!="","",SAISIE!$Q51)</f>
        <v>#REF!</v>
      </c>
      <c r="J664" s="71" t="str">
        <f>IF(COUNTBLANK(SAISIE!$J$6:$M$6)=4,"",IF(SAISIE!#REF!="","",IF(SAISIE!J51&gt;0,SAISIE!$J$6,IF(SAISIE!K51&gt;0,SAISIE!$K$6,IF(SAISIE!L51&gt;0,SAISIE!$L$6,IF(SAISIE!M51&gt;0,SAISIE!$M$6,""))))))</f>
        <v/>
      </c>
      <c r="O664" s="59" t="s">
        <v>55</v>
      </c>
    </row>
    <row r="665" spans="1:15" x14ac:dyDescent="0.25">
      <c r="A665" s="63" t="e">
        <f>IF(AND(G665="",H665=""),"SUPPR",SAISIE!$B$3)</f>
        <v>#REF!</v>
      </c>
      <c r="B665" s="63" t="e">
        <f>IF(SAISIE!#REF!="","",IF(LEN(SAISIE!B51)=1,CONCATENATE("0",SAISIE!B51,"/",SAISIE!$B$4,"/",SAISIE!$B$5),CONCATENATE(SAISIE!B51,"/",SAISIE!$B$4,"/",SAISIE!$B$5)))</f>
        <v>#REF!</v>
      </c>
      <c r="C665" s="63" t="e">
        <f>IF(SAISIE!#REF!="","",SAISIE!#REF!)</f>
        <v>#REF!</v>
      </c>
      <c r="D665" s="63" t="e">
        <f>IF(SAISIE!#REF!="","",SAISIE!E51)</f>
        <v>#REF!</v>
      </c>
      <c r="E665" s="63" t="e">
        <f>IF(SAISIE!#REF!="","",SAISIE!F51)</f>
        <v>#REF!</v>
      </c>
      <c r="F665" s="70" t="e">
        <f>IF(SAISIE!#REF!="","",IF(SAISIE!$N51="","",SAISIE!$N51))</f>
        <v>#REF!</v>
      </c>
      <c r="G665" s="63" t="e">
        <f>IF(SAISIE!#REF!="","",SAISIE!#REF!)</f>
        <v>#REF!</v>
      </c>
      <c r="H665" s="63"/>
      <c r="I665" s="63" t="e">
        <f>IF(SAISIE!#REF!="","",SAISIE!$Q51)</f>
        <v>#REF!</v>
      </c>
      <c r="J665" s="71" t="str">
        <f>IF(COUNTBLANK(SAISIE!$J$6:$M$6)=4,"",IF(SAISIE!#REF!="","",IF(SAISIE!J51&gt;0,SAISIE!$J$6,IF(SAISIE!K51&gt;0,SAISIE!$K$6,IF(SAISIE!L51&gt;0,SAISIE!$L$6,IF(SAISIE!M51&gt;0,SAISIE!$M$6,""))))))</f>
        <v/>
      </c>
      <c r="O665" s="59" t="s">
        <v>56</v>
      </c>
    </row>
    <row r="666" spans="1:15" x14ac:dyDescent="0.25">
      <c r="A666" s="63" t="e">
        <f>IF(AND(G666="",H666=""),"SUPPR",SAISIE!$B$3)</f>
        <v>#REF!</v>
      </c>
      <c r="B666" s="63" t="e">
        <f>IF(SAISIE!#REF!="","",IF(LEN(SAISIE!B51)=1,CONCATENATE("0",SAISIE!B51,"/",SAISIE!$B$4,"/",SAISIE!$B$5),CONCATENATE(SAISIE!B51,"/",SAISIE!$B$4,"/",SAISIE!$B$5)))</f>
        <v>#REF!</v>
      </c>
      <c r="C666" s="63" t="e">
        <f>IF(SAISIE!#REF!="","",SAISIE!#REF!)</f>
        <v>#REF!</v>
      </c>
      <c r="D666" s="63" t="e">
        <f>IF(SAISIE!#REF!="","",SAISIE!E51)</f>
        <v>#REF!</v>
      </c>
      <c r="E666" s="63" t="e">
        <f>IF(SAISIE!#REF!="","",SAISIE!F51)</f>
        <v>#REF!</v>
      </c>
      <c r="F666" s="70" t="e">
        <f>IF(SAISIE!#REF!="","",IF(SAISIE!$N51="","",SAISIE!$N51))</f>
        <v>#REF!</v>
      </c>
      <c r="G666" s="63" t="e">
        <f>IF(SAISIE!#REF!="","",SAISIE!#REF!)</f>
        <v>#REF!</v>
      </c>
      <c r="H666" s="63"/>
      <c r="I666" s="63" t="e">
        <f>IF(SAISIE!#REF!="","",SAISIE!$Q51)</f>
        <v>#REF!</v>
      </c>
      <c r="J666" s="71" t="str">
        <f>IF(COUNTBLANK(SAISIE!$J$6:$M$6)=4,"",IF(SAISIE!#REF!="","",IF(SAISIE!J51&gt;0,SAISIE!$J$6,IF(SAISIE!K51&gt;0,SAISIE!$K$6,IF(SAISIE!L51&gt;0,SAISIE!$L$6,IF(SAISIE!M51&gt;0,SAISIE!$M$6,""))))))</f>
        <v/>
      </c>
      <c r="O666" s="59" t="s">
        <v>57</v>
      </c>
    </row>
    <row r="667" spans="1:15" x14ac:dyDescent="0.25">
      <c r="A667" s="63" t="e">
        <f>IF(AND(G667="",H667=""),"SUPPR",SAISIE!$B$3)</f>
        <v>#REF!</v>
      </c>
      <c r="B667" s="63" t="e">
        <f>IF(SAISIE!#REF!="","",IF(LEN(SAISIE!B51)=1,CONCATENATE("0",SAISIE!B51,"/",SAISIE!$B$4,"/",SAISIE!$B$5),CONCATENATE(SAISIE!B51,"/",SAISIE!$B$4,"/",SAISIE!$B$5)))</f>
        <v>#REF!</v>
      </c>
      <c r="C667" s="63" t="e">
        <f>IF(SAISIE!#REF!="","",SAISIE!#REF!)</f>
        <v>#REF!</v>
      </c>
      <c r="D667" s="63" t="e">
        <f>IF(SAISIE!#REF!="","",SAISIE!E51)</f>
        <v>#REF!</v>
      </c>
      <c r="E667" s="63" t="e">
        <f>IF(SAISIE!#REF!="","",SAISIE!F51)</f>
        <v>#REF!</v>
      </c>
      <c r="F667" s="70" t="e">
        <f>IF(SAISIE!#REF!="","",IF(SAISIE!$N51="","",SAISIE!$N51))</f>
        <v>#REF!</v>
      </c>
      <c r="G667" s="63" t="e">
        <f>IF(SAISIE!#REF!="","",SAISIE!#REF!)</f>
        <v>#REF!</v>
      </c>
      <c r="H667" s="63"/>
      <c r="I667" s="63" t="e">
        <f>IF(SAISIE!#REF!="","",SAISIE!$Q51)</f>
        <v>#REF!</v>
      </c>
      <c r="J667" s="71" t="str">
        <f>IF(COUNTBLANK(SAISIE!$J$6:$M$6)=4,"",IF(SAISIE!#REF!="","",IF(SAISIE!J51&gt;0,SAISIE!$J$6,IF(SAISIE!K51&gt;0,SAISIE!$K$6,IF(SAISIE!L51&gt;0,SAISIE!$L$6,IF(SAISIE!M51&gt;0,SAISIE!$M$6,""))))))</f>
        <v/>
      </c>
      <c r="O667" s="59" t="s">
        <v>58</v>
      </c>
    </row>
    <row r="668" spans="1:15" x14ac:dyDescent="0.25">
      <c r="A668" s="63" t="e">
        <f>IF(AND(G668="",H668=""),"SUPPR",SAISIE!$B$3)</f>
        <v>#REF!</v>
      </c>
      <c r="B668" s="63" t="e">
        <f>IF(SAISIE!#REF!="","",IF(LEN(SAISIE!B51)=1,CONCATENATE("0",SAISIE!B51,"/",SAISIE!$B$4,"/",SAISIE!$B$5),CONCATENATE(SAISIE!B51,"/",SAISIE!$B$4,"/",SAISIE!$B$5)))</f>
        <v>#REF!</v>
      </c>
      <c r="C668" s="63" t="e">
        <f>IF(SAISIE!#REF!="","",SAISIE!#REF!)</f>
        <v>#REF!</v>
      </c>
      <c r="D668" s="63" t="e">
        <f>IF(SAISIE!#REF!="","",SAISIE!E51)</f>
        <v>#REF!</v>
      </c>
      <c r="E668" s="63" t="e">
        <f>IF(SAISIE!#REF!="","",SAISIE!F51)</f>
        <v>#REF!</v>
      </c>
      <c r="F668" s="70" t="e">
        <f>IF(SAISIE!#REF!="","",IF(SAISIE!$N51="","",SAISIE!$N51))</f>
        <v>#REF!</v>
      </c>
      <c r="G668" s="63" t="e">
        <f>IF(SAISIE!#REF!="","",SAISIE!#REF!)</f>
        <v>#REF!</v>
      </c>
      <c r="H668" s="63"/>
      <c r="I668" s="63" t="e">
        <f>IF(SAISIE!#REF!="","",SAISIE!$Q51)</f>
        <v>#REF!</v>
      </c>
      <c r="J668" s="71" t="str">
        <f>IF(COUNTBLANK(SAISIE!$J$6:$M$6)=4,"",IF(SAISIE!#REF!="","",IF(SAISIE!J51&gt;0,SAISIE!$J$6,IF(SAISIE!K51&gt;0,SAISIE!$K$6,IF(SAISIE!L51&gt;0,SAISIE!$L$6,IF(SAISIE!M51&gt;0,SAISIE!$M$6,""))))))</f>
        <v/>
      </c>
      <c r="O668" s="59" t="s">
        <v>59</v>
      </c>
    </row>
    <row r="669" spans="1:15" x14ac:dyDescent="0.25">
      <c r="A669" s="63" t="e">
        <f>IF(AND(G669="",H669=""),"SUPPR",SAISIE!$B$3)</f>
        <v>#REF!</v>
      </c>
      <c r="B669" s="63" t="e">
        <f>IF(SAISIE!#REF!="","",IF(LEN(SAISIE!B51)=1,CONCATENATE("0",SAISIE!B51,"/",SAISIE!$B$4,"/",SAISIE!$B$5),CONCATENATE(SAISIE!B51,"/",SAISIE!$B$4,"/",SAISIE!$B$5)))</f>
        <v>#REF!</v>
      </c>
      <c r="C669" s="63" t="e">
        <f>IF(SAISIE!#REF!="","",SAISIE!#REF!)</f>
        <v>#REF!</v>
      </c>
      <c r="D669" s="63" t="e">
        <f>IF(SAISIE!#REF!="","",SAISIE!E51)</f>
        <v>#REF!</v>
      </c>
      <c r="E669" s="63" t="e">
        <f>IF(SAISIE!#REF!="","",SAISIE!F51)</f>
        <v>#REF!</v>
      </c>
      <c r="F669" s="70" t="e">
        <f>IF(SAISIE!#REF!="","",IF(SAISIE!$N51="","",SAISIE!$N51))</f>
        <v>#REF!</v>
      </c>
      <c r="G669" s="63" t="e">
        <f>IF(SAISIE!#REF!="","",SAISIE!#REF!)</f>
        <v>#REF!</v>
      </c>
      <c r="H669" s="63"/>
      <c r="I669" s="63" t="e">
        <f>IF(SAISIE!#REF!="","",SAISIE!$Q51)</f>
        <v>#REF!</v>
      </c>
      <c r="J669" s="71" t="str">
        <f>IF(COUNTBLANK(SAISIE!$J$6:$M$6)=4,"",IF(SAISIE!#REF!="","",IF(SAISIE!J51&gt;0,SAISIE!$J$6,IF(SAISIE!K51&gt;0,SAISIE!$K$6,IF(SAISIE!L51&gt;0,SAISIE!$L$6,IF(SAISIE!M51&gt;0,SAISIE!$M$6,""))))))</f>
        <v/>
      </c>
      <c r="O669" s="59" t="s">
        <v>60</v>
      </c>
    </row>
    <row r="670" spans="1:15" x14ac:dyDescent="0.25">
      <c r="A670" s="63" t="str">
        <f>IF(AND(G670="",H670=""),"SUPPR",SAISIE!$B$3)</f>
        <v>SUPPR</v>
      </c>
      <c r="B670" s="63" t="str">
        <f>IF(SAISIE!J51="","",IF(LEN(SAISIE!B51)=1,CONCATENATE("0",SAISIE!B51,"/",SAISIE!$B$4,"/",SAISIE!$B$5),CONCATENATE(SAISIE!B51,"/",SAISIE!$B$4,"/",SAISIE!$B$5)))</f>
        <v/>
      </c>
      <c r="C670" s="63" t="str">
        <f>IF(SAISIE!J51="","",SAISIE!$J$8)</f>
        <v/>
      </c>
      <c r="D670" s="63" t="str">
        <f>IF(SAISIE!J51="","",SAISIE!E51)</f>
        <v/>
      </c>
      <c r="E670" s="63" t="str">
        <f>IF(SAISIE!J51="","",SAISIE!F51)</f>
        <v/>
      </c>
      <c r="F670" s="70" t="str">
        <f>IF(SAISIE!$J51="","",IF(SAISIE!$N51="","",SAISIE!$N51))</f>
        <v/>
      </c>
      <c r="G670" s="63" t="str">
        <f>IF(SAISIE!J51="","",SAISIE!J51)</f>
        <v/>
      </c>
      <c r="H670" s="63"/>
      <c r="I670" s="72"/>
      <c r="J670" s="71"/>
      <c r="O670" s="73"/>
    </row>
    <row r="671" spans="1:15" x14ac:dyDescent="0.25">
      <c r="A671" s="63" t="str">
        <f>IF(AND(G671="",H671=""),"SUPPR",SAISIE!$B$3)</f>
        <v>SUPPR</v>
      </c>
      <c r="B671" s="63" t="str">
        <f>IF(SAISIE!K51="","",IF(LEN(SAISIE!B51)=1,CONCATENATE("0",SAISIE!B51,"/",SAISIE!$B$4,"/",SAISIE!$B$5),CONCATENATE(SAISIE!B51,"/",SAISIE!$B$4,"/",SAISIE!$B$5)))</f>
        <v/>
      </c>
      <c r="C671" s="63" t="str">
        <f>IF(SAISIE!K51="","",SAISIE!$K$8)</f>
        <v/>
      </c>
      <c r="D671" s="63" t="str">
        <f>IF(SAISIE!K51="","",SAISIE!E51)</f>
        <v/>
      </c>
      <c r="E671" s="63" t="str">
        <f>IF(SAISIE!K51="","",SAISIE!F51)</f>
        <v/>
      </c>
      <c r="F671" s="70" t="str">
        <f>IF(SAISIE!$K51="","",IF(SAISIE!$N51="","",SAISIE!$N51))</f>
        <v/>
      </c>
      <c r="G671" s="63" t="str">
        <f>IF(SAISIE!K51="","",SAISIE!K51)</f>
        <v/>
      </c>
      <c r="H671" s="63"/>
      <c r="I671" s="72"/>
      <c r="J671" s="71"/>
    </row>
    <row r="672" spans="1:15" x14ac:dyDescent="0.25">
      <c r="A672" s="63" t="str">
        <f>IF(AND(G672="",H672=""),"SUPPR",SAISIE!$B$3)</f>
        <v>SUPPR</v>
      </c>
      <c r="B672" s="63" t="str">
        <f>IF(SAISIE!L51="","",IF(LEN(SAISIE!B51)=1,CONCATENATE("0",SAISIE!B51,"/",SAISIE!$B$4,"/",SAISIE!$B$5),CONCATENATE(SAISIE!B51,"/",SAISIE!$B$4,"/",SAISIE!$B$5)))</f>
        <v/>
      </c>
      <c r="C672" s="63" t="str">
        <f>IF(SAISIE!L51="","",SAISIE!$L$8)</f>
        <v/>
      </c>
      <c r="D672" s="63" t="str">
        <f>IF(SAISIE!L51="","",SAISIE!E51)</f>
        <v/>
      </c>
      <c r="E672" s="63" t="str">
        <f>IF(SAISIE!L51="","",SAISIE!F51)</f>
        <v/>
      </c>
      <c r="F672" s="70" t="str">
        <f>IF(SAISIE!$L51="","",IF(SAISIE!$N51="","",SAISIE!$N51))</f>
        <v/>
      </c>
      <c r="G672" s="63" t="str">
        <f>IF(SAISIE!L51="","",SAISIE!L51)</f>
        <v/>
      </c>
      <c r="H672" s="63"/>
      <c r="I672" s="72"/>
      <c r="J672" s="71"/>
    </row>
    <row r="673" spans="1:15" x14ac:dyDescent="0.25">
      <c r="A673" s="63" t="str">
        <f>IF(AND(G673="",H673=""),"SUPPR",SAISIE!$B$3)</f>
        <v>SUPPR</v>
      </c>
      <c r="B673" s="63" t="str">
        <f>IF(SAISIE!M51="","",IF(LEN(SAISIE!B51)=1,CONCATENATE("0",SAISIE!B51,"/",SAISIE!$B$4,"/",SAISIE!$B$5),CONCATENATE(SAISIE!B51,"/",SAISIE!$B$4,"/",SAISIE!$B$5)))</f>
        <v/>
      </c>
      <c r="C673" s="74" t="str">
        <f>IF(SAISIE!M51="","",SAISIE!$M$8)</f>
        <v/>
      </c>
      <c r="D673" s="74" t="str">
        <f>IF(SAISIE!M51="","",SAISIE!E51)</f>
        <v/>
      </c>
      <c r="E673" s="74" t="str">
        <f>IF(SAISIE!M51="","",SAISIE!F51)</f>
        <v/>
      </c>
      <c r="F673" s="75" t="str">
        <f>IF(SAISIE!$M51="","",IF(SAISIE!$N51="","",SAISIE!$N51))</f>
        <v/>
      </c>
      <c r="G673" s="74" t="str">
        <f>IF(SAISIE!M51="","",SAISIE!M51)</f>
        <v/>
      </c>
      <c r="H673" s="76"/>
      <c r="I673" s="77"/>
      <c r="J673" s="78"/>
    </row>
    <row r="674" spans="1:15" x14ac:dyDescent="0.25">
      <c r="A674" s="63" t="str">
        <f>IF(AND(G674="",H674=""),"SUPPR",SAISIE!$B$3)</f>
        <v>SUPPR</v>
      </c>
      <c r="B674" s="64" t="str">
        <f>IF(SAISIE!B52="","",IF(LEN(SAISIE!B52)=1,CONCATENATE("0",SAISIE!B52,"/",SAISIE!$B$4,"/",SAISIE!$B$5),CONCATENATE(SAISIE!B52,"/",SAISIE!$B$4,"/",SAISIE!$B$5)))</f>
        <v/>
      </c>
      <c r="C674" s="64" t="str">
        <f>IF(SAISIE!B52="","",CONCATENATE($M$2,SAISIE!C52))</f>
        <v/>
      </c>
      <c r="D674" s="64" t="str">
        <f>IF(SAISIE!B52="","",SAISIE!E52)</f>
        <v/>
      </c>
      <c r="E674" s="64" t="str">
        <f>IF(SAISIE!B52="","",SAISIE!F52)</f>
        <v/>
      </c>
      <c r="F674" s="65" t="str">
        <f>IF(A674="SUPPR","",IF(SAISIE!$N52="","",SAISIE!$N52))</f>
        <v/>
      </c>
      <c r="G674" s="64"/>
      <c r="H674" s="64" t="str">
        <f>IF(SAISIE!B52="","",SAISIE!D52)</f>
        <v/>
      </c>
      <c r="I674" s="66"/>
      <c r="J674" s="67" t="str">
        <f>IF(AZ52="","","")</f>
        <v/>
      </c>
      <c r="O674" s="69">
        <f>O658+1</f>
        <v>52</v>
      </c>
    </row>
    <row r="675" spans="1:15" x14ac:dyDescent="0.25">
      <c r="A675" s="63" t="str">
        <f>IF(AND(G675="",H675=""),"SUPPR",SAISIE!$B$3)</f>
        <v>SUPPR</v>
      </c>
      <c r="B675" s="63" t="str">
        <f>IF(SAISIE!P52="","",IF(LEN(SAISIE!B52)=1,CONCATENATE("0",SAISIE!B52,"/",SAISIE!$B$4,"/",SAISIE!$B$5),CONCATENATE(SAISIE!B52,"/",SAISIE!$B$4,"/",SAISIE!$B$5)))</f>
        <v/>
      </c>
      <c r="C675" s="63" t="str">
        <f>IF(SAISIE!P52="","",SAISIE!O52)</f>
        <v/>
      </c>
      <c r="D675" s="63" t="str">
        <f>IF(SAISIE!P52="","",SAISIE!E52)</f>
        <v/>
      </c>
      <c r="E675" s="63" t="str">
        <f>IF(SAISIE!P52="","",SAISIE!F52)</f>
        <v/>
      </c>
      <c r="F675" s="70" t="str">
        <f>IF(SAISIE!$P52="","",IF(SAISIE!$N52="","",SAISIE!$N52))</f>
        <v/>
      </c>
      <c r="G675" s="63" t="str">
        <f>IF(SAISIE!P52="","",SAISIE!P52)</f>
        <v/>
      </c>
      <c r="H675" s="63"/>
      <c r="I675" s="63" t="str">
        <f>IF(SAISIE!$P52="","",SAISIE!$Q52)</f>
        <v/>
      </c>
      <c r="J675" s="71" t="str">
        <f>IF(COUNTBLANK(SAISIE!$J$6:$M$6)=4,"",IF(SAISIE!P52="","",IF(SAISIE!J52&gt;0,SAISIE!$J$6,IF(SAISIE!K52&gt;0,SAISIE!$K$6,IF(SAISIE!L52&gt;0,SAISIE!$L$6,IF(SAISIE!M52&gt;0,SAISIE!$M$6,""))))))</f>
        <v/>
      </c>
      <c r="O675" s="59" t="s">
        <v>50</v>
      </c>
    </row>
    <row r="676" spans="1:15" x14ac:dyDescent="0.25">
      <c r="A676" s="63" t="str">
        <f>IF(AND(G676="",H676=""),"SUPPR",SAISIE!$B$3)</f>
        <v>SUPPR</v>
      </c>
      <c r="B676" s="63" t="str">
        <f>IF(SAISIE!G52="","",IF(LEN(SAISIE!B52)=1,CONCATENATE("0",SAISIE!B52,"/",SAISIE!$B$4,"/",SAISIE!$B$5),CONCATENATE(SAISIE!B52,"/",SAISIE!$B$4,"/",SAISIE!$B$5)))</f>
        <v/>
      </c>
      <c r="C676" s="63" t="str">
        <f>IF(SAISIE!G52="","",SAISIE!$G$8)</f>
        <v/>
      </c>
      <c r="D676" s="63" t="str">
        <f>IF(SAISIE!G52="","",SAISIE!E52)</f>
        <v/>
      </c>
      <c r="E676" s="63" t="str">
        <f>IF(SAISIE!G52="","",SAISIE!F52)</f>
        <v/>
      </c>
      <c r="F676" s="70" t="str">
        <f>IF(SAISIE!$G52="","",IF(SAISIE!$N52="","",SAISIE!$N52))</f>
        <v/>
      </c>
      <c r="G676" s="63" t="str">
        <f>IF(SAISIE!G52="","",SAISIE!G52)</f>
        <v/>
      </c>
      <c r="H676" s="63"/>
      <c r="I676" s="63" t="str">
        <f>IF(SAISIE!$G52="","",SAISIE!$Q52)</f>
        <v/>
      </c>
      <c r="J676" s="71" t="str">
        <f>IF(COUNTBLANK(SAISIE!$J$6:$M$6)=4,"",IF(SAISIE!G52="","",IF(SAISIE!J52&gt;0,SAISIE!$J$6,IF(SAISIE!K52&gt;0,SAISIE!$K$6,IF(SAISIE!L52&gt;0,SAISIE!$L$6,IF(SAISIE!M52&gt;0,SAISIE!$M$6,""))))))</f>
        <v/>
      </c>
      <c r="O676" s="59" t="s">
        <v>51</v>
      </c>
    </row>
    <row r="677" spans="1:15" x14ac:dyDescent="0.25">
      <c r="A677" s="63" t="str">
        <f>IF(AND(G677="",H677=""),"SUPPR",SAISIE!$B$3)</f>
        <v>SUPPR</v>
      </c>
      <c r="B677" s="63" t="str">
        <f>IF(SAISIE!H52="","",IF(LEN(SAISIE!B52)=1,CONCATENATE("0",SAISIE!B52,"/",SAISIE!$B$4,"/",SAISIE!$B$5),CONCATENATE(SAISIE!B52,"/",SAISIE!$B$4,"/",SAISIE!$B$5)))</f>
        <v/>
      </c>
      <c r="C677" s="63" t="str">
        <f>IF(SAISIE!H52="","",SAISIE!$H$8)</f>
        <v/>
      </c>
      <c r="D677" s="63" t="str">
        <f>IF(SAISIE!H52="","",SAISIE!E52)</f>
        <v/>
      </c>
      <c r="E677" s="63" t="str">
        <f>IF(SAISIE!H52="","",SAISIE!F52)</f>
        <v/>
      </c>
      <c r="F677" s="70" t="str">
        <f>IF(SAISIE!$H52="","",IF(SAISIE!$N52="","",SAISIE!$N52))</f>
        <v/>
      </c>
      <c r="G677" s="63" t="str">
        <f>IF(SAISIE!H52="","",SAISIE!H52)</f>
        <v/>
      </c>
      <c r="H677" s="63"/>
      <c r="I677" s="63" t="str">
        <f>IF(SAISIE!$H52="","",SAISIE!$Q52)</f>
        <v/>
      </c>
      <c r="J677" s="71" t="str">
        <f>IF(COUNTBLANK(SAISIE!$J$6:$M$6)=4,"",IF(SAISIE!H52="","",IF(SAISIE!J52&gt;0,SAISIE!$J$6,IF(SAISIE!K52&gt;0,SAISIE!$K$6,IF(SAISIE!L52&gt;0,SAISIE!$L$6,IF(SAISIE!M52&gt;0,SAISIE!$M$6,""))))))</f>
        <v/>
      </c>
      <c r="O677" s="59" t="s">
        <v>52</v>
      </c>
    </row>
    <row r="678" spans="1:15" x14ac:dyDescent="0.25">
      <c r="A678" s="63" t="str">
        <f>IF(AND(G678="",H678=""),"SUPPR",SAISIE!$B$3)</f>
        <v>SUPPR</v>
      </c>
      <c r="B678" s="63" t="str">
        <f>IF(SAISIE!I52="","",IF(LEN(SAISIE!B52)=1,CONCATENATE("0",SAISIE!B52,"/",SAISIE!$B$4,"/",SAISIE!$B$5),CONCATENATE(SAISIE!B52,"/",SAISIE!$B$4,"/",SAISIE!$B$5)))</f>
        <v/>
      </c>
      <c r="C678" s="63" t="str">
        <f>IF(SAISIE!I52="","",SAISIE!$I$8)</f>
        <v/>
      </c>
      <c r="D678" s="63" t="str">
        <f>IF(SAISIE!I52="","",SAISIE!E52)</f>
        <v/>
      </c>
      <c r="E678" s="63" t="str">
        <f>IF(SAISIE!I52="","",SAISIE!F52)</f>
        <v/>
      </c>
      <c r="F678" s="70" t="str">
        <f>IF(SAISIE!$I52="","",IF(SAISIE!$N52="","",SAISIE!$N52))</f>
        <v/>
      </c>
      <c r="G678" s="63" t="str">
        <f>IF(SAISIE!I52="","",SAISIE!I52)</f>
        <v/>
      </c>
      <c r="H678" s="63"/>
      <c r="I678" s="63" t="str">
        <f>IF(SAISIE!$I52="","",SAISIE!$Q52)</f>
        <v/>
      </c>
      <c r="J678" s="71" t="str">
        <f>IF(COUNTBLANK(SAISIE!$J$6:$M$6)=4,"",IF(SAISIE!I52="","",IF(SAISIE!J52&gt;0,SAISIE!$J$6,IF(SAISIE!K52&gt;0,SAISIE!$K$6,IF(SAISIE!L52&gt;0,SAISIE!$L$6,IF(SAISIE!M52&gt;0,SAISIE!$M$6,""))))))</f>
        <v/>
      </c>
      <c r="O678" s="59" t="s">
        <v>53</v>
      </c>
    </row>
    <row r="679" spans="1:15" x14ac:dyDescent="0.25">
      <c r="A679" s="63" t="e">
        <f>IF(AND(G679="",H679=""),"SUPPR",SAISIE!$B$3)</f>
        <v>#REF!</v>
      </c>
      <c r="B679" s="63" t="e">
        <f>IF(SAISIE!#REF!="","",IF(LEN(SAISIE!B52)=1,CONCATENATE("0",SAISIE!B52,"/",SAISIE!$B$4,"/",SAISIE!$B$5),CONCATENATE(SAISIE!B52,"/",SAISIE!$B$4,"/",SAISIE!$B$5)))</f>
        <v>#REF!</v>
      </c>
      <c r="C679" s="63" t="e">
        <f>IF(SAISIE!#REF!="","",SAISIE!#REF!)</f>
        <v>#REF!</v>
      </c>
      <c r="D679" s="63" t="e">
        <f>IF(SAISIE!#REF!="","",SAISIE!E52)</f>
        <v>#REF!</v>
      </c>
      <c r="E679" s="63" t="e">
        <f>IF(SAISIE!#REF!="","",SAISIE!F52)</f>
        <v>#REF!</v>
      </c>
      <c r="F679" s="70" t="e">
        <f>IF(SAISIE!#REF!="","",IF(SAISIE!$N52="","",SAISIE!$N52))</f>
        <v>#REF!</v>
      </c>
      <c r="G679" s="63" t="e">
        <f>IF(SAISIE!#REF!="","",SAISIE!#REF!)</f>
        <v>#REF!</v>
      </c>
      <c r="H679" s="63"/>
      <c r="I679" s="63" t="e">
        <f>IF(SAISIE!#REF!="","",SAISIE!$Q52)</f>
        <v>#REF!</v>
      </c>
      <c r="J679" s="71" t="str">
        <f>IF(COUNTBLANK(SAISIE!$J$6:$M$6)=4,"",IF(SAISIE!#REF!="","",IF(SAISIE!J52&gt;0,SAISIE!$J$6,IF(SAISIE!K52&gt;0,SAISIE!$K$6,IF(SAISIE!L52&gt;0,SAISIE!$L$6,IF(SAISIE!M52&gt;0,SAISIE!$M$6,""))))))</f>
        <v/>
      </c>
      <c r="O679" s="59" t="s">
        <v>54</v>
      </c>
    </row>
    <row r="680" spans="1:15" x14ac:dyDescent="0.25">
      <c r="A680" s="63" t="e">
        <f>IF(AND(G680="",H680=""),"SUPPR",SAISIE!$B$3)</f>
        <v>#REF!</v>
      </c>
      <c r="B680" s="63" t="e">
        <f>IF(SAISIE!#REF!="","",IF(LEN(SAISIE!B52)=1,CONCATENATE("0",SAISIE!B52,"/",SAISIE!$B$4,"/",SAISIE!$B$5),CONCATENATE(SAISIE!B52,"/",SAISIE!$B$4,"/",SAISIE!$B$5)))</f>
        <v>#REF!</v>
      </c>
      <c r="C680" s="63" t="e">
        <f>IF(SAISIE!#REF!="","",SAISIE!#REF!)</f>
        <v>#REF!</v>
      </c>
      <c r="D680" s="63" t="e">
        <f>IF(SAISIE!#REF!="","",SAISIE!E52)</f>
        <v>#REF!</v>
      </c>
      <c r="E680" s="63" t="e">
        <f>IF(SAISIE!#REF!="","",SAISIE!F52)</f>
        <v>#REF!</v>
      </c>
      <c r="F680" s="70" t="e">
        <f>IF(SAISIE!#REF!="","",IF(SAISIE!$N52="","",SAISIE!$N52))</f>
        <v>#REF!</v>
      </c>
      <c r="G680" s="63" t="e">
        <f>IF(SAISIE!#REF!="","",SAISIE!#REF!)</f>
        <v>#REF!</v>
      </c>
      <c r="H680" s="63"/>
      <c r="I680" s="63" t="e">
        <f>IF(SAISIE!#REF!="","",SAISIE!$Q52)</f>
        <v>#REF!</v>
      </c>
      <c r="J680" s="71" t="str">
        <f>IF(COUNTBLANK(SAISIE!$J$6:$M$6)=4,"",IF(SAISIE!#REF!="","",IF(SAISIE!J52&gt;0,SAISIE!$J$6,IF(SAISIE!K52&gt;0,SAISIE!$K$6,IF(SAISIE!L52&gt;0,SAISIE!$L$6,IF(SAISIE!M52&gt;0,SAISIE!$M$6,""))))))</f>
        <v/>
      </c>
      <c r="O680" s="59" t="s">
        <v>55</v>
      </c>
    </row>
    <row r="681" spans="1:15" x14ac:dyDescent="0.25">
      <c r="A681" s="63" t="e">
        <f>IF(AND(G681="",H681=""),"SUPPR",SAISIE!$B$3)</f>
        <v>#REF!</v>
      </c>
      <c r="B681" s="63" t="e">
        <f>IF(SAISIE!#REF!="","",IF(LEN(SAISIE!B52)=1,CONCATENATE("0",SAISIE!B52,"/",SAISIE!$B$4,"/",SAISIE!$B$5),CONCATENATE(SAISIE!B52,"/",SAISIE!$B$4,"/",SAISIE!$B$5)))</f>
        <v>#REF!</v>
      </c>
      <c r="C681" s="63" t="e">
        <f>IF(SAISIE!#REF!="","",SAISIE!#REF!)</f>
        <v>#REF!</v>
      </c>
      <c r="D681" s="63" t="e">
        <f>IF(SAISIE!#REF!="","",SAISIE!E52)</f>
        <v>#REF!</v>
      </c>
      <c r="E681" s="63" t="e">
        <f>IF(SAISIE!#REF!="","",SAISIE!F52)</f>
        <v>#REF!</v>
      </c>
      <c r="F681" s="70" t="e">
        <f>IF(SAISIE!#REF!="","",IF(SAISIE!$N52="","",SAISIE!$N52))</f>
        <v>#REF!</v>
      </c>
      <c r="G681" s="63" t="e">
        <f>IF(SAISIE!#REF!="","",SAISIE!#REF!)</f>
        <v>#REF!</v>
      </c>
      <c r="H681" s="63"/>
      <c r="I681" s="63" t="e">
        <f>IF(SAISIE!#REF!="","",SAISIE!$Q52)</f>
        <v>#REF!</v>
      </c>
      <c r="J681" s="71" t="str">
        <f>IF(COUNTBLANK(SAISIE!$J$6:$M$6)=4,"",IF(SAISIE!#REF!="","",IF(SAISIE!J52&gt;0,SAISIE!$J$6,IF(SAISIE!K52&gt;0,SAISIE!$K$6,IF(SAISIE!L52&gt;0,SAISIE!$L$6,IF(SAISIE!M52&gt;0,SAISIE!$M$6,""))))))</f>
        <v/>
      </c>
      <c r="O681" s="59" t="s">
        <v>56</v>
      </c>
    </row>
    <row r="682" spans="1:15" x14ac:dyDescent="0.25">
      <c r="A682" s="63" t="e">
        <f>IF(AND(G682="",H682=""),"SUPPR",SAISIE!$B$3)</f>
        <v>#REF!</v>
      </c>
      <c r="B682" s="63" t="e">
        <f>IF(SAISIE!#REF!="","",IF(LEN(SAISIE!B52)=1,CONCATENATE("0",SAISIE!B52,"/",SAISIE!$B$4,"/",SAISIE!$B$5),CONCATENATE(SAISIE!B52,"/",SAISIE!$B$4,"/",SAISIE!$B$5)))</f>
        <v>#REF!</v>
      </c>
      <c r="C682" s="63" t="e">
        <f>IF(SAISIE!#REF!="","",SAISIE!#REF!)</f>
        <v>#REF!</v>
      </c>
      <c r="D682" s="63" t="e">
        <f>IF(SAISIE!#REF!="","",SAISIE!E52)</f>
        <v>#REF!</v>
      </c>
      <c r="E682" s="63" t="e">
        <f>IF(SAISIE!#REF!="","",SAISIE!F52)</f>
        <v>#REF!</v>
      </c>
      <c r="F682" s="70" t="e">
        <f>IF(SAISIE!#REF!="","",IF(SAISIE!$N52="","",SAISIE!$N52))</f>
        <v>#REF!</v>
      </c>
      <c r="G682" s="63" t="e">
        <f>IF(SAISIE!#REF!="","",SAISIE!#REF!)</f>
        <v>#REF!</v>
      </c>
      <c r="H682" s="63"/>
      <c r="I682" s="63" t="e">
        <f>IF(SAISIE!#REF!="","",SAISIE!$Q52)</f>
        <v>#REF!</v>
      </c>
      <c r="J682" s="71" t="str">
        <f>IF(COUNTBLANK(SAISIE!$J$6:$M$6)=4,"",IF(SAISIE!#REF!="","",IF(SAISIE!J52&gt;0,SAISIE!$J$6,IF(SAISIE!K52&gt;0,SAISIE!$K$6,IF(SAISIE!L52&gt;0,SAISIE!$L$6,IF(SAISIE!M52&gt;0,SAISIE!$M$6,""))))))</f>
        <v/>
      </c>
      <c r="O682" s="59" t="s">
        <v>57</v>
      </c>
    </row>
    <row r="683" spans="1:15" x14ac:dyDescent="0.25">
      <c r="A683" s="63" t="e">
        <f>IF(AND(G683="",H683=""),"SUPPR",SAISIE!$B$3)</f>
        <v>#REF!</v>
      </c>
      <c r="B683" s="63" t="e">
        <f>IF(SAISIE!#REF!="","",IF(LEN(SAISIE!B52)=1,CONCATENATE("0",SAISIE!B52,"/",SAISIE!$B$4,"/",SAISIE!$B$5),CONCATENATE(SAISIE!B52,"/",SAISIE!$B$4,"/",SAISIE!$B$5)))</f>
        <v>#REF!</v>
      </c>
      <c r="C683" s="63" t="e">
        <f>IF(SAISIE!#REF!="","",SAISIE!#REF!)</f>
        <v>#REF!</v>
      </c>
      <c r="D683" s="63" t="e">
        <f>IF(SAISIE!#REF!="","",SAISIE!E52)</f>
        <v>#REF!</v>
      </c>
      <c r="E683" s="63" t="e">
        <f>IF(SAISIE!#REF!="","",SAISIE!F52)</f>
        <v>#REF!</v>
      </c>
      <c r="F683" s="70" t="e">
        <f>IF(SAISIE!#REF!="","",IF(SAISIE!$N52="","",SAISIE!$N52))</f>
        <v>#REF!</v>
      </c>
      <c r="G683" s="63" t="e">
        <f>IF(SAISIE!#REF!="","",SAISIE!#REF!)</f>
        <v>#REF!</v>
      </c>
      <c r="H683" s="63"/>
      <c r="I683" s="63" t="e">
        <f>IF(SAISIE!#REF!="","",SAISIE!$Q52)</f>
        <v>#REF!</v>
      </c>
      <c r="J683" s="71" t="str">
        <f>IF(COUNTBLANK(SAISIE!$J$6:$M$6)=4,"",IF(SAISIE!#REF!="","",IF(SAISIE!J52&gt;0,SAISIE!$J$6,IF(SAISIE!K52&gt;0,SAISIE!$K$6,IF(SAISIE!L52&gt;0,SAISIE!$L$6,IF(SAISIE!M52&gt;0,SAISIE!$M$6,""))))))</f>
        <v/>
      </c>
      <c r="O683" s="59" t="s">
        <v>58</v>
      </c>
    </row>
    <row r="684" spans="1:15" x14ac:dyDescent="0.25">
      <c r="A684" s="63" t="e">
        <f>IF(AND(G684="",H684=""),"SUPPR",SAISIE!$B$3)</f>
        <v>#REF!</v>
      </c>
      <c r="B684" s="63" t="e">
        <f>IF(SAISIE!#REF!="","",IF(LEN(SAISIE!B52)=1,CONCATENATE("0",SAISIE!B52,"/",SAISIE!$B$4,"/",SAISIE!$B$5),CONCATENATE(SAISIE!B52,"/",SAISIE!$B$4,"/",SAISIE!$B$5)))</f>
        <v>#REF!</v>
      </c>
      <c r="C684" s="63" t="e">
        <f>IF(SAISIE!#REF!="","",SAISIE!#REF!)</f>
        <v>#REF!</v>
      </c>
      <c r="D684" s="63" t="e">
        <f>IF(SAISIE!#REF!="","",SAISIE!E52)</f>
        <v>#REF!</v>
      </c>
      <c r="E684" s="63" t="e">
        <f>IF(SAISIE!#REF!="","",SAISIE!F52)</f>
        <v>#REF!</v>
      </c>
      <c r="F684" s="70" t="e">
        <f>IF(SAISIE!#REF!="","",IF(SAISIE!$N52="","",SAISIE!$N52))</f>
        <v>#REF!</v>
      </c>
      <c r="G684" s="63" t="e">
        <f>IF(SAISIE!#REF!="","",SAISIE!#REF!)</f>
        <v>#REF!</v>
      </c>
      <c r="H684" s="63"/>
      <c r="I684" s="63" t="e">
        <f>IF(SAISIE!#REF!="","",SAISIE!$Q52)</f>
        <v>#REF!</v>
      </c>
      <c r="J684" s="71" t="str">
        <f>IF(COUNTBLANK(SAISIE!$J$6:$M$6)=4,"",IF(SAISIE!#REF!="","",IF(SAISIE!J52&gt;0,SAISIE!$J$6,IF(SAISIE!K52&gt;0,SAISIE!$K$6,IF(SAISIE!L52&gt;0,SAISIE!$L$6,IF(SAISIE!M52&gt;0,SAISIE!$M$6,""))))))</f>
        <v/>
      </c>
      <c r="O684" s="59" t="s">
        <v>59</v>
      </c>
    </row>
    <row r="685" spans="1:15" x14ac:dyDescent="0.25">
      <c r="A685" s="63" t="e">
        <f>IF(AND(G685="",H685=""),"SUPPR",SAISIE!$B$3)</f>
        <v>#REF!</v>
      </c>
      <c r="B685" s="63" t="e">
        <f>IF(SAISIE!#REF!="","",IF(LEN(SAISIE!B52)=1,CONCATENATE("0",SAISIE!B52,"/",SAISIE!$B$4,"/",SAISIE!$B$5),CONCATENATE(SAISIE!B52,"/",SAISIE!$B$4,"/",SAISIE!$B$5)))</f>
        <v>#REF!</v>
      </c>
      <c r="C685" s="63" t="e">
        <f>IF(SAISIE!#REF!="","",SAISIE!#REF!)</f>
        <v>#REF!</v>
      </c>
      <c r="D685" s="63" t="e">
        <f>IF(SAISIE!#REF!="","",SAISIE!E52)</f>
        <v>#REF!</v>
      </c>
      <c r="E685" s="63" t="e">
        <f>IF(SAISIE!#REF!="","",SAISIE!F52)</f>
        <v>#REF!</v>
      </c>
      <c r="F685" s="70" t="e">
        <f>IF(SAISIE!#REF!="","",IF(SAISIE!$N52="","",SAISIE!$N52))</f>
        <v>#REF!</v>
      </c>
      <c r="G685" s="63" t="e">
        <f>IF(SAISIE!#REF!="","",SAISIE!#REF!)</f>
        <v>#REF!</v>
      </c>
      <c r="H685" s="63"/>
      <c r="I685" s="63" t="e">
        <f>IF(SAISIE!#REF!="","",SAISIE!$Q52)</f>
        <v>#REF!</v>
      </c>
      <c r="J685" s="71" t="str">
        <f>IF(COUNTBLANK(SAISIE!$J$6:$M$6)=4,"",IF(SAISIE!#REF!="","",IF(SAISIE!J52&gt;0,SAISIE!$J$6,IF(SAISIE!K52&gt;0,SAISIE!$K$6,IF(SAISIE!L52&gt;0,SAISIE!$L$6,IF(SAISIE!M52&gt;0,SAISIE!$M$6,""))))))</f>
        <v/>
      </c>
      <c r="O685" s="59" t="s">
        <v>60</v>
      </c>
    </row>
    <row r="686" spans="1:15" x14ac:dyDescent="0.25">
      <c r="A686" s="63" t="str">
        <f>IF(AND(G686="",H686=""),"SUPPR",SAISIE!$B$3)</f>
        <v>SUPPR</v>
      </c>
      <c r="B686" s="63" t="str">
        <f>IF(SAISIE!J52="","",IF(LEN(SAISIE!B52)=1,CONCATENATE("0",SAISIE!B52,"/",SAISIE!$B$4,"/",SAISIE!$B$5),CONCATENATE(SAISIE!B52,"/",SAISIE!$B$4,"/",SAISIE!$B$5)))</f>
        <v/>
      </c>
      <c r="C686" s="63" t="str">
        <f>IF(SAISIE!J52="","",SAISIE!$J$8)</f>
        <v/>
      </c>
      <c r="D686" s="63" t="str">
        <f>IF(SAISIE!J52="","",SAISIE!E52)</f>
        <v/>
      </c>
      <c r="E686" s="63" t="str">
        <f>IF(SAISIE!J52="","",SAISIE!F52)</f>
        <v/>
      </c>
      <c r="F686" s="70" t="str">
        <f>IF(SAISIE!$J52="","",IF(SAISIE!$N52="","",SAISIE!$N52))</f>
        <v/>
      </c>
      <c r="G686" s="63" t="str">
        <f>IF(SAISIE!J52="","",SAISIE!J52)</f>
        <v/>
      </c>
      <c r="H686" s="63"/>
      <c r="I686" s="72"/>
      <c r="J686" s="71"/>
      <c r="O686" s="73"/>
    </row>
    <row r="687" spans="1:15" x14ac:dyDescent="0.25">
      <c r="A687" s="63" t="str">
        <f>IF(AND(G687="",H687=""),"SUPPR",SAISIE!$B$3)</f>
        <v>SUPPR</v>
      </c>
      <c r="B687" s="63" t="str">
        <f>IF(SAISIE!K52="","",IF(LEN(SAISIE!B52)=1,CONCATENATE("0",SAISIE!B52,"/",SAISIE!$B$4,"/",SAISIE!$B$5),CONCATENATE(SAISIE!B52,"/",SAISIE!$B$4,"/",SAISIE!$B$5)))</f>
        <v/>
      </c>
      <c r="C687" s="63" t="str">
        <f>IF(SAISIE!K52="","",SAISIE!$K$8)</f>
        <v/>
      </c>
      <c r="D687" s="63" t="str">
        <f>IF(SAISIE!K52="","",SAISIE!E52)</f>
        <v/>
      </c>
      <c r="E687" s="63" t="str">
        <f>IF(SAISIE!K52="","",SAISIE!F52)</f>
        <v/>
      </c>
      <c r="F687" s="70" t="str">
        <f>IF(SAISIE!$K52="","",IF(SAISIE!$N52="","",SAISIE!$N52))</f>
        <v/>
      </c>
      <c r="G687" s="63" t="str">
        <f>IF(SAISIE!K52="","",SAISIE!K52)</f>
        <v/>
      </c>
      <c r="H687" s="63"/>
      <c r="I687" s="72"/>
      <c r="J687" s="71"/>
    </row>
    <row r="688" spans="1:15" x14ac:dyDescent="0.25">
      <c r="A688" s="63" t="str">
        <f>IF(AND(G688="",H688=""),"SUPPR",SAISIE!$B$3)</f>
        <v>SUPPR</v>
      </c>
      <c r="B688" s="63" t="str">
        <f>IF(SAISIE!L52="","",IF(LEN(SAISIE!B52)=1,CONCATENATE("0",SAISIE!B52,"/",SAISIE!$B$4,"/",SAISIE!$B$5),CONCATENATE(SAISIE!B52,"/",SAISIE!$B$4,"/",SAISIE!$B$5)))</f>
        <v/>
      </c>
      <c r="C688" s="63" t="str">
        <f>IF(SAISIE!L52="","",SAISIE!$L$8)</f>
        <v/>
      </c>
      <c r="D688" s="63" t="str">
        <f>IF(SAISIE!L52="","",SAISIE!E52)</f>
        <v/>
      </c>
      <c r="E688" s="63" t="str">
        <f>IF(SAISIE!L52="","",SAISIE!F52)</f>
        <v/>
      </c>
      <c r="F688" s="70" t="str">
        <f>IF(SAISIE!$L52="","",IF(SAISIE!$N52="","",SAISIE!$N52))</f>
        <v/>
      </c>
      <c r="G688" s="63" t="str">
        <f>IF(SAISIE!L52="","",SAISIE!L52)</f>
        <v/>
      </c>
      <c r="H688" s="63"/>
      <c r="I688" s="72"/>
      <c r="J688" s="71"/>
    </row>
    <row r="689" spans="1:15" x14ac:dyDescent="0.25">
      <c r="A689" s="63" t="str">
        <f>IF(AND(G689="",H689=""),"SUPPR",SAISIE!$B$3)</f>
        <v>SUPPR</v>
      </c>
      <c r="B689" s="63" t="str">
        <f>IF(SAISIE!M52="","",IF(LEN(SAISIE!B52)=1,CONCATENATE("0",SAISIE!B52,"/",SAISIE!$B$4,"/",SAISIE!$B$5),CONCATENATE(SAISIE!B52,"/",SAISIE!$B$4,"/",SAISIE!$B$5)))</f>
        <v/>
      </c>
      <c r="C689" s="74" t="str">
        <f>IF(SAISIE!M52="","",SAISIE!$M$8)</f>
        <v/>
      </c>
      <c r="D689" s="74" t="str">
        <f>IF(SAISIE!M52="","",SAISIE!E52)</f>
        <v/>
      </c>
      <c r="E689" s="74" t="str">
        <f>IF(SAISIE!M52="","",SAISIE!F52)</f>
        <v/>
      </c>
      <c r="F689" s="75" t="str">
        <f>IF(SAISIE!$M52="","",IF(SAISIE!$N52="","",SAISIE!$N52))</f>
        <v/>
      </c>
      <c r="G689" s="74" t="str">
        <f>IF(SAISIE!M52="","",SAISIE!M52)</f>
        <v/>
      </c>
      <c r="H689" s="76"/>
      <c r="I689" s="77"/>
      <c r="J689" s="78"/>
    </row>
    <row r="690" spans="1:15" x14ac:dyDescent="0.25">
      <c r="A690" s="63" t="str">
        <f>IF(AND(G690="",H690=""),"SUPPR",SAISIE!$B$3)</f>
        <v>SUPPR</v>
      </c>
      <c r="B690" s="64" t="str">
        <f>IF(SAISIE!B53="","",IF(LEN(SAISIE!B53)=1,CONCATENATE("0",SAISIE!B53,"/",SAISIE!$B$4,"/",SAISIE!$B$5),CONCATENATE(SAISIE!B53,"/",SAISIE!$B$4,"/",SAISIE!$B$5)))</f>
        <v/>
      </c>
      <c r="C690" s="64" t="str">
        <f>IF(SAISIE!B53="","",CONCATENATE($M$2,SAISIE!C53))</f>
        <v/>
      </c>
      <c r="D690" s="64" t="str">
        <f>IF(SAISIE!B53="","",SAISIE!E53)</f>
        <v/>
      </c>
      <c r="E690" s="64" t="str">
        <f>IF(SAISIE!B53="","",SAISIE!F53)</f>
        <v/>
      </c>
      <c r="F690" s="65" t="str">
        <f>IF(A690="SUPPR","",IF(SAISIE!$N53="","",SAISIE!$N53))</f>
        <v/>
      </c>
      <c r="G690" s="64"/>
      <c r="H690" s="64" t="str">
        <f>IF(SAISIE!B53="","",SAISIE!D53)</f>
        <v/>
      </c>
      <c r="I690" s="66"/>
      <c r="J690" s="67" t="str">
        <f>IF(AZ53="","","")</f>
        <v/>
      </c>
      <c r="O690" s="69">
        <f>O674+1</f>
        <v>53</v>
      </c>
    </row>
    <row r="691" spans="1:15" x14ac:dyDescent="0.25">
      <c r="A691" s="63" t="str">
        <f>IF(AND(G691="",H691=""),"SUPPR",SAISIE!$B$3)</f>
        <v>SUPPR</v>
      </c>
      <c r="B691" s="63" t="str">
        <f>IF(SAISIE!P53="","",IF(LEN(SAISIE!B53)=1,CONCATENATE("0",SAISIE!B53,"/",SAISIE!$B$4,"/",SAISIE!$B$5),CONCATENATE(SAISIE!B53,"/",SAISIE!$B$4,"/",SAISIE!$B$5)))</f>
        <v/>
      </c>
      <c r="C691" s="63" t="str">
        <f>IF(SAISIE!P53="","",SAISIE!O53)</f>
        <v/>
      </c>
      <c r="D691" s="63" t="str">
        <f>IF(SAISIE!P53="","",SAISIE!E53)</f>
        <v/>
      </c>
      <c r="E691" s="63" t="str">
        <f>IF(SAISIE!P53="","",SAISIE!F53)</f>
        <v/>
      </c>
      <c r="F691" s="70" t="str">
        <f>IF(SAISIE!$P53="","",IF(SAISIE!$N53="","",SAISIE!$N53))</f>
        <v/>
      </c>
      <c r="G691" s="63" t="str">
        <f>IF(SAISIE!P53="","",SAISIE!P53)</f>
        <v/>
      </c>
      <c r="H691" s="63"/>
      <c r="I691" s="63" t="str">
        <f>IF(SAISIE!$P53="","",SAISIE!$Q53)</f>
        <v/>
      </c>
      <c r="J691" s="71" t="str">
        <f>IF(COUNTBLANK(SAISIE!$J$6:$M$6)=4,"",IF(SAISIE!P53="","",IF(SAISIE!J53&gt;0,SAISIE!$J$6,IF(SAISIE!K53&gt;0,SAISIE!$K$6,IF(SAISIE!L53&gt;0,SAISIE!$L$6,IF(SAISIE!M53&gt;0,SAISIE!$M$6,""))))))</f>
        <v/>
      </c>
      <c r="O691" s="59" t="s">
        <v>50</v>
      </c>
    </row>
    <row r="692" spans="1:15" x14ac:dyDescent="0.25">
      <c r="A692" s="63" t="str">
        <f>IF(AND(G692="",H692=""),"SUPPR",SAISIE!$B$3)</f>
        <v>SUPPR</v>
      </c>
      <c r="B692" s="63" t="str">
        <f>IF(SAISIE!G53="","",IF(LEN(SAISIE!B53)=1,CONCATENATE("0",SAISIE!B53,"/",SAISIE!$B$4,"/",SAISIE!$B$5),CONCATENATE(SAISIE!B53,"/",SAISIE!$B$4,"/",SAISIE!$B$5)))</f>
        <v/>
      </c>
      <c r="C692" s="63" t="str">
        <f>IF(SAISIE!G53="","",SAISIE!$G$8)</f>
        <v/>
      </c>
      <c r="D692" s="63" t="str">
        <f>IF(SAISIE!G53="","",SAISIE!E53)</f>
        <v/>
      </c>
      <c r="E692" s="63" t="str">
        <f>IF(SAISIE!G53="","",SAISIE!F53)</f>
        <v/>
      </c>
      <c r="F692" s="70" t="str">
        <f>IF(SAISIE!$G53="","",IF(SAISIE!$N53="","",SAISIE!$N53))</f>
        <v/>
      </c>
      <c r="G692" s="63" t="str">
        <f>IF(SAISIE!G53="","",SAISIE!G53)</f>
        <v/>
      </c>
      <c r="H692" s="63"/>
      <c r="I692" s="63" t="str">
        <f>IF(SAISIE!$G53="","",SAISIE!$Q53)</f>
        <v/>
      </c>
      <c r="J692" s="71" t="str">
        <f>IF(COUNTBLANK(SAISIE!$J$6:$M$6)=4,"",IF(SAISIE!G53="","",IF(SAISIE!J53&gt;0,SAISIE!$J$6,IF(SAISIE!K53&gt;0,SAISIE!$K$6,IF(SAISIE!L53&gt;0,SAISIE!$L$6,IF(SAISIE!M53&gt;0,SAISIE!$M$6,""))))))</f>
        <v/>
      </c>
      <c r="O692" s="59" t="s">
        <v>51</v>
      </c>
    </row>
    <row r="693" spans="1:15" x14ac:dyDescent="0.25">
      <c r="A693" s="63" t="str">
        <f>IF(AND(G693="",H693=""),"SUPPR",SAISIE!$B$3)</f>
        <v>SUPPR</v>
      </c>
      <c r="B693" s="63" t="str">
        <f>IF(SAISIE!H53="","",IF(LEN(SAISIE!B53)=1,CONCATENATE("0",SAISIE!B53,"/",SAISIE!$B$4,"/",SAISIE!$B$5),CONCATENATE(SAISIE!B53,"/",SAISIE!$B$4,"/",SAISIE!$B$5)))</f>
        <v/>
      </c>
      <c r="C693" s="63" t="str">
        <f>IF(SAISIE!H53="","",SAISIE!$H$8)</f>
        <v/>
      </c>
      <c r="D693" s="63" t="str">
        <f>IF(SAISIE!H53="","",SAISIE!E53)</f>
        <v/>
      </c>
      <c r="E693" s="63" t="str">
        <f>IF(SAISIE!H53="","",SAISIE!F53)</f>
        <v/>
      </c>
      <c r="F693" s="70" t="str">
        <f>IF(SAISIE!$H53="","",IF(SAISIE!$N53="","",SAISIE!$N53))</f>
        <v/>
      </c>
      <c r="G693" s="63" t="str">
        <f>IF(SAISIE!H53="","",SAISIE!H53)</f>
        <v/>
      </c>
      <c r="H693" s="63"/>
      <c r="I693" s="63" t="str">
        <f>IF(SAISIE!$H53="","",SAISIE!$Q53)</f>
        <v/>
      </c>
      <c r="J693" s="71" t="str">
        <f>IF(COUNTBLANK(SAISIE!$J$6:$M$6)=4,"",IF(SAISIE!H53="","",IF(SAISIE!J53&gt;0,SAISIE!$J$6,IF(SAISIE!K53&gt;0,SAISIE!$K$6,IF(SAISIE!L53&gt;0,SAISIE!$L$6,IF(SAISIE!M53&gt;0,SAISIE!$M$6,""))))))</f>
        <v/>
      </c>
      <c r="O693" s="59" t="s">
        <v>52</v>
      </c>
    </row>
    <row r="694" spans="1:15" x14ac:dyDescent="0.25">
      <c r="A694" s="63" t="str">
        <f>IF(AND(G694="",H694=""),"SUPPR",SAISIE!$B$3)</f>
        <v>SUPPR</v>
      </c>
      <c r="B694" s="63" t="str">
        <f>IF(SAISIE!I53="","",IF(LEN(SAISIE!B53)=1,CONCATENATE("0",SAISIE!B53,"/",SAISIE!$B$4,"/",SAISIE!$B$5),CONCATENATE(SAISIE!B53,"/",SAISIE!$B$4,"/",SAISIE!$B$5)))</f>
        <v/>
      </c>
      <c r="C694" s="63" t="str">
        <f>IF(SAISIE!I53="","",SAISIE!$I$8)</f>
        <v/>
      </c>
      <c r="D694" s="63" t="str">
        <f>IF(SAISIE!I53="","",SAISIE!E53)</f>
        <v/>
      </c>
      <c r="E694" s="63" t="str">
        <f>IF(SAISIE!I53="","",SAISIE!F53)</f>
        <v/>
      </c>
      <c r="F694" s="70" t="str">
        <f>IF(SAISIE!$I53="","",IF(SAISIE!$N53="","",SAISIE!$N53))</f>
        <v/>
      </c>
      <c r="G694" s="63" t="str">
        <f>IF(SAISIE!I53="","",SAISIE!I53)</f>
        <v/>
      </c>
      <c r="H694" s="63"/>
      <c r="I694" s="63" t="str">
        <f>IF(SAISIE!$I53="","",SAISIE!$Q53)</f>
        <v/>
      </c>
      <c r="J694" s="71" t="str">
        <f>IF(COUNTBLANK(SAISIE!$J$6:$M$6)=4,"",IF(SAISIE!I53="","",IF(SAISIE!J53&gt;0,SAISIE!$J$6,IF(SAISIE!K53&gt;0,SAISIE!$K$6,IF(SAISIE!L53&gt;0,SAISIE!$L$6,IF(SAISIE!M53&gt;0,SAISIE!$M$6,""))))))</f>
        <v/>
      </c>
      <c r="O694" s="59" t="s">
        <v>53</v>
      </c>
    </row>
    <row r="695" spans="1:15" x14ac:dyDescent="0.25">
      <c r="A695" s="63" t="e">
        <f>IF(AND(G695="",H695=""),"SUPPR",SAISIE!$B$3)</f>
        <v>#REF!</v>
      </c>
      <c r="B695" s="63" t="e">
        <f>IF(SAISIE!#REF!="","",IF(LEN(SAISIE!B53)=1,CONCATENATE("0",SAISIE!B53,"/",SAISIE!$B$4,"/",SAISIE!$B$5),CONCATENATE(SAISIE!B53,"/",SAISIE!$B$4,"/",SAISIE!$B$5)))</f>
        <v>#REF!</v>
      </c>
      <c r="C695" s="63" t="e">
        <f>IF(SAISIE!#REF!="","",SAISIE!#REF!)</f>
        <v>#REF!</v>
      </c>
      <c r="D695" s="63" t="e">
        <f>IF(SAISIE!#REF!="","",SAISIE!E53)</f>
        <v>#REF!</v>
      </c>
      <c r="E695" s="63" t="e">
        <f>IF(SAISIE!#REF!="","",SAISIE!F53)</f>
        <v>#REF!</v>
      </c>
      <c r="F695" s="70" t="e">
        <f>IF(SAISIE!#REF!="","",IF(SAISIE!$N53="","",SAISIE!$N53))</f>
        <v>#REF!</v>
      </c>
      <c r="G695" s="63" t="e">
        <f>IF(SAISIE!#REF!="","",SAISIE!#REF!)</f>
        <v>#REF!</v>
      </c>
      <c r="H695" s="63"/>
      <c r="I695" s="63" t="e">
        <f>IF(SAISIE!#REF!="","",SAISIE!$Q53)</f>
        <v>#REF!</v>
      </c>
      <c r="J695" s="71" t="str">
        <f>IF(COUNTBLANK(SAISIE!$J$6:$M$6)=4,"",IF(SAISIE!#REF!="","",IF(SAISIE!J53&gt;0,SAISIE!$J$6,IF(SAISIE!K53&gt;0,SAISIE!$K$6,IF(SAISIE!L53&gt;0,SAISIE!$L$6,IF(SAISIE!M53&gt;0,SAISIE!$M$6,""))))))</f>
        <v/>
      </c>
      <c r="O695" s="59" t="s">
        <v>54</v>
      </c>
    </row>
    <row r="696" spans="1:15" x14ac:dyDescent="0.25">
      <c r="A696" s="63" t="e">
        <f>IF(AND(G696="",H696=""),"SUPPR",SAISIE!$B$3)</f>
        <v>#REF!</v>
      </c>
      <c r="B696" s="63" t="e">
        <f>IF(SAISIE!#REF!="","",IF(LEN(SAISIE!B53)=1,CONCATENATE("0",SAISIE!B53,"/",SAISIE!$B$4,"/",SAISIE!$B$5),CONCATENATE(SAISIE!B53,"/",SAISIE!$B$4,"/",SAISIE!$B$5)))</f>
        <v>#REF!</v>
      </c>
      <c r="C696" s="63" t="e">
        <f>IF(SAISIE!#REF!="","",SAISIE!#REF!)</f>
        <v>#REF!</v>
      </c>
      <c r="D696" s="63" t="e">
        <f>IF(SAISIE!#REF!="","",SAISIE!E53)</f>
        <v>#REF!</v>
      </c>
      <c r="E696" s="63" t="e">
        <f>IF(SAISIE!#REF!="","",SAISIE!F53)</f>
        <v>#REF!</v>
      </c>
      <c r="F696" s="70" t="e">
        <f>IF(SAISIE!#REF!="","",IF(SAISIE!$N53="","",SAISIE!$N53))</f>
        <v>#REF!</v>
      </c>
      <c r="G696" s="63" t="e">
        <f>IF(SAISIE!#REF!="","",SAISIE!#REF!)</f>
        <v>#REF!</v>
      </c>
      <c r="H696" s="63"/>
      <c r="I696" s="63" t="e">
        <f>IF(SAISIE!#REF!="","",SAISIE!$Q53)</f>
        <v>#REF!</v>
      </c>
      <c r="J696" s="71" t="str">
        <f>IF(COUNTBLANK(SAISIE!$J$6:$M$6)=4,"",IF(SAISIE!#REF!="","",IF(SAISIE!J53&gt;0,SAISIE!$J$6,IF(SAISIE!K53&gt;0,SAISIE!$K$6,IF(SAISIE!L53&gt;0,SAISIE!$L$6,IF(SAISIE!M53&gt;0,SAISIE!$M$6,""))))))</f>
        <v/>
      </c>
      <c r="O696" s="59" t="s">
        <v>55</v>
      </c>
    </row>
    <row r="697" spans="1:15" x14ac:dyDescent="0.25">
      <c r="A697" s="63" t="e">
        <f>IF(AND(G697="",H697=""),"SUPPR",SAISIE!$B$3)</f>
        <v>#REF!</v>
      </c>
      <c r="B697" s="63" t="e">
        <f>IF(SAISIE!#REF!="","",IF(LEN(SAISIE!B53)=1,CONCATENATE("0",SAISIE!B53,"/",SAISIE!$B$4,"/",SAISIE!$B$5),CONCATENATE(SAISIE!B53,"/",SAISIE!$B$4,"/",SAISIE!$B$5)))</f>
        <v>#REF!</v>
      </c>
      <c r="C697" s="63" t="e">
        <f>IF(SAISIE!#REF!="","",SAISIE!#REF!)</f>
        <v>#REF!</v>
      </c>
      <c r="D697" s="63" t="e">
        <f>IF(SAISIE!#REF!="","",SAISIE!E53)</f>
        <v>#REF!</v>
      </c>
      <c r="E697" s="63" t="e">
        <f>IF(SAISIE!#REF!="","",SAISIE!F53)</f>
        <v>#REF!</v>
      </c>
      <c r="F697" s="70" t="e">
        <f>IF(SAISIE!#REF!="","",IF(SAISIE!$N53="","",SAISIE!$N53))</f>
        <v>#REF!</v>
      </c>
      <c r="G697" s="63" t="e">
        <f>IF(SAISIE!#REF!="","",SAISIE!#REF!)</f>
        <v>#REF!</v>
      </c>
      <c r="H697" s="63"/>
      <c r="I697" s="63" t="e">
        <f>IF(SAISIE!#REF!="","",SAISIE!$Q53)</f>
        <v>#REF!</v>
      </c>
      <c r="J697" s="71" t="str">
        <f>IF(COUNTBLANK(SAISIE!$J$6:$M$6)=4,"",IF(SAISIE!#REF!="","",IF(SAISIE!J53&gt;0,SAISIE!$J$6,IF(SAISIE!K53&gt;0,SAISIE!$K$6,IF(SAISIE!L53&gt;0,SAISIE!$L$6,IF(SAISIE!M53&gt;0,SAISIE!$M$6,""))))))</f>
        <v/>
      </c>
      <c r="O697" s="59" t="s">
        <v>56</v>
      </c>
    </row>
    <row r="698" spans="1:15" x14ac:dyDescent="0.25">
      <c r="A698" s="63" t="e">
        <f>IF(AND(G698="",H698=""),"SUPPR",SAISIE!$B$3)</f>
        <v>#REF!</v>
      </c>
      <c r="B698" s="63" t="e">
        <f>IF(SAISIE!#REF!="","",IF(LEN(SAISIE!B53)=1,CONCATENATE("0",SAISIE!B53,"/",SAISIE!$B$4,"/",SAISIE!$B$5),CONCATENATE(SAISIE!B53,"/",SAISIE!$B$4,"/",SAISIE!$B$5)))</f>
        <v>#REF!</v>
      </c>
      <c r="C698" s="63" t="e">
        <f>IF(SAISIE!#REF!="","",SAISIE!#REF!)</f>
        <v>#REF!</v>
      </c>
      <c r="D698" s="63" t="e">
        <f>IF(SAISIE!#REF!="","",SAISIE!E53)</f>
        <v>#REF!</v>
      </c>
      <c r="E698" s="63" t="e">
        <f>IF(SAISIE!#REF!="","",SAISIE!F53)</f>
        <v>#REF!</v>
      </c>
      <c r="F698" s="70" t="e">
        <f>IF(SAISIE!#REF!="","",IF(SAISIE!$N53="","",SAISIE!$N53))</f>
        <v>#REF!</v>
      </c>
      <c r="G698" s="63" t="e">
        <f>IF(SAISIE!#REF!="","",SAISIE!#REF!)</f>
        <v>#REF!</v>
      </c>
      <c r="H698" s="63"/>
      <c r="I698" s="63" t="e">
        <f>IF(SAISIE!#REF!="","",SAISIE!$Q53)</f>
        <v>#REF!</v>
      </c>
      <c r="J698" s="71" t="str">
        <f>IF(COUNTBLANK(SAISIE!$J$6:$M$6)=4,"",IF(SAISIE!#REF!="","",IF(SAISIE!J53&gt;0,SAISIE!$J$6,IF(SAISIE!K53&gt;0,SAISIE!$K$6,IF(SAISIE!L53&gt;0,SAISIE!$L$6,IF(SAISIE!M53&gt;0,SAISIE!$M$6,""))))))</f>
        <v/>
      </c>
      <c r="O698" s="59" t="s">
        <v>57</v>
      </c>
    </row>
    <row r="699" spans="1:15" x14ac:dyDescent="0.25">
      <c r="A699" s="63" t="e">
        <f>IF(AND(G699="",H699=""),"SUPPR",SAISIE!$B$3)</f>
        <v>#REF!</v>
      </c>
      <c r="B699" s="63" t="e">
        <f>IF(SAISIE!#REF!="","",IF(LEN(SAISIE!B53)=1,CONCATENATE("0",SAISIE!B53,"/",SAISIE!$B$4,"/",SAISIE!$B$5),CONCATENATE(SAISIE!B53,"/",SAISIE!$B$4,"/",SAISIE!$B$5)))</f>
        <v>#REF!</v>
      </c>
      <c r="C699" s="63" t="e">
        <f>IF(SAISIE!#REF!="","",SAISIE!#REF!)</f>
        <v>#REF!</v>
      </c>
      <c r="D699" s="63" t="e">
        <f>IF(SAISIE!#REF!="","",SAISIE!E53)</f>
        <v>#REF!</v>
      </c>
      <c r="E699" s="63" t="e">
        <f>IF(SAISIE!#REF!="","",SAISIE!F53)</f>
        <v>#REF!</v>
      </c>
      <c r="F699" s="70" t="e">
        <f>IF(SAISIE!#REF!="","",IF(SAISIE!$N53="","",SAISIE!$N53))</f>
        <v>#REF!</v>
      </c>
      <c r="G699" s="63" t="e">
        <f>IF(SAISIE!#REF!="","",SAISIE!#REF!)</f>
        <v>#REF!</v>
      </c>
      <c r="H699" s="63"/>
      <c r="I699" s="63" t="e">
        <f>IF(SAISIE!#REF!="","",SAISIE!$Q53)</f>
        <v>#REF!</v>
      </c>
      <c r="J699" s="71" t="str">
        <f>IF(COUNTBLANK(SAISIE!$J$6:$M$6)=4,"",IF(SAISIE!#REF!="","",IF(SAISIE!J53&gt;0,SAISIE!$J$6,IF(SAISIE!K53&gt;0,SAISIE!$K$6,IF(SAISIE!L53&gt;0,SAISIE!$L$6,IF(SAISIE!M53&gt;0,SAISIE!$M$6,""))))))</f>
        <v/>
      </c>
      <c r="O699" s="59" t="s">
        <v>58</v>
      </c>
    </row>
    <row r="700" spans="1:15" x14ac:dyDescent="0.25">
      <c r="A700" s="63" t="e">
        <f>IF(AND(G700="",H700=""),"SUPPR",SAISIE!$B$3)</f>
        <v>#REF!</v>
      </c>
      <c r="B700" s="63" t="e">
        <f>IF(SAISIE!#REF!="","",IF(LEN(SAISIE!B53)=1,CONCATENATE("0",SAISIE!B53,"/",SAISIE!$B$4,"/",SAISIE!$B$5),CONCATENATE(SAISIE!B53,"/",SAISIE!$B$4,"/",SAISIE!$B$5)))</f>
        <v>#REF!</v>
      </c>
      <c r="C700" s="63" t="e">
        <f>IF(SAISIE!#REF!="","",SAISIE!#REF!)</f>
        <v>#REF!</v>
      </c>
      <c r="D700" s="63" t="e">
        <f>IF(SAISIE!#REF!="","",SAISIE!E53)</f>
        <v>#REF!</v>
      </c>
      <c r="E700" s="63" t="e">
        <f>IF(SAISIE!#REF!="","",SAISIE!F53)</f>
        <v>#REF!</v>
      </c>
      <c r="F700" s="70" t="e">
        <f>IF(SAISIE!#REF!="","",IF(SAISIE!$N53="","",SAISIE!$N53))</f>
        <v>#REF!</v>
      </c>
      <c r="G700" s="63" t="e">
        <f>IF(SAISIE!#REF!="","",SAISIE!#REF!)</f>
        <v>#REF!</v>
      </c>
      <c r="H700" s="63"/>
      <c r="I700" s="63" t="e">
        <f>IF(SAISIE!#REF!="","",SAISIE!$Q53)</f>
        <v>#REF!</v>
      </c>
      <c r="J700" s="71" t="str">
        <f>IF(COUNTBLANK(SAISIE!$J$6:$M$6)=4,"",IF(SAISIE!#REF!="","",IF(SAISIE!J53&gt;0,SAISIE!$J$6,IF(SAISIE!K53&gt;0,SAISIE!$K$6,IF(SAISIE!L53&gt;0,SAISIE!$L$6,IF(SAISIE!M53&gt;0,SAISIE!$M$6,""))))))</f>
        <v/>
      </c>
      <c r="O700" s="59" t="s">
        <v>59</v>
      </c>
    </row>
    <row r="701" spans="1:15" x14ac:dyDescent="0.25">
      <c r="A701" s="63" t="e">
        <f>IF(AND(G701="",H701=""),"SUPPR",SAISIE!$B$3)</f>
        <v>#REF!</v>
      </c>
      <c r="B701" s="63" t="e">
        <f>IF(SAISIE!#REF!="","",IF(LEN(SAISIE!B53)=1,CONCATENATE("0",SAISIE!B53,"/",SAISIE!$B$4,"/",SAISIE!$B$5),CONCATENATE(SAISIE!B53,"/",SAISIE!$B$4,"/",SAISIE!$B$5)))</f>
        <v>#REF!</v>
      </c>
      <c r="C701" s="63" t="e">
        <f>IF(SAISIE!#REF!="","",SAISIE!#REF!)</f>
        <v>#REF!</v>
      </c>
      <c r="D701" s="63" t="e">
        <f>IF(SAISIE!#REF!="","",SAISIE!E53)</f>
        <v>#REF!</v>
      </c>
      <c r="E701" s="63" t="e">
        <f>IF(SAISIE!#REF!="","",SAISIE!F53)</f>
        <v>#REF!</v>
      </c>
      <c r="F701" s="70" t="e">
        <f>IF(SAISIE!#REF!="","",IF(SAISIE!$N53="","",SAISIE!$N53))</f>
        <v>#REF!</v>
      </c>
      <c r="G701" s="63" t="e">
        <f>IF(SAISIE!#REF!="","",SAISIE!#REF!)</f>
        <v>#REF!</v>
      </c>
      <c r="H701" s="63"/>
      <c r="I701" s="63" t="e">
        <f>IF(SAISIE!#REF!="","",SAISIE!$Q53)</f>
        <v>#REF!</v>
      </c>
      <c r="J701" s="71" t="str">
        <f>IF(COUNTBLANK(SAISIE!$J$6:$M$6)=4,"",IF(SAISIE!#REF!="","",IF(SAISIE!J53&gt;0,SAISIE!$J$6,IF(SAISIE!K53&gt;0,SAISIE!$K$6,IF(SAISIE!L53&gt;0,SAISIE!$L$6,IF(SAISIE!M53&gt;0,SAISIE!$M$6,""))))))</f>
        <v/>
      </c>
      <c r="O701" s="59" t="s">
        <v>60</v>
      </c>
    </row>
    <row r="702" spans="1:15" x14ac:dyDescent="0.25">
      <c r="A702" s="63" t="str">
        <f>IF(AND(G702="",H702=""),"SUPPR",SAISIE!$B$3)</f>
        <v>SUPPR</v>
      </c>
      <c r="B702" s="63" t="str">
        <f>IF(SAISIE!J53="","",IF(LEN(SAISIE!B53)=1,CONCATENATE("0",SAISIE!B53,"/",SAISIE!$B$4,"/",SAISIE!$B$5),CONCATENATE(SAISIE!B53,"/",SAISIE!$B$4,"/",SAISIE!$B$5)))</f>
        <v/>
      </c>
      <c r="C702" s="63" t="str">
        <f>IF(SAISIE!J53="","",SAISIE!$J$8)</f>
        <v/>
      </c>
      <c r="D702" s="63" t="str">
        <f>IF(SAISIE!J53="","",SAISIE!E53)</f>
        <v/>
      </c>
      <c r="E702" s="63" t="str">
        <f>IF(SAISIE!J53="","",SAISIE!F53)</f>
        <v/>
      </c>
      <c r="F702" s="70" t="str">
        <f>IF(SAISIE!$J53="","",IF(SAISIE!$N53="","",SAISIE!$N53))</f>
        <v/>
      </c>
      <c r="G702" s="63" t="str">
        <f>IF(SAISIE!J53="","",SAISIE!J53)</f>
        <v/>
      </c>
      <c r="H702" s="63"/>
      <c r="I702" s="72"/>
      <c r="J702" s="71"/>
      <c r="O702" s="73"/>
    </row>
    <row r="703" spans="1:15" x14ac:dyDescent="0.25">
      <c r="A703" s="63" t="str">
        <f>IF(AND(G703="",H703=""),"SUPPR",SAISIE!$B$3)</f>
        <v>SUPPR</v>
      </c>
      <c r="B703" s="63" t="str">
        <f>IF(SAISIE!K53="","",IF(LEN(SAISIE!B53)=1,CONCATENATE("0",SAISIE!B53,"/",SAISIE!$B$4,"/",SAISIE!$B$5),CONCATENATE(SAISIE!B53,"/",SAISIE!$B$4,"/",SAISIE!$B$5)))</f>
        <v/>
      </c>
      <c r="C703" s="63" t="str">
        <f>IF(SAISIE!K53="","",SAISIE!$K$8)</f>
        <v/>
      </c>
      <c r="D703" s="63" t="str">
        <f>IF(SAISIE!K53="","",SAISIE!E53)</f>
        <v/>
      </c>
      <c r="E703" s="63" t="str">
        <f>IF(SAISIE!K53="","",SAISIE!F53)</f>
        <v/>
      </c>
      <c r="F703" s="70" t="str">
        <f>IF(SAISIE!$K53="","",IF(SAISIE!$N53="","",SAISIE!$N53))</f>
        <v/>
      </c>
      <c r="G703" s="63" t="str">
        <f>IF(SAISIE!K53="","",SAISIE!K53)</f>
        <v/>
      </c>
      <c r="H703" s="63"/>
      <c r="I703" s="72"/>
      <c r="J703" s="71"/>
    </row>
    <row r="704" spans="1:15" x14ac:dyDescent="0.25">
      <c r="A704" s="63" t="str">
        <f>IF(AND(G704="",H704=""),"SUPPR",SAISIE!$B$3)</f>
        <v>SUPPR</v>
      </c>
      <c r="B704" s="63" t="str">
        <f>IF(SAISIE!L53="","",IF(LEN(SAISIE!B53)=1,CONCATENATE("0",SAISIE!B53,"/",SAISIE!$B$4,"/",SAISIE!$B$5),CONCATENATE(SAISIE!B53,"/",SAISIE!$B$4,"/",SAISIE!$B$5)))</f>
        <v/>
      </c>
      <c r="C704" s="63" t="str">
        <f>IF(SAISIE!L53="","",SAISIE!$L$8)</f>
        <v/>
      </c>
      <c r="D704" s="63" t="str">
        <f>IF(SAISIE!L53="","",SAISIE!E53)</f>
        <v/>
      </c>
      <c r="E704" s="63" t="str">
        <f>IF(SAISIE!L53="","",SAISIE!F53)</f>
        <v/>
      </c>
      <c r="F704" s="70" t="str">
        <f>IF(SAISIE!$L53="","",IF(SAISIE!$N53="","",SAISIE!$N53))</f>
        <v/>
      </c>
      <c r="G704" s="63" t="str">
        <f>IF(SAISIE!L53="","",SAISIE!L53)</f>
        <v/>
      </c>
      <c r="H704" s="63"/>
      <c r="I704" s="72"/>
      <c r="J704" s="71"/>
    </row>
    <row r="705" spans="1:15" x14ac:dyDescent="0.25">
      <c r="A705" s="63" t="str">
        <f>IF(AND(G705="",H705=""),"SUPPR",SAISIE!$B$3)</f>
        <v>SUPPR</v>
      </c>
      <c r="B705" s="63" t="str">
        <f>IF(SAISIE!M53="","",IF(LEN(SAISIE!B53)=1,CONCATENATE("0",SAISIE!B53,"/",SAISIE!$B$4,"/",SAISIE!$B$5),CONCATENATE(SAISIE!B53,"/",SAISIE!$B$4,"/",SAISIE!$B$5)))</f>
        <v/>
      </c>
      <c r="C705" s="74" t="str">
        <f>IF(SAISIE!M53="","",SAISIE!$M$8)</f>
        <v/>
      </c>
      <c r="D705" s="74" t="str">
        <f>IF(SAISIE!M53="","",SAISIE!E53)</f>
        <v/>
      </c>
      <c r="E705" s="74" t="str">
        <f>IF(SAISIE!M53="","",SAISIE!F53)</f>
        <v/>
      </c>
      <c r="F705" s="75" t="str">
        <f>IF(SAISIE!$M53="","",IF(SAISIE!$N53="","",SAISIE!$N53))</f>
        <v/>
      </c>
      <c r="G705" s="74" t="str">
        <f>IF(SAISIE!M53="","",SAISIE!M53)</f>
        <v/>
      </c>
      <c r="H705" s="76"/>
      <c r="I705" s="77"/>
      <c r="J705" s="78"/>
    </row>
    <row r="706" spans="1:15" x14ac:dyDescent="0.25">
      <c r="A706" s="63" t="str">
        <f>IF(AND(G706="",H706=""),"SUPPR",SAISIE!$B$3)</f>
        <v>SUPPR</v>
      </c>
      <c r="B706" s="64" t="str">
        <f>IF(SAISIE!B54="","",IF(LEN(SAISIE!B54)=1,CONCATENATE("0",SAISIE!B54,"/",SAISIE!$B$4,"/",SAISIE!$B$5),CONCATENATE(SAISIE!B54,"/",SAISIE!$B$4,"/",SAISIE!$B$5)))</f>
        <v/>
      </c>
      <c r="C706" s="64" t="str">
        <f>IF(SAISIE!B54="","",CONCATENATE($M$2,SAISIE!C54))</f>
        <v/>
      </c>
      <c r="D706" s="64" t="str">
        <f>IF(SAISIE!B54="","",SAISIE!E54)</f>
        <v/>
      </c>
      <c r="E706" s="64" t="str">
        <f>IF(SAISIE!B54="","",SAISIE!F54)</f>
        <v/>
      </c>
      <c r="F706" s="65" t="str">
        <f>IF(A706="SUPPR","",IF(SAISIE!$N54="","",SAISIE!$N54))</f>
        <v/>
      </c>
      <c r="G706" s="64"/>
      <c r="H706" s="64" t="str">
        <f>IF(SAISIE!B54="","",SAISIE!D54)</f>
        <v/>
      </c>
      <c r="I706" s="66"/>
      <c r="J706" s="67" t="str">
        <f>IF(AZ54="","","")</f>
        <v/>
      </c>
      <c r="O706" s="69">
        <f>O690+1</f>
        <v>54</v>
      </c>
    </row>
    <row r="707" spans="1:15" x14ac:dyDescent="0.25">
      <c r="A707" s="63" t="str">
        <f>IF(AND(G707="",H707=""),"SUPPR",SAISIE!$B$3)</f>
        <v>SUPPR</v>
      </c>
      <c r="B707" s="63" t="str">
        <f>IF(SAISIE!P54="","",IF(LEN(SAISIE!B54)=1,CONCATENATE("0",SAISIE!B54,"/",SAISIE!$B$4,"/",SAISIE!$B$5),CONCATENATE(SAISIE!B54,"/",SAISIE!$B$4,"/",SAISIE!$B$5)))</f>
        <v/>
      </c>
      <c r="C707" s="63" t="str">
        <f>IF(SAISIE!P54="","",SAISIE!O54)</f>
        <v/>
      </c>
      <c r="D707" s="63" t="str">
        <f>IF(SAISIE!P54="","",SAISIE!E54)</f>
        <v/>
      </c>
      <c r="E707" s="63" t="str">
        <f>IF(SAISIE!P54="","",SAISIE!F54)</f>
        <v/>
      </c>
      <c r="F707" s="70" t="str">
        <f>IF(SAISIE!$P54="","",IF(SAISIE!$N54="","",SAISIE!$N54))</f>
        <v/>
      </c>
      <c r="G707" s="63" t="str">
        <f>IF(SAISIE!P54="","",SAISIE!P54)</f>
        <v/>
      </c>
      <c r="H707" s="63"/>
      <c r="I707" s="63" t="str">
        <f>IF(SAISIE!$P54="","",SAISIE!$Q54)</f>
        <v/>
      </c>
      <c r="J707" s="71" t="str">
        <f>IF(COUNTBLANK(SAISIE!$J$6:$M$6)=4,"",IF(SAISIE!P54="","",IF(SAISIE!J54&gt;0,SAISIE!$J$6,IF(SAISIE!K54&gt;0,SAISIE!$K$6,IF(SAISIE!L54&gt;0,SAISIE!$L$6,IF(SAISIE!M54&gt;0,SAISIE!$M$6,""))))))</f>
        <v/>
      </c>
      <c r="O707" s="59" t="s">
        <v>50</v>
      </c>
    </row>
    <row r="708" spans="1:15" x14ac:dyDescent="0.25">
      <c r="A708" s="63" t="str">
        <f>IF(AND(G708="",H708=""),"SUPPR",SAISIE!$B$3)</f>
        <v>SUPPR</v>
      </c>
      <c r="B708" s="63" t="str">
        <f>IF(SAISIE!G54="","",IF(LEN(SAISIE!B54)=1,CONCATENATE("0",SAISIE!B54,"/",SAISIE!$B$4,"/",SAISIE!$B$5),CONCATENATE(SAISIE!B54,"/",SAISIE!$B$4,"/",SAISIE!$B$5)))</f>
        <v/>
      </c>
      <c r="C708" s="63" t="str">
        <f>IF(SAISIE!G54="","",SAISIE!$G$8)</f>
        <v/>
      </c>
      <c r="D708" s="63" t="str">
        <f>IF(SAISIE!G54="","",SAISIE!E54)</f>
        <v/>
      </c>
      <c r="E708" s="63" t="str">
        <f>IF(SAISIE!G54="","",SAISIE!F54)</f>
        <v/>
      </c>
      <c r="F708" s="70" t="str">
        <f>IF(SAISIE!$G54="","",IF(SAISIE!$N54="","",SAISIE!$N54))</f>
        <v/>
      </c>
      <c r="G708" s="63" t="str">
        <f>IF(SAISIE!G54="","",SAISIE!G54)</f>
        <v/>
      </c>
      <c r="H708" s="63"/>
      <c r="I708" s="63" t="str">
        <f>IF(SAISIE!$G54="","",SAISIE!$Q54)</f>
        <v/>
      </c>
      <c r="J708" s="71" t="str">
        <f>IF(COUNTBLANK(SAISIE!$J$6:$M$6)=4,"",IF(SAISIE!G54="","",IF(SAISIE!J54&gt;0,SAISIE!$J$6,IF(SAISIE!K54&gt;0,SAISIE!$K$6,IF(SAISIE!L54&gt;0,SAISIE!$L$6,IF(SAISIE!M54&gt;0,SAISIE!$M$6,""))))))</f>
        <v/>
      </c>
      <c r="O708" s="59" t="s">
        <v>51</v>
      </c>
    </row>
    <row r="709" spans="1:15" x14ac:dyDescent="0.25">
      <c r="A709" s="63" t="str">
        <f>IF(AND(G709="",H709=""),"SUPPR",SAISIE!$B$3)</f>
        <v>SUPPR</v>
      </c>
      <c r="B709" s="63" t="str">
        <f>IF(SAISIE!H54="","",IF(LEN(SAISIE!B54)=1,CONCATENATE("0",SAISIE!B54,"/",SAISIE!$B$4,"/",SAISIE!$B$5),CONCATENATE(SAISIE!B54,"/",SAISIE!$B$4,"/",SAISIE!$B$5)))</f>
        <v/>
      </c>
      <c r="C709" s="63" t="str">
        <f>IF(SAISIE!H54="","",SAISIE!$H$8)</f>
        <v/>
      </c>
      <c r="D709" s="63" t="str">
        <f>IF(SAISIE!H54="","",SAISIE!E54)</f>
        <v/>
      </c>
      <c r="E709" s="63" t="str">
        <f>IF(SAISIE!H54="","",SAISIE!F54)</f>
        <v/>
      </c>
      <c r="F709" s="70" t="str">
        <f>IF(SAISIE!$H54="","",IF(SAISIE!$N54="","",SAISIE!$N54))</f>
        <v/>
      </c>
      <c r="G709" s="63" t="str">
        <f>IF(SAISIE!H54="","",SAISIE!H54)</f>
        <v/>
      </c>
      <c r="H709" s="63"/>
      <c r="I709" s="63" t="str">
        <f>IF(SAISIE!$H54="","",SAISIE!$Q54)</f>
        <v/>
      </c>
      <c r="J709" s="71" t="str">
        <f>IF(COUNTBLANK(SAISIE!$J$6:$M$6)=4,"",IF(SAISIE!H54="","",IF(SAISIE!J54&gt;0,SAISIE!$J$6,IF(SAISIE!K54&gt;0,SAISIE!$K$6,IF(SAISIE!L54&gt;0,SAISIE!$L$6,IF(SAISIE!M54&gt;0,SAISIE!$M$6,""))))))</f>
        <v/>
      </c>
      <c r="O709" s="59" t="s">
        <v>52</v>
      </c>
    </row>
    <row r="710" spans="1:15" x14ac:dyDescent="0.25">
      <c r="A710" s="63" t="str">
        <f>IF(AND(G710="",H710=""),"SUPPR",SAISIE!$B$3)</f>
        <v>SUPPR</v>
      </c>
      <c r="B710" s="63" t="str">
        <f>IF(SAISIE!I54="","",IF(LEN(SAISIE!B54)=1,CONCATENATE("0",SAISIE!B54,"/",SAISIE!$B$4,"/",SAISIE!$B$5),CONCATENATE(SAISIE!B54,"/",SAISIE!$B$4,"/",SAISIE!$B$5)))</f>
        <v/>
      </c>
      <c r="C710" s="63" t="str">
        <f>IF(SAISIE!I54="","",SAISIE!$I$8)</f>
        <v/>
      </c>
      <c r="D710" s="63" t="str">
        <f>IF(SAISIE!I54="","",SAISIE!E54)</f>
        <v/>
      </c>
      <c r="E710" s="63" t="str">
        <f>IF(SAISIE!I54="","",SAISIE!F54)</f>
        <v/>
      </c>
      <c r="F710" s="70" t="str">
        <f>IF(SAISIE!$I54="","",IF(SAISIE!$N54="","",SAISIE!$N54))</f>
        <v/>
      </c>
      <c r="G710" s="63" t="str">
        <f>IF(SAISIE!I54="","",SAISIE!I54)</f>
        <v/>
      </c>
      <c r="H710" s="63"/>
      <c r="I710" s="63" t="str">
        <f>IF(SAISIE!$I54="","",SAISIE!$Q54)</f>
        <v/>
      </c>
      <c r="J710" s="71" t="str">
        <f>IF(COUNTBLANK(SAISIE!$J$6:$M$6)=4,"",IF(SAISIE!I54="","",IF(SAISIE!J54&gt;0,SAISIE!$J$6,IF(SAISIE!K54&gt;0,SAISIE!$K$6,IF(SAISIE!L54&gt;0,SAISIE!$L$6,IF(SAISIE!M54&gt;0,SAISIE!$M$6,""))))))</f>
        <v/>
      </c>
      <c r="O710" s="59" t="s">
        <v>53</v>
      </c>
    </row>
    <row r="711" spans="1:15" x14ac:dyDescent="0.25">
      <c r="A711" s="63" t="e">
        <f>IF(AND(G711="",H711=""),"SUPPR",SAISIE!$B$3)</f>
        <v>#REF!</v>
      </c>
      <c r="B711" s="63" t="e">
        <f>IF(SAISIE!#REF!="","",IF(LEN(SAISIE!B54)=1,CONCATENATE("0",SAISIE!B54,"/",SAISIE!$B$4,"/",SAISIE!$B$5),CONCATENATE(SAISIE!B54,"/",SAISIE!$B$4,"/",SAISIE!$B$5)))</f>
        <v>#REF!</v>
      </c>
      <c r="C711" s="63" t="e">
        <f>IF(SAISIE!#REF!="","",SAISIE!#REF!)</f>
        <v>#REF!</v>
      </c>
      <c r="D711" s="63" t="e">
        <f>IF(SAISIE!#REF!="","",SAISIE!E54)</f>
        <v>#REF!</v>
      </c>
      <c r="E711" s="63" t="e">
        <f>IF(SAISIE!#REF!="","",SAISIE!F54)</f>
        <v>#REF!</v>
      </c>
      <c r="F711" s="70" t="e">
        <f>IF(SAISIE!#REF!="","",IF(SAISIE!$N54="","",SAISIE!$N54))</f>
        <v>#REF!</v>
      </c>
      <c r="G711" s="63" t="e">
        <f>IF(SAISIE!#REF!="","",SAISIE!#REF!)</f>
        <v>#REF!</v>
      </c>
      <c r="H711" s="63"/>
      <c r="I711" s="63" t="e">
        <f>IF(SAISIE!#REF!="","",SAISIE!$Q54)</f>
        <v>#REF!</v>
      </c>
      <c r="J711" s="71" t="str">
        <f>IF(COUNTBLANK(SAISIE!$J$6:$M$6)=4,"",IF(SAISIE!#REF!="","",IF(SAISIE!J54&gt;0,SAISIE!$J$6,IF(SAISIE!K54&gt;0,SAISIE!$K$6,IF(SAISIE!L54&gt;0,SAISIE!$L$6,IF(SAISIE!M54&gt;0,SAISIE!$M$6,""))))))</f>
        <v/>
      </c>
      <c r="O711" s="59" t="s">
        <v>54</v>
      </c>
    </row>
    <row r="712" spans="1:15" x14ac:dyDescent="0.25">
      <c r="A712" s="63" t="e">
        <f>IF(AND(G712="",H712=""),"SUPPR",SAISIE!$B$3)</f>
        <v>#REF!</v>
      </c>
      <c r="B712" s="63" t="e">
        <f>IF(SAISIE!#REF!="","",IF(LEN(SAISIE!B54)=1,CONCATENATE("0",SAISIE!B54,"/",SAISIE!$B$4,"/",SAISIE!$B$5),CONCATENATE(SAISIE!B54,"/",SAISIE!$B$4,"/",SAISIE!$B$5)))</f>
        <v>#REF!</v>
      </c>
      <c r="C712" s="63" t="e">
        <f>IF(SAISIE!#REF!="","",SAISIE!#REF!)</f>
        <v>#REF!</v>
      </c>
      <c r="D712" s="63" t="e">
        <f>IF(SAISIE!#REF!="","",SAISIE!E54)</f>
        <v>#REF!</v>
      </c>
      <c r="E712" s="63" t="e">
        <f>IF(SAISIE!#REF!="","",SAISIE!F54)</f>
        <v>#REF!</v>
      </c>
      <c r="F712" s="70" t="e">
        <f>IF(SAISIE!#REF!="","",IF(SAISIE!$N54="","",SAISIE!$N54))</f>
        <v>#REF!</v>
      </c>
      <c r="G712" s="63" t="e">
        <f>IF(SAISIE!#REF!="","",SAISIE!#REF!)</f>
        <v>#REF!</v>
      </c>
      <c r="H712" s="63"/>
      <c r="I712" s="63" t="e">
        <f>IF(SAISIE!#REF!="","",SAISIE!$Q54)</f>
        <v>#REF!</v>
      </c>
      <c r="J712" s="71" t="str">
        <f>IF(COUNTBLANK(SAISIE!$J$6:$M$6)=4,"",IF(SAISIE!#REF!="","",IF(SAISIE!J54&gt;0,SAISIE!$J$6,IF(SAISIE!K54&gt;0,SAISIE!$K$6,IF(SAISIE!L54&gt;0,SAISIE!$L$6,IF(SAISIE!M54&gt;0,SAISIE!$M$6,""))))))</f>
        <v/>
      </c>
      <c r="O712" s="59" t="s">
        <v>55</v>
      </c>
    </row>
    <row r="713" spans="1:15" x14ac:dyDescent="0.25">
      <c r="A713" s="63" t="e">
        <f>IF(AND(G713="",H713=""),"SUPPR",SAISIE!$B$3)</f>
        <v>#REF!</v>
      </c>
      <c r="B713" s="63" t="e">
        <f>IF(SAISIE!#REF!="","",IF(LEN(SAISIE!B54)=1,CONCATENATE("0",SAISIE!B54,"/",SAISIE!$B$4,"/",SAISIE!$B$5),CONCATENATE(SAISIE!B54,"/",SAISIE!$B$4,"/",SAISIE!$B$5)))</f>
        <v>#REF!</v>
      </c>
      <c r="C713" s="63" t="e">
        <f>IF(SAISIE!#REF!="","",SAISIE!#REF!)</f>
        <v>#REF!</v>
      </c>
      <c r="D713" s="63" t="e">
        <f>IF(SAISIE!#REF!="","",SAISIE!E54)</f>
        <v>#REF!</v>
      </c>
      <c r="E713" s="63" t="e">
        <f>IF(SAISIE!#REF!="","",SAISIE!F54)</f>
        <v>#REF!</v>
      </c>
      <c r="F713" s="70" t="e">
        <f>IF(SAISIE!#REF!="","",IF(SAISIE!$N54="","",SAISIE!$N54))</f>
        <v>#REF!</v>
      </c>
      <c r="G713" s="63" t="e">
        <f>IF(SAISIE!#REF!="","",SAISIE!#REF!)</f>
        <v>#REF!</v>
      </c>
      <c r="H713" s="63"/>
      <c r="I713" s="63" t="e">
        <f>IF(SAISIE!#REF!="","",SAISIE!$Q54)</f>
        <v>#REF!</v>
      </c>
      <c r="J713" s="71" t="str">
        <f>IF(COUNTBLANK(SAISIE!$J$6:$M$6)=4,"",IF(SAISIE!#REF!="","",IF(SAISIE!J54&gt;0,SAISIE!$J$6,IF(SAISIE!K54&gt;0,SAISIE!$K$6,IF(SAISIE!L54&gt;0,SAISIE!$L$6,IF(SAISIE!M54&gt;0,SAISIE!$M$6,""))))))</f>
        <v/>
      </c>
      <c r="O713" s="59" t="s">
        <v>56</v>
      </c>
    </row>
    <row r="714" spans="1:15" x14ac:dyDescent="0.25">
      <c r="A714" s="63" t="e">
        <f>IF(AND(G714="",H714=""),"SUPPR",SAISIE!$B$3)</f>
        <v>#REF!</v>
      </c>
      <c r="B714" s="63" t="e">
        <f>IF(SAISIE!#REF!="","",IF(LEN(SAISIE!B54)=1,CONCATENATE("0",SAISIE!B54,"/",SAISIE!$B$4,"/",SAISIE!$B$5),CONCATENATE(SAISIE!B54,"/",SAISIE!$B$4,"/",SAISIE!$B$5)))</f>
        <v>#REF!</v>
      </c>
      <c r="C714" s="63" t="e">
        <f>IF(SAISIE!#REF!="","",SAISIE!#REF!)</f>
        <v>#REF!</v>
      </c>
      <c r="D714" s="63" t="e">
        <f>IF(SAISIE!#REF!="","",SAISIE!E54)</f>
        <v>#REF!</v>
      </c>
      <c r="E714" s="63" t="e">
        <f>IF(SAISIE!#REF!="","",SAISIE!F54)</f>
        <v>#REF!</v>
      </c>
      <c r="F714" s="70" t="e">
        <f>IF(SAISIE!#REF!="","",IF(SAISIE!$N54="","",SAISIE!$N54))</f>
        <v>#REF!</v>
      </c>
      <c r="G714" s="63" t="e">
        <f>IF(SAISIE!#REF!="","",SAISIE!#REF!)</f>
        <v>#REF!</v>
      </c>
      <c r="H714" s="63"/>
      <c r="I714" s="63" t="e">
        <f>IF(SAISIE!#REF!="","",SAISIE!$Q54)</f>
        <v>#REF!</v>
      </c>
      <c r="J714" s="71" t="str">
        <f>IF(COUNTBLANK(SAISIE!$J$6:$M$6)=4,"",IF(SAISIE!#REF!="","",IF(SAISIE!J54&gt;0,SAISIE!$J$6,IF(SAISIE!K54&gt;0,SAISIE!$K$6,IF(SAISIE!L54&gt;0,SAISIE!$L$6,IF(SAISIE!M54&gt;0,SAISIE!$M$6,""))))))</f>
        <v/>
      </c>
      <c r="O714" s="59" t="s">
        <v>57</v>
      </c>
    </row>
    <row r="715" spans="1:15" x14ac:dyDescent="0.25">
      <c r="A715" s="63" t="e">
        <f>IF(AND(G715="",H715=""),"SUPPR",SAISIE!$B$3)</f>
        <v>#REF!</v>
      </c>
      <c r="B715" s="63" t="e">
        <f>IF(SAISIE!#REF!="","",IF(LEN(SAISIE!B54)=1,CONCATENATE("0",SAISIE!B54,"/",SAISIE!$B$4,"/",SAISIE!$B$5),CONCATENATE(SAISIE!B54,"/",SAISIE!$B$4,"/",SAISIE!$B$5)))</f>
        <v>#REF!</v>
      </c>
      <c r="C715" s="63" t="e">
        <f>IF(SAISIE!#REF!="","",SAISIE!#REF!)</f>
        <v>#REF!</v>
      </c>
      <c r="D715" s="63" t="e">
        <f>IF(SAISIE!#REF!="","",SAISIE!E54)</f>
        <v>#REF!</v>
      </c>
      <c r="E715" s="63" t="e">
        <f>IF(SAISIE!#REF!="","",SAISIE!F54)</f>
        <v>#REF!</v>
      </c>
      <c r="F715" s="70" t="e">
        <f>IF(SAISIE!#REF!="","",IF(SAISIE!$N54="","",SAISIE!$N54))</f>
        <v>#REF!</v>
      </c>
      <c r="G715" s="63" t="e">
        <f>IF(SAISIE!#REF!="","",SAISIE!#REF!)</f>
        <v>#REF!</v>
      </c>
      <c r="H715" s="63"/>
      <c r="I715" s="63" t="e">
        <f>IF(SAISIE!#REF!="","",SAISIE!$Q54)</f>
        <v>#REF!</v>
      </c>
      <c r="J715" s="71" t="str">
        <f>IF(COUNTBLANK(SAISIE!$J$6:$M$6)=4,"",IF(SAISIE!#REF!="","",IF(SAISIE!J54&gt;0,SAISIE!$J$6,IF(SAISIE!K54&gt;0,SAISIE!$K$6,IF(SAISIE!L54&gt;0,SAISIE!$L$6,IF(SAISIE!M54&gt;0,SAISIE!$M$6,""))))))</f>
        <v/>
      </c>
      <c r="O715" s="59" t="s">
        <v>58</v>
      </c>
    </row>
    <row r="716" spans="1:15" x14ac:dyDescent="0.25">
      <c r="A716" s="63" t="e">
        <f>IF(AND(G716="",H716=""),"SUPPR",SAISIE!$B$3)</f>
        <v>#REF!</v>
      </c>
      <c r="B716" s="63" t="e">
        <f>IF(SAISIE!#REF!="","",IF(LEN(SAISIE!B54)=1,CONCATENATE("0",SAISIE!B54,"/",SAISIE!$B$4,"/",SAISIE!$B$5),CONCATENATE(SAISIE!B54,"/",SAISIE!$B$4,"/",SAISIE!$B$5)))</f>
        <v>#REF!</v>
      </c>
      <c r="C716" s="63" t="e">
        <f>IF(SAISIE!#REF!="","",SAISIE!#REF!)</f>
        <v>#REF!</v>
      </c>
      <c r="D716" s="63" t="e">
        <f>IF(SAISIE!#REF!="","",SAISIE!E54)</f>
        <v>#REF!</v>
      </c>
      <c r="E716" s="63" t="e">
        <f>IF(SAISIE!#REF!="","",SAISIE!F54)</f>
        <v>#REF!</v>
      </c>
      <c r="F716" s="70" t="e">
        <f>IF(SAISIE!#REF!="","",IF(SAISIE!$N54="","",SAISIE!$N54))</f>
        <v>#REF!</v>
      </c>
      <c r="G716" s="63" t="e">
        <f>IF(SAISIE!#REF!="","",SAISIE!#REF!)</f>
        <v>#REF!</v>
      </c>
      <c r="H716" s="63"/>
      <c r="I716" s="63" t="e">
        <f>IF(SAISIE!#REF!="","",SAISIE!$Q54)</f>
        <v>#REF!</v>
      </c>
      <c r="J716" s="71" t="str">
        <f>IF(COUNTBLANK(SAISIE!$J$6:$M$6)=4,"",IF(SAISIE!#REF!="","",IF(SAISIE!J54&gt;0,SAISIE!$J$6,IF(SAISIE!K54&gt;0,SAISIE!$K$6,IF(SAISIE!L54&gt;0,SAISIE!$L$6,IF(SAISIE!M54&gt;0,SAISIE!$M$6,""))))))</f>
        <v/>
      </c>
      <c r="O716" s="59" t="s">
        <v>59</v>
      </c>
    </row>
    <row r="717" spans="1:15" x14ac:dyDescent="0.25">
      <c r="A717" s="63" t="e">
        <f>IF(AND(G717="",H717=""),"SUPPR",SAISIE!$B$3)</f>
        <v>#REF!</v>
      </c>
      <c r="B717" s="63" t="e">
        <f>IF(SAISIE!#REF!="","",IF(LEN(SAISIE!B54)=1,CONCATENATE("0",SAISIE!B54,"/",SAISIE!$B$4,"/",SAISIE!$B$5),CONCATENATE(SAISIE!B54,"/",SAISIE!$B$4,"/",SAISIE!$B$5)))</f>
        <v>#REF!</v>
      </c>
      <c r="C717" s="63" t="e">
        <f>IF(SAISIE!#REF!="","",SAISIE!#REF!)</f>
        <v>#REF!</v>
      </c>
      <c r="D717" s="63" t="e">
        <f>IF(SAISIE!#REF!="","",SAISIE!E54)</f>
        <v>#REF!</v>
      </c>
      <c r="E717" s="63" t="e">
        <f>IF(SAISIE!#REF!="","",SAISIE!F54)</f>
        <v>#REF!</v>
      </c>
      <c r="F717" s="70" t="e">
        <f>IF(SAISIE!#REF!="","",IF(SAISIE!$N54="","",SAISIE!$N54))</f>
        <v>#REF!</v>
      </c>
      <c r="G717" s="63" t="e">
        <f>IF(SAISIE!#REF!="","",SAISIE!#REF!)</f>
        <v>#REF!</v>
      </c>
      <c r="H717" s="63"/>
      <c r="I717" s="63" t="e">
        <f>IF(SAISIE!#REF!="","",SAISIE!$Q54)</f>
        <v>#REF!</v>
      </c>
      <c r="J717" s="71" t="str">
        <f>IF(COUNTBLANK(SAISIE!$J$6:$M$6)=4,"",IF(SAISIE!#REF!="","",IF(SAISIE!J54&gt;0,SAISIE!$J$6,IF(SAISIE!K54&gt;0,SAISIE!$K$6,IF(SAISIE!L54&gt;0,SAISIE!$L$6,IF(SAISIE!M54&gt;0,SAISIE!$M$6,""))))))</f>
        <v/>
      </c>
      <c r="O717" s="59" t="s">
        <v>60</v>
      </c>
    </row>
    <row r="718" spans="1:15" x14ac:dyDescent="0.25">
      <c r="A718" s="63" t="str">
        <f>IF(AND(G718="",H718=""),"SUPPR",SAISIE!$B$3)</f>
        <v>SUPPR</v>
      </c>
      <c r="B718" s="63" t="str">
        <f>IF(SAISIE!J54="","",IF(LEN(SAISIE!B54)=1,CONCATENATE("0",SAISIE!B54,"/",SAISIE!$B$4,"/",SAISIE!$B$5),CONCATENATE(SAISIE!B54,"/",SAISIE!$B$4,"/",SAISIE!$B$5)))</f>
        <v/>
      </c>
      <c r="C718" s="63" t="str">
        <f>IF(SAISIE!J54="","",SAISIE!$J$8)</f>
        <v/>
      </c>
      <c r="D718" s="63" t="str">
        <f>IF(SAISIE!J54="","",SAISIE!E54)</f>
        <v/>
      </c>
      <c r="E718" s="63" t="str">
        <f>IF(SAISIE!J54="","",SAISIE!F54)</f>
        <v/>
      </c>
      <c r="F718" s="70" t="str">
        <f>IF(SAISIE!$J54="","",IF(SAISIE!$N54="","",SAISIE!$N54))</f>
        <v/>
      </c>
      <c r="G718" s="63" t="str">
        <f>IF(SAISIE!J54="","",SAISIE!J54)</f>
        <v/>
      </c>
      <c r="H718" s="63"/>
      <c r="I718" s="72"/>
      <c r="J718" s="71"/>
      <c r="O718" s="73"/>
    </row>
    <row r="719" spans="1:15" x14ac:dyDescent="0.25">
      <c r="A719" s="63" t="str">
        <f>IF(AND(G719="",H719=""),"SUPPR",SAISIE!$B$3)</f>
        <v>SUPPR</v>
      </c>
      <c r="B719" s="63" t="str">
        <f>IF(SAISIE!K54="","",IF(LEN(SAISIE!B54)=1,CONCATENATE("0",SAISIE!B54,"/",SAISIE!$B$4,"/",SAISIE!$B$5),CONCATENATE(SAISIE!B54,"/",SAISIE!$B$4,"/",SAISIE!$B$5)))</f>
        <v/>
      </c>
      <c r="C719" s="63" t="str">
        <f>IF(SAISIE!K54="","",SAISIE!$K$8)</f>
        <v/>
      </c>
      <c r="D719" s="63" t="str">
        <f>IF(SAISIE!K54="","",SAISIE!E54)</f>
        <v/>
      </c>
      <c r="E719" s="63" t="str">
        <f>IF(SAISIE!K54="","",SAISIE!F54)</f>
        <v/>
      </c>
      <c r="F719" s="70" t="str">
        <f>IF(SAISIE!$K54="","",IF(SAISIE!$N54="","",SAISIE!$N54))</f>
        <v/>
      </c>
      <c r="G719" s="63" t="str">
        <f>IF(SAISIE!K54="","",SAISIE!K54)</f>
        <v/>
      </c>
      <c r="H719" s="63"/>
      <c r="I719" s="72"/>
      <c r="J719" s="71"/>
    </row>
    <row r="720" spans="1:15" x14ac:dyDescent="0.25">
      <c r="A720" s="63" t="str">
        <f>IF(AND(G720="",H720=""),"SUPPR",SAISIE!$B$3)</f>
        <v>SUPPR</v>
      </c>
      <c r="B720" s="63" t="str">
        <f>IF(SAISIE!L54="","",IF(LEN(SAISIE!B54)=1,CONCATENATE("0",SAISIE!B54,"/",SAISIE!$B$4,"/",SAISIE!$B$5),CONCATENATE(SAISIE!B54,"/",SAISIE!$B$4,"/",SAISIE!$B$5)))</f>
        <v/>
      </c>
      <c r="C720" s="63" t="str">
        <f>IF(SAISIE!L54="","",SAISIE!$L$8)</f>
        <v/>
      </c>
      <c r="D720" s="63" t="str">
        <f>IF(SAISIE!L54="","",SAISIE!E54)</f>
        <v/>
      </c>
      <c r="E720" s="63" t="str">
        <f>IF(SAISIE!L54="","",SAISIE!F54)</f>
        <v/>
      </c>
      <c r="F720" s="70" t="str">
        <f>IF(SAISIE!$L54="","",IF(SAISIE!$N54="","",SAISIE!$N54))</f>
        <v/>
      </c>
      <c r="G720" s="63" t="str">
        <f>IF(SAISIE!L54="","",SAISIE!L54)</f>
        <v/>
      </c>
      <c r="H720" s="63"/>
      <c r="I720" s="72"/>
      <c r="J720" s="71"/>
    </row>
    <row r="721" spans="1:15" x14ac:dyDescent="0.25">
      <c r="A721" s="63" t="str">
        <f>IF(AND(G721="",H721=""),"SUPPR",SAISIE!$B$3)</f>
        <v>SUPPR</v>
      </c>
      <c r="B721" s="63" t="str">
        <f>IF(SAISIE!M54="","",IF(LEN(SAISIE!B54)=1,CONCATENATE("0",SAISIE!B54,"/",SAISIE!$B$4,"/",SAISIE!$B$5),CONCATENATE(SAISIE!B54,"/",SAISIE!$B$4,"/",SAISIE!$B$5)))</f>
        <v/>
      </c>
      <c r="C721" s="74" t="str">
        <f>IF(SAISIE!M54="","",SAISIE!$M$8)</f>
        <v/>
      </c>
      <c r="D721" s="74" t="str">
        <f>IF(SAISIE!M54="","",SAISIE!E54)</f>
        <v/>
      </c>
      <c r="E721" s="74" t="str">
        <f>IF(SAISIE!M54="","",SAISIE!F54)</f>
        <v/>
      </c>
      <c r="F721" s="75" t="str">
        <f>IF(SAISIE!$M54="","",IF(SAISIE!$N54="","",SAISIE!$N54))</f>
        <v/>
      </c>
      <c r="G721" s="74" t="str">
        <f>IF(SAISIE!M54="","",SAISIE!M54)</f>
        <v/>
      </c>
      <c r="H721" s="76"/>
      <c r="I721" s="77"/>
      <c r="J721" s="78"/>
    </row>
    <row r="722" spans="1:15" x14ac:dyDescent="0.25">
      <c r="A722" s="63" t="str">
        <f>IF(AND(G722="",H722=""),"SUPPR",SAISIE!$B$3)</f>
        <v>SUPPR</v>
      </c>
      <c r="B722" s="64" t="str">
        <f>IF(SAISIE!B55="","",IF(LEN(SAISIE!B55)=1,CONCATENATE("0",SAISIE!B55,"/",SAISIE!$B$4,"/",SAISIE!$B$5),CONCATENATE(SAISIE!B55,"/",SAISIE!$B$4,"/",SAISIE!$B$5)))</f>
        <v/>
      </c>
      <c r="C722" s="64" t="str">
        <f>IF(SAISIE!B55="","",CONCATENATE($M$2,SAISIE!C55))</f>
        <v/>
      </c>
      <c r="D722" s="64" t="str">
        <f>IF(SAISIE!B55="","",SAISIE!E55)</f>
        <v/>
      </c>
      <c r="E722" s="64" t="str">
        <f>IF(SAISIE!B55="","",SAISIE!F55)</f>
        <v/>
      </c>
      <c r="F722" s="65" t="str">
        <f>IF(A722="SUPPR","",IF(SAISIE!$N55="","",SAISIE!$N55))</f>
        <v/>
      </c>
      <c r="G722" s="64"/>
      <c r="H722" s="64" t="str">
        <f>IF(SAISIE!B55="","",SAISIE!D55)</f>
        <v/>
      </c>
      <c r="I722" s="66"/>
      <c r="J722" s="67" t="str">
        <f>IF(AZ55="","","")</f>
        <v/>
      </c>
      <c r="O722" s="69">
        <f>O706+1</f>
        <v>55</v>
      </c>
    </row>
    <row r="723" spans="1:15" x14ac:dyDescent="0.25">
      <c r="A723" s="63" t="str">
        <f>IF(AND(G723="",H723=""),"SUPPR",SAISIE!$B$3)</f>
        <v>SUPPR</v>
      </c>
      <c r="B723" s="63" t="str">
        <f>IF(SAISIE!P55="","",IF(LEN(SAISIE!B55)=1,CONCATENATE("0",SAISIE!B55,"/",SAISIE!$B$4,"/",SAISIE!$B$5),CONCATENATE(SAISIE!B55,"/",SAISIE!$B$4,"/",SAISIE!$B$5)))</f>
        <v/>
      </c>
      <c r="C723" s="63" t="str">
        <f>IF(SAISIE!P55="","",SAISIE!O55)</f>
        <v/>
      </c>
      <c r="D723" s="63" t="str">
        <f>IF(SAISIE!P55="","",SAISIE!E55)</f>
        <v/>
      </c>
      <c r="E723" s="63" t="str">
        <f>IF(SAISIE!P55="","",SAISIE!F55)</f>
        <v/>
      </c>
      <c r="F723" s="70" t="str">
        <f>IF(SAISIE!$P55="","",IF(SAISIE!$N55="","",SAISIE!$N55))</f>
        <v/>
      </c>
      <c r="G723" s="63" t="str">
        <f>IF(SAISIE!P55="","",SAISIE!P55)</f>
        <v/>
      </c>
      <c r="H723" s="63"/>
      <c r="I723" s="63" t="str">
        <f>IF(SAISIE!$P55="","",SAISIE!$Q55)</f>
        <v/>
      </c>
      <c r="J723" s="71" t="str">
        <f>IF(COUNTBLANK(SAISIE!$J$6:$M$6)=4,"",IF(SAISIE!P55="","",IF(SAISIE!J55&gt;0,SAISIE!$J$6,IF(SAISIE!K55&gt;0,SAISIE!$K$6,IF(SAISIE!L55&gt;0,SAISIE!$L$6,IF(SAISIE!M55&gt;0,SAISIE!$M$6,""))))))</f>
        <v/>
      </c>
      <c r="O723" s="59" t="s">
        <v>50</v>
      </c>
    </row>
    <row r="724" spans="1:15" x14ac:dyDescent="0.25">
      <c r="A724" s="63" t="str">
        <f>IF(AND(G724="",H724=""),"SUPPR",SAISIE!$B$3)</f>
        <v>SUPPR</v>
      </c>
      <c r="B724" s="63" t="str">
        <f>IF(SAISIE!G55="","",IF(LEN(SAISIE!B55)=1,CONCATENATE("0",SAISIE!B55,"/",SAISIE!$B$4,"/",SAISIE!$B$5),CONCATENATE(SAISIE!B55,"/",SAISIE!$B$4,"/",SAISIE!$B$5)))</f>
        <v/>
      </c>
      <c r="C724" s="63" t="str">
        <f>IF(SAISIE!G55="","",SAISIE!$G$8)</f>
        <v/>
      </c>
      <c r="D724" s="63" t="str">
        <f>IF(SAISIE!G55="","",SAISIE!E55)</f>
        <v/>
      </c>
      <c r="E724" s="63" t="str">
        <f>IF(SAISIE!G55="","",SAISIE!F55)</f>
        <v/>
      </c>
      <c r="F724" s="70" t="str">
        <f>IF(SAISIE!$G55="","",IF(SAISIE!$N55="","",SAISIE!$N55))</f>
        <v/>
      </c>
      <c r="G724" s="63" t="str">
        <f>IF(SAISIE!G55="","",SAISIE!G55)</f>
        <v/>
      </c>
      <c r="H724" s="63"/>
      <c r="I724" s="63" t="str">
        <f>IF(SAISIE!$G55="","",SAISIE!$Q55)</f>
        <v/>
      </c>
      <c r="J724" s="71" t="str">
        <f>IF(COUNTBLANK(SAISIE!$J$6:$M$6)=4,"",IF(SAISIE!G55="","",IF(SAISIE!J55&gt;0,SAISIE!$J$6,IF(SAISIE!K55&gt;0,SAISIE!$K$6,IF(SAISIE!L55&gt;0,SAISIE!$L$6,IF(SAISIE!M55&gt;0,SAISIE!$M$6,""))))))</f>
        <v/>
      </c>
      <c r="O724" s="59" t="s">
        <v>51</v>
      </c>
    </row>
    <row r="725" spans="1:15" x14ac:dyDescent="0.25">
      <c r="A725" s="63" t="str">
        <f>IF(AND(G725="",H725=""),"SUPPR",SAISIE!$B$3)</f>
        <v>SUPPR</v>
      </c>
      <c r="B725" s="63" t="str">
        <f>IF(SAISIE!H55="","",IF(LEN(SAISIE!B55)=1,CONCATENATE("0",SAISIE!B55,"/",SAISIE!$B$4,"/",SAISIE!$B$5),CONCATENATE(SAISIE!B55,"/",SAISIE!$B$4,"/",SAISIE!$B$5)))</f>
        <v/>
      </c>
      <c r="C725" s="63" t="str">
        <f>IF(SAISIE!H55="","",SAISIE!$H$8)</f>
        <v/>
      </c>
      <c r="D725" s="63" t="str">
        <f>IF(SAISIE!H55="","",SAISIE!E55)</f>
        <v/>
      </c>
      <c r="E725" s="63" t="str">
        <f>IF(SAISIE!H55="","",SAISIE!F55)</f>
        <v/>
      </c>
      <c r="F725" s="70" t="str">
        <f>IF(SAISIE!$H55="","",IF(SAISIE!$N55="","",SAISIE!$N55))</f>
        <v/>
      </c>
      <c r="G725" s="63" t="str">
        <f>IF(SAISIE!H55="","",SAISIE!H55)</f>
        <v/>
      </c>
      <c r="H725" s="63"/>
      <c r="I725" s="63" t="str">
        <f>IF(SAISIE!$H55="","",SAISIE!$Q55)</f>
        <v/>
      </c>
      <c r="J725" s="71" t="str">
        <f>IF(COUNTBLANK(SAISIE!$J$6:$M$6)=4,"",IF(SAISIE!H55="","",IF(SAISIE!J55&gt;0,SAISIE!$J$6,IF(SAISIE!K55&gt;0,SAISIE!$K$6,IF(SAISIE!L55&gt;0,SAISIE!$L$6,IF(SAISIE!M55&gt;0,SAISIE!$M$6,""))))))</f>
        <v/>
      </c>
      <c r="O725" s="59" t="s">
        <v>52</v>
      </c>
    </row>
    <row r="726" spans="1:15" x14ac:dyDescent="0.25">
      <c r="A726" s="63" t="str">
        <f>IF(AND(G726="",H726=""),"SUPPR",SAISIE!$B$3)</f>
        <v>SUPPR</v>
      </c>
      <c r="B726" s="63" t="str">
        <f>IF(SAISIE!I55="","",IF(LEN(SAISIE!B55)=1,CONCATENATE("0",SAISIE!B55,"/",SAISIE!$B$4,"/",SAISIE!$B$5),CONCATENATE(SAISIE!B55,"/",SAISIE!$B$4,"/",SAISIE!$B$5)))</f>
        <v/>
      </c>
      <c r="C726" s="63" t="str">
        <f>IF(SAISIE!I55="","",SAISIE!$I$8)</f>
        <v/>
      </c>
      <c r="D726" s="63" t="str">
        <f>IF(SAISIE!I55="","",SAISIE!E55)</f>
        <v/>
      </c>
      <c r="E726" s="63" t="str">
        <f>IF(SAISIE!I55="","",SAISIE!F55)</f>
        <v/>
      </c>
      <c r="F726" s="70" t="str">
        <f>IF(SAISIE!$I55="","",IF(SAISIE!$N55="","",SAISIE!$N55))</f>
        <v/>
      </c>
      <c r="G726" s="63" t="str">
        <f>IF(SAISIE!I55="","",SAISIE!I55)</f>
        <v/>
      </c>
      <c r="H726" s="63"/>
      <c r="I726" s="63" t="str">
        <f>IF(SAISIE!$I55="","",SAISIE!$Q55)</f>
        <v/>
      </c>
      <c r="J726" s="71" t="str">
        <f>IF(COUNTBLANK(SAISIE!$J$6:$M$6)=4,"",IF(SAISIE!I55="","",IF(SAISIE!J55&gt;0,SAISIE!$J$6,IF(SAISIE!K55&gt;0,SAISIE!$K$6,IF(SAISIE!L55&gt;0,SAISIE!$L$6,IF(SAISIE!M55&gt;0,SAISIE!$M$6,""))))))</f>
        <v/>
      </c>
      <c r="O726" s="59" t="s">
        <v>53</v>
      </c>
    </row>
    <row r="727" spans="1:15" x14ac:dyDescent="0.25">
      <c r="A727" s="63" t="e">
        <f>IF(AND(G727="",H727=""),"SUPPR",SAISIE!$B$3)</f>
        <v>#REF!</v>
      </c>
      <c r="B727" s="63" t="e">
        <f>IF(SAISIE!#REF!="","",IF(LEN(SAISIE!B55)=1,CONCATENATE("0",SAISIE!B55,"/",SAISIE!$B$4,"/",SAISIE!$B$5),CONCATENATE(SAISIE!B55,"/",SAISIE!$B$4,"/",SAISIE!$B$5)))</f>
        <v>#REF!</v>
      </c>
      <c r="C727" s="63" t="e">
        <f>IF(SAISIE!#REF!="","",SAISIE!#REF!)</f>
        <v>#REF!</v>
      </c>
      <c r="D727" s="63" t="e">
        <f>IF(SAISIE!#REF!="","",SAISIE!E55)</f>
        <v>#REF!</v>
      </c>
      <c r="E727" s="63" t="e">
        <f>IF(SAISIE!#REF!="","",SAISIE!F55)</f>
        <v>#REF!</v>
      </c>
      <c r="F727" s="70" t="e">
        <f>IF(SAISIE!#REF!="","",IF(SAISIE!$N55="","",SAISIE!$N55))</f>
        <v>#REF!</v>
      </c>
      <c r="G727" s="63" t="e">
        <f>IF(SAISIE!#REF!="","",SAISIE!#REF!)</f>
        <v>#REF!</v>
      </c>
      <c r="H727" s="63"/>
      <c r="I727" s="63" t="e">
        <f>IF(SAISIE!#REF!="","",SAISIE!$Q55)</f>
        <v>#REF!</v>
      </c>
      <c r="J727" s="71" t="str">
        <f>IF(COUNTBLANK(SAISIE!$J$6:$M$6)=4,"",IF(SAISIE!#REF!="","",IF(SAISIE!J55&gt;0,SAISIE!$J$6,IF(SAISIE!K55&gt;0,SAISIE!$K$6,IF(SAISIE!L55&gt;0,SAISIE!$L$6,IF(SAISIE!M55&gt;0,SAISIE!$M$6,""))))))</f>
        <v/>
      </c>
      <c r="O727" s="59" t="s">
        <v>54</v>
      </c>
    </row>
    <row r="728" spans="1:15" x14ac:dyDescent="0.25">
      <c r="A728" s="63" t="e">
        <f>IF(AND(G728="",H728=""),"SUPPR",SAISIE!$B$3)</f>
        <v>#REF!</v>
      </c>
      <c r="B728" s="63" t="e">
        <f>IF(SAISIE!#REF!="","",IF(LEN(SAISIE!B55)=1,CONCATENATE("0",SAISIE!B55,"/",SAISIE!$B$4,"/",SAISIE!$B$5),CONCATENATE(SAISIE!B55,"/",SAISIE!$B$4,"/",SAISIE!$B$5)))</f>
        <v>#REF!</v>
      </c>
      <c r="C728" s="63" t="e">
        <f>IF(SAISIE!#REF!="","",SAISIE!#REF!)</f>
        <v>#REF!</v>
      </c>
      <c r="D728" s="63" t="e">
        <f>IF(SAISIE!#REF!="","",SAISIE!E55)</f>
        <v>#REF!</v>
      </c>
      <c r="E728" s="63" t="e">
        <f>IF(SAISIE!#REF!="","",SAISIE!F55)</f>
        <v>#REF!</v>
      </c>
      <c r="F728" s="70" t="e">
        <f>IF(SAISIE!#REF!="","",IF(SAISIE!$N55="","",SAISIE!$N55))</f>
        <v>#REF!</v>
      </c>
      <c r="G728" s="63" t="e">
        <f>IF(SAISIE!#REF!="","",SAISIE!#REF!)</f>
        <v>#REF!</v>
      </c>
      <c r="H728" s="63"/>
      <c r="I728" s="63" t="e">
        <f>IF(SAISIE!#REF!="","",SAISIE!$Q55)</f>
        <v>#REF!</v>
      </c>
      <c r="J728" s="71" t="str">
        <f>IF(COUNTBLANK(SAISIE!$J$6:$M$6)=4,"",IF(SAISIE!#REF!="","",IF(SAISIE!J55&gt;0,SAISIE!$J$6,IF(SAISIE!K55&gt;0,SAISIE!$K$6,IF(SAISIE!L55&gt;0,SAISIE!$L$6,IF(SAISIE!M55&gt;0,SAISIE!$M$6,""))))))</f>
        <v/>
      </c>
      <c r="O728" s="59" t="s">
        <v>55</v>
      </c>
    </row>
    <row r="729" spans="1:15" x14ac:dyDescent="0.25">
      <c r="A729" s="63" t="e">
        <f>IF(AND(G729="",H729=""),"SUPPR",SAISIE!$B$3)</f>
        <v>#REF!</v>
      </c>
      <c r="B729" s="63" t="e">
        <f>IF(SAISIE!#REF!="","",IF(LEN(SAISIE!B55)=1,CONCATENATE("0",SAISIE!B55,"/",SAISIE!$B$4,"/",SAISIE!$B$5),CONCATENATE(SAISIE!B55,"/",SAISIE!$B$4,"/",SAISIE!$B$5)))</f>
        <v>#REF!</v>
      </c>
      <c r="C729" s="63" t="e">
        <f>IF(SAISIE!#REF!="","",SAISIE!#REF!)</f>
        <v>#REF!</v>
      </c>
      <c r="D729" s="63" t="e">
        <f>IF(SAISIE!#REF!="","",SAISIE!E55)</f>
        <v>#REF!</v>
      </c>
      <c r="E729" s="63" t="e">
        <f>IF(SAISIE!#REF!="","",SAISIE!F55)</f>
        <v>#REF!</v>
      </c>
      <c r="F729" s="70" t="e">
        <f>IF(SAISIE!#REF!="","",IF(SAISIE!$N55="","",SAISIE!$N55))</f>
        <v>#REF!</v>
      </c>
      <c r="G729" s="63" t="e">
        <f>IF(SAISIE!#REF!="","",SAISIE!#REF!)</f>
        <v>#REF!</v>
      </c>
      <c r="H729" s="63"/>
      <c r="I729" s="63" t="e">
        <f>IF(SAISIE!#REF!="","",SAISIE!$Q55)</f>
        <v>#REF!</v>
      </c>
      <c r="J729" s="71" t="str">
        <f>IF(COUNTBLANK(SAISIE!$J$6:$M$6)=4,"",IF(SAISIE!#REF!="","",IF(SAISIE!J55&gt;0,SAISIE!$J$6,IF(SAISIE!K55&gt;0,SAISIE!$K$6,IF(SAISIE!L55&gt;0,SAISIE!$L$6,IF(SAISIE!M55&gt;0,SAISIE!$M$6,""))))))</f>
        <v/>
      </c>
      <c r="O729" s="59" t="s">
        <v>56</v>
      </c>
    </row>
    <row r="730" spans="1:15" x14ac:dyDescent="0.25">
      <c r="A730" s="63" t="e">
        <f>IF(AND(G730="",H730=""),"SUPPR",SAISIE!$B$3)</f>
        <v>#REF!</v>
      </c>
      <c r="B730" s="63" t="e">
        <f>IF(SAISIE!#REF!="","",IF(LEN(SAISIE!B55)=1,CONCATENATE("0",SAISIE!B55,"/",SAISIE!$B$4,"/",SAISIE!$B$5),CONCATENATE(SAISIE!B55,"/",SAISIE!$B$4,"/",SAISIE!$B$5)))</f>
        <v>#REF!</v>
      </c>
      <c r="C730" s="63" t="e">
        <f>IF(SAISIE!#REF!="","",SAISIE!#REF!)</f>
        <v>#REF!</v>
      </c>
      <c r="D730" s="63" t="e">
        <f>IF(SAISIE!#REF!="","",SAISIE!E55)</f>
        <v>#REF!</v>
      </c>
      <c r="E730" s="63" t="e">
        <f>IF(SAISIE!#REF!="","",SAISIE!F55)</f>
        <v>#REF!</v>
      </c>
      <c r="F730" s="70" t="e">
        <f>IF(SAISIE!#REF!="","",IF(SAISIE!$N55="","",SAISIE!$N55))</f>
        <v>#REF!</v>
      </c>
      <c r="G730" s="63" t="e">
        <f>IF(SAISIE!#REF!="","",SAISIE!#REF!)</f>
        <v>#REF!</v>
      </c>
      <c r="H730" s="63"/>
      <c r="I730" s="63" t="e">
        <f>IF(SAISIE!#REF!="","",SAISIE!$Q55)</f>
        <v>#REF!</v>
      </c>
      <c r="J730" s="71" t="str">
        <f>IF(COUNTBLANK(SAISIE!$J$6:$M$6)=4,"",IF(SAISIE!#REF!="","",IF(SAISIE!J55&gt;0,SAISIE!$J$6,IF(SAISIE!K55&gt;0,SAISIE!$K$6,IF(SAISIE!L55&gt;0,SAISIE!$L$6,IF(SAISIE!M55&gt;0,SAISIE!$M$6,""))))))</f>
        <v/>
      </c>
      <c r="O730" s="59" t="s">
        <v>57</v>
      </c>
    </row>
    <row r="731" spans="1:15" x14ac:dyDescent="0.25">
      <c r="A731" s="63" t="e">
        <f>IF(AND(G731="",H731=""),"SUPPR",SAISIE!$B$3)</f>
        <v>#REF!</v>
      </c>
      <c r="B731" s="63" t="e">
        <f>IF(SAISIE!#REF!="","",IF(LEN(SAISIE!B55)=1,CONCATENATE("0",SAISIE!B55,"/",SAISIE!$B$4,"/",SAISIE!$B$5),CONCATENATE(SAISIE!B55,"/",SAISIE!$B$4,"/",SAISIE!$B$5)))</f>
        <v>#REF!</v>
      </c>
      <c r="C731" s="63" t="e">
        <f>IF(SAISIE!#REF!="","",SAISIE!#REF!)</f>
        <v>#REF!</v>
      </c>
      <c r="D731" s="63" t="e">
        <f>IF(SAISIE!#REF!="","",SAISIE!E55)</f>
        <v>#REF!</v>
      </c>
      <c r="E731" s="63" t="e">
        <f>IF(SAISIE!#REF!="","",SAISIE!F55)</f>
        <v>#REF!</v>
      </c>
      <c r="F731" s="70" t="e">
        <f>IF(SAISIE!#REF!="","",IF(SAISIE!$N55="","",SAISIE!$N55))</f>
        <v>#REF!</v>
      </c>
      <c r="G731" s="63" t="e">
        <f>IF(SAISIE!#REF!="","",SAISIE!#REF!)</f>
        <v>#REF!</v>
      </c>
      <c r="H731" s="63"/>
      <c r="I731" s="63" t="e">
        <f>IF(SAISIE!#REF!="","",SAISIE!$Q55)</f>
        <v>#REF!</v>
      </c>
      <c r="J731" s="71" t="str">
        <f>IF(COUNTBLANK(SAISIE!$J$6:$M$6)=4,"",IF(SAISIE!#REF!="","",IF(SAISIE!J55&gt;0,SAISIE!$J$6,IF(SAISIE!K55&gt;0,SAISIE!$K$6,IF(SAISIE!L55&gt;0,SAISIE!$L$6,IF(SAISIE!M55&gt;0,SAISIE!$M$6,""))))))</f>
        <v/>
      </c>
      <c r="O731" s="59" t="s">
        <v>58</v>
      </c>
    </row>
    <row r="732" spans="1:15" x14ac:dyDescent="0.25">
      <c r="A732" s="63" t="e">
        <f>IF(AND(G732="",H732=""),"SUPPR",SAISIE!$B$3)</f>
        <v>#REF!</v>
      </c>
      <c r="B732" s="63" t="e">
        <f>IF(SAISIE!#REF!="","",IF(LEN(SAISIE!B55)=1,CONCATENATE("0",SAISIE!B55,"/",SAISIE!$B$4,"/",SAISIE!$B$5),CONCATENATE(SAISIE!B55,"/",SAISIE!$B$4,"/",SAISIE!$B$5)))</f>
        <v>#REF!</v>
      </c>
      <c r="C732" s="63" t="e">
        <f>IF(SAISIE!#REF!="","",SAISIE!#REF!)</f>
        <v>#REF!</v>
      </c>
      <c r="D732" s="63" t="e">
        <f>IF(SAISIE!#REF!="","",SAISIE!E55)</f>
        <v>#REF!</v>
      </c>
      <c r="E732" s="63" t="e">
        <f>IF(SAISIE!#REF!="","",SAISIE!F55)</f>
        <v>#REF!</v>
      </c>
      <c r="F732" s="70" t="e">
        <f>IF(SAISIE!#REF!="","",IF(SAISIE!$N55="","",SAISIE!$N55))</f>
        <v>#REF!</v>
      </c>
      <c r="G732" s="63" t="e">
        <f>IF(SAISIE!#REF!="","",SAISIE!#REF!)</f>
        <v>#REF!</v>
      </c>
      <c r="H732" s="63"/>
      <c r="I732" s="63" t="e">
        <f>IF(SAISIE!#REF!="","",SAISIE!$Q55)</f>
        <v>#REF!</v>
      </c>
      <c r="J732" s="71" t="str">
        <f>IF(COUNTBLANK(SAISIE!$J$6:$M$6)=4,"",IF(SAISIE!#REF!="","",IF(SAISIE!J55&gt;0,SAISIE!$J$6,IF(SAISIE!K55&gt;0,SAISIE!$K$6,IF(SAISIE!L55&gt;0,SAISIE!$L$6,IF(SAISIE!M55&gt;0,SAISIE!$M$6,""))))))</f>
        <v/>
      </c>
      <c r="O732" s="59" t="s">
        <v>59</v>
      </c>
    </row>
    <row r="733" spans="1:15" x14ac:dyDescent="0.25">
      <c r="A733" s="63" t="e">
        <f>IF(AND(G733="",H733=""),"SUPPR",SAISIE!$B$3)</f>
        <v>#REF!</v>
      </c>
      <c r="B733" s="63" t="e">
        <f>IF(SAISIE!#REF!="","",IF(LEN(SAISIE!B55)=1,CONCATENATE("0",SAISIE!B55,"/",SAISIE!$B$4,"/",SAISIE!$B$5),CONCATENATE(SAISIE!B55,"/",SAISIE!$B$4,"/",SAISIE!$B$5)))</f>
        <v>#REF!</v>
      </c>
      <c r="C733" s="63" t="e">
        <f>IF(SAISIE!#REF!="","",SAISIE!#REF!)</f>
        <v>#REF!</v>
      </c>
      <c r="D733" s="63" t="e">
        <f>IF(SAISIE!#REF!="","",SAISIE!E55)</f>
        <v>#REF!</v>
      </c>
      <c r="E733" s="63" t="e">
        <f>IF(SAISIE!#REF!="","",SAISIE!F55)</f>
        <v>#REF!</v>
      </c>
      <c r="F733" s="70" t="e">
        <f>IF(SAISIE!#REF!="","",IF(SAISIE!$N55="","",SAISIE!$N55))</f>
        <v>#REF!</v>
      </c>
      <c r="G733" s="63" t="e">
        <f>IF(SAISIE!#REF!="","",SAISIE!#REF!)</f>
        <v>#REF!</v>
      </c>
      <c r="H733" s="63"/>
      <c r="I733" s="63" t="e">
        <f>IF(SAISIE!#REF!="","",SAISIE!$Q55)</f>
        <v>#REF!</v>
      </c>
      <c r="J733" s="71" t="str">
        <f>IF(COUNTBLANK(SAISIE!$J$6:$M$6)=4,"",IF(SAISIE!#REF!="","",IF(SAISIE!J55&gt;0,SAISIE!$J$6,IF(SAISIE!K55&gt;0,SAISIE!$K$6,IF(SAISIE!L55&gt;0,SAISIE!$L$6,IF(SAISIE!M55&gt;0,SAISIE!$M$6,""))))))</f>
        <v/>
      </c>
      <c r="O733" s="59" t="s">
        <v>60</v>
      </c>
    </row>
    <row r="734" spans="1:15" x14ac:dyDescent="0.25">
      <c r="A734" s="63" t="str">
        <f>IF(AND(G734="",H734=""),"SUPPR",SAISIE!$B$3)</f>
        <v>SUPPR</v>
      </c>
      <c r="B734" s="63" t="str">
        <f>IF(SAISIE!J55="","",IF(LEN(SAISIE!B55)=1,CONCATENATE("0",SAISIE!B55,"/",SAISIE!$B$4,"/",SAISIE!$B$5),CONCATENATE(SAISIE!B55,"/",SAISIE!$B$4,"/",SAISIE!$B$5)))</f>
        <v/>
      </c>
      <c r="C734" s="63" t="str">
        <f>IF(SAISIE!J55="","",SAISIE!$J$8)</f>
        <v/>
      </c>
      <c r="D734" s="63" t="str">
        <f>IF(SAISIE!J55="","",SAISIE!E55)</f>
        <v/>
      </c>
      <c r="E734" s="63" t="str">
        <f>IF(SAISIE!J55="","",SAISIE!F55)</f>
        <v/>
      </c>
      <c r="F734" s="70" t="str">
        <f>IF(SAISIE!$J55="","",IF(SAISIE!$N55="","",SAISIE!$N55))</f>
        <v/>
      </c>
      <c r="G734" s="63" t="str">
        <f>IF(SAISIE!J55="","",SAISIE!J55)</f>
        <v/>
      </c>
      <c r="H734" s="63"/>
      <c r="I734" s="72"/>
      <c r="J734" s="71"/>
      <c r="O734" s="73"/>
    </row>
    <row r="735" spans="1:15" x14ac:dyDescent="0.25">
      <c r="A735" s="63" t="str">
        <f>IF(AND(G735="",H735=""),"SUPPR",SAISIE!$B$3)</f>
        <v>SUPPR</v>
      </c>
      <c r="B735" s="63" t="str">
        <f>IF(SAISIE!K55="","",IF(LEN(SAISIE!B55)=1,CONCATENATE("0",SAISIE!B55,"/",SAISIE!$B$4,"/",SAISIE!$B$5),CONCATENATE(SAISIE!B55,"/",SAISIE!$B$4,"/",SAISIE!$B$5)))</f>
        <v/>
      </c>
      <c r="C735" s="63" t="str">
        <f>IF(SAISIE!K55="","",SAISIE!$K$8)</f>
        <v/>
      </c>
      <c r="D735" s="63" t="str">
        <f>IF(SAISIE!K55="","",SAISIE!E55)</f>
        <v/>
      </c>
      <c r="E735" s="63" t="str">
        <f>IF(SAISIE!K55="","",SAISIE!F55)</f>
        <v/>
      </c>
      <c r="F735" s="70" t="str">
        <f>IF(SAISIE!$K55="","",IF(SAISIE!$N55="","",SAISIE!$N55))</f>
        <v/>
      </c>
      <c r="G735" s="63" t="str">
        <f>IF(SAISIE!K55="","",SAISIE!K55)</f>
        <v/>
      </c>
      <c r="H735" s="63"/>
      <c r="I735" s="72"/>
      <c r="J735" s="71"/>
    </row>
    <row r="736" spans="1:15" x14ac:dyDescent="0.25">
      <c r="A736" s="63" t="str">
        <f>IF(AND(G736="",H736=""),"SUPPR",SAISIE!$B$3)</f>
        <v>SUPPR</v>
      </c>
      <c r="B736" s="63" t="str">
        <f>IF(SAISIE!L55="","",IF(LEN(SAISIE!B55)=1,CONCATENATE("0",SAISIE!B55,"/",SAISIE!$B$4,"/",SAISIE!$B$5),CONCATENATE(SAISIE!B55,"/",SAISIE!$B$4,"/",SAISIE!$B$5)))</f>
        <v/>
      </c>
      <c r="C736" s="63" t="str">
        <f>IF(SAISIE!L55="","",SAISIE!$L$8)</f>
        <v/>
      </c>
      <c r="D736" s="63" t="str">
        <f>IF(SAISIE!L55="","",SAISIE!E55)</f>
        <v/>
      </c>
      <c r="E736" s="63" t="str">
        <f>IF(SAISIE!L55="","",SAISIE!F55)</f>
        <v/>
      </c>
      <c r="F736" s="70" t="str">
        <f>IF(SAISIE!$L55="","",IF(SAISIE!$N55="","",SAISIE!$N55))</f>
        <v/>
      </c>
      <c r="G736" s="63" t="str">
        <f>IF(SAISIE!L55="","",SAISIE!L55)</f>
        <v/>
      </c>
      <c r="H736" s="63"/>
      <c r="I736" s="72"/>
      <c r="J736" s="71"/>
    </row>
    <row r="737" spans="1:15" x14ac:dyDescent="0.25">
      <c r="A737" s="63" t="str">
        <f>IF(AND(G737="",H737=""),"SUPPR",SAISIE!$B$3)</f>
        <v>SUPPR</v>
      </c>
      <c r="B737" s="63" t="str">
        <f>IF(SAISIE!M55="","",IF(LEN(SAISIE!B55)=1,CONCATENATE("0",SAISIE!B55,"/",SAISIE!$B$4,"/",SAISIE!$B$5),CONCATENATE(SAISIE!B55,"/",SAISIE!$B$4,"/",SAISIE!$B$5)))</f>
        <v/>
      </c>
      <c r="C737" s="74" t="str">
        <f>IF(SAISIE!M55="","",SAISIE!$M$8)</f>
        <v/>
      </c>
      <c r="D737" s="74" t="str">
        <f>IF(SAISIE!M55="","",SAISIE!E55)</f>
        <v/>
      </c>
      <c r="E737" s="74" t="str">
        <f>IF(SAISIE!M55="","",SAISIE!F55)</f>
        <v/>
      </c>
      <c r="F737" s="75" t="str">
        <f>IF(SAISIE!$M55="","",IF(SAISIE!$N55="","",SAISIE!$N55))</f>
        <v/>
      </c>
      <c r="G737" s="74" t="str">
        <f>IF(SAISIE!M55="","",SAISIE!M55)</f>
        <v/>
      </c>
      <c r="H737" s="76"/>
      <c r="I737" s="77"/>
      <c r="J737" s="78"/>
    </row>
    <row r="738" spans="1:15" x14ac:dyDescent="0.25">
      <c r="A738" s="63" t="str">
        <f>IF(AND(G738="",H738=""),"SUPPR",SAISIE!$B$3)</f>
        <v>SUPPR</v>
      </c>
      <c r="B738" s="64" t="str">
        <f>IF(SAISIE!B56="","",IF(LEN(SAISIE!B56)=1,CONCATENATE("0",SAISIE!B56,"/",SAISIE!$B$4,"/",SAISIE!$B$5),CONCATENATE(SAISIE!B56,"/",SAISIE!$B$4,"/",SAISIE!$B$5)))</f>
        <v/>
      </c>
      <c r="C738" s="64" t="str">
        <f>IF(SAISIE!B56="","",CONCATENATE($M$2,SAISIE!C56))</f>
        <v/>
      </c>
      <c r="D738" s="64" t="str">
        <f>IF(SAISIE!B56="","",SAISIE!E56)</f>
        <v/>
      </c>
      <c r="E738" s="64" t="str">
        <f>IF(SAISIE!B56="","",SAISIE!F56)</f>
        <v/>
      </c>
      <c r="F738" s="65" t="str">
        <f>IF(A738="SUPPR","",IF(SAISIE!$N56="","",SAISIE!$N56))</f>
        <v/>
      </c>
      <c r="G738" s="64"/>
      <c r="H738" s="64" t="str">
        <f>IF(SAISIE!B56="","",SAISIE!D56)</f>
        <v/>
      </c>
      <c r="I738" s="66"/>
      <c r="J738" s="67" t="str">
        <f>IF(AZ56="","","")</f>
        <v/>
      </c>
      <c r="O738" s="69">
        <f>O722+1</f>
        <v>56</v>
      </c>
    </row>
    <row r="739" spans="1:15" x14ac:dyDescent="0.25">
      <c r="A739" s="63" t="str">
        <f>IF(AND(G739="",H739=""),"SUPPR",SAISIE!$B$3)</f>
        <v>SUPPR</v>
      </c>
      <c r="B739" s="63" t="str">
        <f>IF(SAISIE!P56="","",IF(LEN(SAISIE!B56)=1,CONCATENATE("0",SAISIE!B56,"/",SAISIE!$B$4,"/",SAISIE!$B$5),CONCATENATE(SAISIE!B56,"/",SAISIE!$B$4,"/",SAISIE!$B$5)))</f>
        <v/>
      </c>
      <c r="C739" s="63" t="str">
        <f>IF(SAISIE!P56="","",SAISIE!O56)</f>
        <v/>
      </c>
      <c r="D739" s="63" t="str">
        <f>IF(SAISIE!P56="","",SAISIE!E56)</f>
        <v/>
      </c>
      <c r="E739" s="63" t="str">
        <f>IF(SAISIE!P56="","",SAISIE!F56)</f>
        <v/>
      </c>
      <c r="F739" s="70" t="str">
        <f>IF(SAISIE!$P56="","",IF(SAISIE!$N56="","",SAISIE!$N56))</f>
        <v/>
      </c>
      <c r="G739" s="63" t="str">
        <f>IF(SAISIE!P56="","",SAISIE!P56)</f>
        <v/>
      </c>
      <c r="H739" s="63"/>
      <c r="I739" s="63" t="str">
        <f>IF(SAISIE!$P56="","",SAISIE!$Q56)</f>
        <v/>
      </c>
      <c r="J739" s="71" t="str">
        <f>IF(COUNTBLANK(SAISIE!$J$6:$M$6)=4,"",IF(SAISIE!P56="","",IF(SAISIE!J56&gt;0,SAISIE!$J$6,IF(SAISIE!K56&gt;0,SAISIE!$K$6,IF(SAISIE!L56&gt;0,SAISIE!$L$6,IF(SAISIE!M56&gt;0,SAISIE!$M$6,""))))))</f>
        <v/>
      </c>
      <c r="O739" s="59" t="s">
        <v>50</v>
      </c>
    </row>
    <row r="740" spans="1:15" x14ac:dyDescent="0.25">
      <c r="A740" s="63" t="str">
        <f>IF(AND(G740="",H740=""),"SUPPR",SAISIE!$B$3)</f>
        <v>SUPPR</v>
      </c>
      <c r="B740" s="63" t="str">
        <f>IF(SAISIE!G56="","",IF(LEN(SAISIE!B56)=1,CONCATENATE("0",SAISIE!B56,"/",SAISIE!$B$4,"/",SAISIE!$B$5),CONCATENATE(SAISIE!B56,"/",SAISIE!$B$4,"/",SAISIE!$B$5)))</f>
        <v/>
      </c>
      <c r="C740" s="63" t="str">
        <f>IF(SAISIE!G56="","",SAISIE!$G$8)</f>
        <v/>
      </c>
      <c r="D740" s="63" t="str">
        <f>IF(SAISIE!G56="","",SAISIE!E56)</f>
        <v/>
      </c>
      <c r="E740" s="63" t="str">
        <f>IF(SAISIE!G56="","",SAISIE!F56)</f>
        <v/>
      </c>
      <c r="F740" s="70" t="str">
        <f>IF(SAISIE!$G56="","",IF(SAISIE!$N56="","",SAISIE!$N56))</f>
        <v/>
      </c>
      <c r="G740" s="63" t="str">
        <f>IF(SAISIE!G56="","",SAISIE!G56)</f>
        <v/>
      </c>
      <c r="H740" s="63"/>
      <c r="I740" s="63" t="str">
        <f>IF(SAISIE!$G56="","",SAISIE!$Q56)</f>
        <v/>
      </c>
      <c r="J740" s="71" t="str">
        <f>IF(COUNTBLANK(SAISIE!$J$6:$M$6)=4,"",IF(SAISIE!G56="","",IF(SAISIE!J56&gt;0,SAISIE!$J$6,IF(SAISIE!K56&gt;0,SAISIE!$K$6,IF(SAISIE!L56&gt;0,SAISIE!$L$6,IF(SAISIE!M56&gt;0,SAISIE!$M$6,""))))))</f>
        <v/>
      </c>
      <c r="O740" s="59" t="s">
        <v>51</v>
      </c>
    </row>
    <row r="741" spans="1:15" x14ac:dyDescent="0.25">
      <c r="A741" s="63" t="str">
        <f>IF(AND(G741="",H741=""),"SUPPR",SAISIE!$B$3)</f>
        <v>SUPPR</v>
      </c>
      <c r="B741" s="63" t="str">
        <f>IF(SAISIE!H56="","",IF(LEN(SAISIE!B56)=1,CONCATENATE("0",SAISIE!B56,"/",SAISIE!$B$4,"/",SAISIE!$B$5),CONCATENATE(SAISIE!B56,"/",SAISIE!$B$4,"/",SAISIE!$B$5)))</f>
        <v/>
      </c>
      <c r="C741" s="63" t="str">
        <f>IF(SAISIE!H56="","",SAISIE!$H$8)</f>
        <v/>
      </c>
      <c r="D741" s="63" t="str">
        <f>IF(SAISIE!H56="","",SAISIE!E56)</f>
        <v/>
      </c>
      <c r="E741" s="63" t="str">
        <f>IF(SAISIE!H56="","",SAISIE!F56)</f>
        <v/>
      </c>
      <c r="F741" s="70" t="str">
        <f>IF(SAISIE!$H56="","",IF(SAISIE!$N56="","",SAISIE!$N56))</f>
        <v/>
      </c>
      <c r="G741" s="63" t="str">
        <f>IF(SAISIE!H56="","",SAISIE!H56)</f>
        <v/>
      </c>
      <c r="H741" s="63"/>
      <c r="I741" s="63" t="str">
        <f>IF(SAISIE!$H56="","",SAISIE!$Q56)</f>
        <v/>
      </c>
      <c r="J741" s="71" t="str">
        <f>IF(COUNTBLANK(SAISIE!$J$6:$M$6)=4,"",IF(SAISIE!H56="","",IF(SAISIE!J56&gt;0,SAISIE!$J$6,IF(SAISIE!K56&gt;0,SAISIE!$K$6,IF(SAISIE!L56&gt;0,SAISIE!$L$6,IF(SAISIE!M56&gt;0,SAISIE!$M$6,""))))))</f>
        <v/>
      </c>
      <c r="O741" s="59" t="s">
        <v>52</v>
      </c>
    </row>
    <row r="742" spans="1:15" x14ac:dyDescent="0.25">
      <c r="A742" s="63" t="str">
        <f>IF(AND(G742="",H742=""),"SUPPR",SAISIE!$B$3)</f>
        <v>SUPPR</v>
      </c>
      <c r="B742" s="63" t="str">
        <f>IF(SAISIE!I56="","",IF(LEN(SAISIE!B56)=1,CONCATENATE("0",SAISIE!B56,"/",SAISIE!$B$4,"/",SAISIE!$B$5),CONCATENATE(SAISIE!B56,"/",SAISIE!$B$4,"/",SAISIE!$B$5)))</f>
        <v/>
      </c>
      <c r="C742" s="63" t="str">
        <f>IF(SAISIE!I56="","",SAISIE!$I$8)</f>
        <v/>
      </c>
      <c r="D742" s="63" t="str">
        <f>IF(SAISIE!I56="","",SAISIE!E56)</f>
        <v/>
      </c>
      <c r="E742" s="63" t="str">
        <f>IF(SAISIE!I56="","",SAISIE!F56)</f>
        <v/>
      </c>
      <c r="F742" s="70" t="str">
        <f>IF(SAISIE!$I56="","",IF(SAISIE!$N56="","",SAISIE!$N56))</f>
        <v/>
      </c>
      <c r="G742" s="63" t="str">
        <f>IF(SAISIE!I56="","",SAISIE!I56)</f>
        <v/>
      </c>
      <c r="H742" s="63"/>
      <c r="I742" s="63" t="str">
        <f>IF(SAISIE!$I56="","",SAISIE!$Q56)</f>
        <v/>
      </c>
      <c r="J742" s="71" t="str">
        <f>IF(COUNTBLANK(SAISIE!$J$6:$M$6)=4,"",IF(SAISIE!I56="","",IF(SAISIE!J56&gt;0,SAISIE!$J$6,IF(SAISIE!K56&gt;0,SAISIE!$K$6,IF(SAISIE!L56&gt;0,SAISIE!$L$6,IF(SAISIE!M56&gt;0,SAISIE!$M$6,""))))))</f>
        <v/>
      </c>
      <c r="O742" s="59" t="s">
        <v>53</v>
      </c>
    </row>
    <row r="743" spans="1:15" x14ac:dyDescent="0.25">
      <c r="A743" s="63" t="e">
        <f>IF(AND(G743="",H743=""),"SUPPR",SAISIE!$B$3)</f>
        <v>#REF!</v>
      </c>
      <c r="B743" s="63" t="e">
        <f>IF(SAISIE!#REF!="","",IF(LEN(SAISIE!B56)=1,CONCATENATE("0",SAISIE!B56,"/",SAISIE!$B$4,"/",SAISIE!$B$5),CONCATENATE(SAISIE!B56,"/",SAISIE!$B$4,"/",SAISIE!$B$5)))</f>
        <v>#REF!</v>
      </c>
      <c r="C743" s="63" t="e">
        <f>IF(SAISIE!#REF!="","",SAISIE!#REF!)</f>
        <v>#REF!</v>
      </c>
      <c r="D743" s="63" t="e">
        <f>IF(SAISIE!#REF!="","",SAISIE!E56)</f>
        <v>#REF!</v>
      </c>
      <c r="E743" s="63" t="e">
        <f>IF(SAISIE!#REF!="","",SAISIE!F56)</f>
        <v>#REF!</v>
      </c>
      <c r="F743" s="70" t="e">
        <f>IF(SAISIE!#REF!="","",IF(SAISIE!$N56="","",SAISIE!$N56))</f>
        <v>#REF!</v>
      </c>
      <c r="G743" s="63" t="e">
        <f>IF(SAISIE!#REF!="","",SAISIE!#REF!)</f>
        <v>#REF!</v>
      </c>
      <c r="H743" s="63"/>
      <c r="I743" s="63" t="e">
        <f>IF(SAISIE!#REF!="","",SAISIE!$Q56)</f>
        <v>#REF!</v>
      </c>
      <c r="J743" s="71" t="str">
        <f>IF(COUNTBLANK(SAISIE!$J$6:$M$6)=4,"",IF(SAISIE!#REF!="","",IF(SAISIE!J56&gt;0,SAISIE!$J$6,IF(SAISIE!K56&gt;0,SAISIE!$K$6,IF(SAISIE!L56&gt;0,SAISIE!$L$6,IF(SAISIE!M56&gt;0,SAISIE!$M$6,""))))))</f>
        <v/>
      </c>
      <c r="O743" s="59" t="s">
        <v>54</v>
      </c>
    </row>
    <row r="744" spans="1:15" x14ac:dyDescent="0.25">
      <c r="A744" s="63" t="e">
        <f>IF(AND(G744="",H744=""),"SUPPR",SAISIE!$B$3)</f>
        <v>#REF!</v>
      </c>
      <c r="B744" s="63" t="e">
        <f>IF(SAISIE!#REF!="","",IF(LEN(SAISIE!B56)=1,CONCATENATE("0",SAISIE!B56,"/",SAISIE!$B$4,"/",SAISIE!$B$5),CONCATENATE(SAISIE!B56,"/",SAISIE!$B$4,"/",SAISIE!$B$5)))</f>
        <v>#REF!</v>
      </c>
      <c r="C744" s="63" t="e">
        <f>IF(SAISIE!#REF!="","",SAISIE!#REF!)</f>
        <v>#REF!</v>
      </c>
      <c r="D744" s="63" t="e">
        <f>IF(SAISIE!#REF!="","",SAISIE!E56)</f>
        <v>#REF!</v>
      </c>
      <c r="E744" s="63" t="e">
        <f>IF(SAISIE!#REF!="","",SAISIE!F56)</f>
        <v>#REF!</v>
      </c>
      <c r="F744" s="70" t="e">
        <f>IF(SAISIE!#REF!="","",IF(SAISIE!$N56="","",SAISIE!$N56))</f>
        <v>#REF!</v>
      </c>
      <c r="G744" s="63" t="e">
        <f>IF(SAISIE!#REF!="","",SAISIE!#REF!)</f>
        <v>#REF!</v>
      </c>
      <c r="H744" s="63"/>
      <c r="I744" s="63" t="e">
        <f>IF(SAISIE!#REF!="","",SAISIE!$Q56)</f>
        <v>#REF!</v>
      </c>
      <c r="J744" s="71" t="str">
        <f>IF(COUNTBLANK(SAISIE!$J$6:$M$6)=4,"",IF(SAISIE!#REF!="","",IF(SAISIE!J56&gt;0,SAISIE!$J$6,IF(SAISIE!K56&gt;0,SAISIE!$K$6,IF(SAISIE!L56&gt;0,SAISIE!$L$6,IF(SAISIE!M56&gt;0,SAISIE!$M$6,""))))))</f>
        <v/>
      </c>
      <c r="O744" s="59" t="s">
        <v>55</v>
      </c>
    </row>
    <row r="745" spans="1:15" x14ac:dyDescent="0.25">
      <c r="A745" s="63" t="e">
        <f>IF(AND(G745="",H745=""),"SUPPR",SAISIE!$B$3)</f>
        <v>#REF!</v>
      </c>
      <c r="B745" s="63" t="e">
        <f>IF(SAISIE!#REF!="","",IF(LEN(SAISIE!B56)=1,CONCATENATE("0",SAISIE!B56,"/",SAISIE!$B$4,"/",SAISIE!$B$5),CONCATENATE(SAISIE!B56,"/",SAISIE!$B$4,"/",SAISIE!$B$5)))</f>
        <v>#REF!</v>
      </c>
      <c r="C745" s="63" t="e">
        <f>IF(SAISIE!#REF!="","",SAISIE!#REF!)</f>
        <v>#REF!</v>
      </c>
      <c r="D745" s="63" t="e">
        <f>IF(SAISIE!#REF!="","",SAISIE!E56)</f>
        <v>#REF!</v>
      </c>
      <c r="E745" s="63" t="e">
        <f>IF(SAISIE!#REF!="","",SAISIE!F56)</f>
        <v>#REF!</v>
      </c>
      <c r="F745" s="70" t="e">
        <f>IF(SAISIE!#REF!="","",IF(SAISIE!$N56="","",SAISIE!$N56))</f>
        <v>#REF!</v>
      </c>
      <c r="G745" s="63" t="e">
        <f>IF(SAISIE!#REF!="","",SAISIE!#REF!)</f>
        <v>#REF!</v>
      </c>
      <c r="H745" s="63"/>
      <c r="I745" s="63" t="e">
        <f>IF(SAISIE!#REF!="","",SAISIE!$Q56)</f>
        <v>#REF!</v>
      </c>
      <c r="J745" s="71" t="str">
        <f>IF(COUNTBLANK(SAISIE!$J$6:$M$6)=4,"",IF(SAISIE!#REF!="","",IF(SAISIE!J56&gt;0,SAISIE!$J$6,IF(SAISIE!K56&gt;0,SAISIE!$K$6,IF(SAISIE!L56&gt;0,SAISIE!$L$6,IF(SAISIE!M56&gt;0,SAISIE!$M$6,""))))))</f>
        <v/>
      </c>
      <c r="O745" s="59" t="s">
        <v>56</v>
      </c>
    </row>
    <row r="746" spans="1:15" x14ac:dyDescent="0.25">
      <c r="A746" s="63" t="e">
        <f>IF(AND(G746="",H746=""),"SUPPR",SAISIE!$B$3)</f>
        <v>#REF!</v>
      </c>
      <c r="B746" s="63" t="e">
        <f>IF(SAISIE!#REF!="","",IF(LEN(SAISIE!B56)=1,CONCATENATE("0",SAISIE!B56,"/",SAISIE!$B$4,"/",SAISIE!$B$5),CONCATENATE(SAISIE!B56,"/",SAISIE!$B$4,"/",SAISIE!$B$5)))</f>
        <v>#REF!</v>
      </c>
      <c r="C746" s="63" t="e">
        <f>IF(SAISIE!#REF!="","",SAISIE!#REF!)</f>
        <v>#REF!</v>
      </c>
      <c r="D746" s="63" t="e">
        <f>IF(SAISIE!#REF!="","",SAISIE!E56)</f>
        <v>#REF!</v>
      </c>
      <c r="E746" s="63" t="e">
        <f>IF(SAISIE!#REF!="","",SAISIE!F56)</f>
        <v>#REF!</v>
      </c>
      <c r="F746" s="70" t="e">
        <f>IF(SAISIE!#REF!="","",IF(SAISIE!$N56="","",SAISIE!$N56))</f>
        <v>#REF!</v>
      </c>
      <c r="G746" s="63" t="e">
        <f>IF(SAISIE!#REF!="","",SAISIE!#REF!)</f>
        <v>#REF!</v>
      </c>
      <c r="H746" s="63"/>
      <c r="I746" s="63" t="e">
        <f>IF(SAISIE!#REF!="","",SAISIE!$Q56)</f>
        <v>#REF!</v>
      </c>
      <c r="J746" s="71" t="str">
        <f>IF(COUNTBLANK(SAISIE!$J$6:$M$6)=4,"",IF(SAISIE!#REF!="","",IF(SAISIE!J56&gt;0,SAISIE!$J$6,IF(SAISIE!K56&gt;0,SAISIE!$K$6,IF(SAISIE!L56&gt;0,SAISIE!$L$6,IF(SAISIE!M56&gt;0,SAISIE!$M$6,""))))))</f>
        <v/>
      </c>
      <c r="O746" s="59" t="s">
        <v>57</v>
      </c>
    </row>
    <row r="747" spans="1:15" x14ac:dyDescent="0.25">
      <c r="A747" s="63" t="e">
        <f>IF(AND(G747="",H747=""),"SUPPR",SAISIE!$B$3)</f>
        <v>#REF!</v>
      </c>
      <c r="B747" s="63" t="e">
        <f>IF(SAISIE!#REF!="","",IF(LEN(SAISIE!B56)=1,CONCATENATE("0",SAISIE!B56,"/",SAISIE!$B$4,"/",SAISIE!$B$5),CONCATENATE(SAISIE!B56,"/",SAISIE!$B$4,"/",SAISIE!$B$5)))</f>
        <v>#REF!</v>
      </c>
      <c r="C747" s="63" t="e">
        <f>IF(SAISIE!#REF!="","",SAISIE!#REF!)</f>
        <v>#REF!</v>
      </c>
      <c r="D747" s="63" t="e">
        <f>IF(SAISIE!#REF!="","",SAISIE!E56)</f>
        <v>#REF!</v>
      </c>
      <c r="E747" s="63" t="e">
        <f>IF(SAISIE!#REF!="","",SAISIE!F56)</f>
        <v>#REF!</v>
      </c>
      <c r="F747" s="70" t="e">
        <f>IF(SAISIE!#REF!="","",IF(SAISIE!$N56="","",SAISIE!$N56))</f>
        <v>#REF!</v>
      </c>
      <c r="G747" s="63" t="e">
        <f>IF(SAISIE!#REF!="","",SAISIE!#REF!)</f>
        <v>#REF!</v>
      </c>
      <c r="H747" s="63"/>
      <c r="I747" s="63" t="e">
        <f>IF(SAISIE!#REF!="","",SAISIE!$Q56)</f>
        <v>#REF!</v>
      </c>
      <c r="J747" s="71" t="str">
        <f>IF(COUNTBLANK(SAISIE!$J$6:$M$6)=4,"",IF(SAISIE!#REF!="","",IF(SAISIE!J56&gt;0,SAISIE!$J$6,IF(SAISIE!K56&gt;0,SAISIE!$K$6,IF(SAISIE!L56&gt;0,SAISIE!$L$6,IF(SAISIE!M56&gt;0,SAISIE!$M$6,""))))))</f>
        <v/>
      </c>
      <c r="O747" s="59" t="s">
        <v>58</v>
      </c>
    </row>
    <row r="748" spans="1:15" x14ac:dyDescent="0.25">
      <c r="A748" s="63" t="e">
        <f>IF(AND(G748="",H748=""),"SUPPR",SAISIE!$B$3)</f>
        <v>#REF!</v>
      </c>
      <c r="B748" s="63" t="e">
        <f>IF(SAISIE!#REF!="","",IF(LEN(SAISIE!B56)=1,CONCATENATE("0",SAISIE!B56,"/",SAISIE!$B$4,"/",SAISIE!$B$5),CONCATENATE(SAISIE!B56,"/",SAISIE!$B$4,"/",SAISIE!$B$5)))</f>
        <v>#REF!</v>
      </c>
      <c r="C748" s="63" t="e">
        <f>IF(SAISIE!#REF!="","",SAISIE!#REF!)</f>
        <v>#REF!</v>
      </c>
      <c r="D748" s="63" t="e">
        <f>IF(SAISIE!#REF!="","",SAISIE!E56)</f>
        <v>#REF!</v>
      </c>
      <c r="E748" s="63" t="e">
        <f>IF(SAISIE!#REF!="","",SAISIE!F56)</f>
        <v>#REF!</v>
      </c>
      <c r="F748" s="70" t="e">
        <f>IF(SAISIE!#REF!="","",IF(SAISIE!$N56="","",SAISIE!$N56))</f>
        <v>#REF!</v>
      </c>
      <c r="G748" s="63" t="e">
        <f>IF(SAISIE!#REF!="","",SAISIE!#REF!)</f>
        <v>#REF!</v>
      </c>
      <c r="H748" s="63"/>
      <c r="I748" s="63" t="e">
        <f>IF(SAISIE!#REF!="","",SAISIE!$Q56)</f>
        <v>#REF!</v>
      </c>
      <c r="J748" s="71" t="str">
        <f>IF(COUNTBLANK(SAISIE!$J$6:$M$6)=4,"",IF(SAISIE!#REF!="","",IF(SAISIE!J56&gt;0,SAISIE!$J$6,IF(SAISIE!K56&gt;0,SAISIE!$K$6,IF(SAISIE!L56&gt;0,SAISIE!$L$6,IF(SAISIE!M56&gt;0,SAISIE!$M$6,""))))))</f>
        <v/>
      </c>
      <c r="O748" s="59" t="s">
        <v>59</v>
      </c>
    </row>
    <row r="749" spans="1:15" x14ac:dyDescent="0.25">
      <c r="A749" s="63" t="e">
        <f>IF(AND(G749="",H749=""),"SUPPR",SAISIE!$B$3)</f>
        <v>#REF!</v>
      </c>
      <c r="B749" s="63" t="e">
        <f>IF(SAISIE!#REF!="","",IF(LEN(SAISIE!B56)=1,CONCATENATE("0",SAISIE!B56,"/",SAISIE!$B$4,"/",SAISIE!$B$5),CONCATENATE(SAISIE!B56,"/",SAISIE!$B$4,"/",SAISIE!$B$5)))</f>
        <v>#REF!</v>
      </c>
      <c r="C749" s="63" t="e">
        <f>IF(SAISIE!#REF!="","",SAISIE!#REF!)</f>
        <v>#REF!</v>
      </c>
      <c r="D749" s="63" t="e">
        <f>IF(SAISIE!#REF!="","",SAISIE!E56)</f>
        <v>#REF!</v>
      </c>
      <c r="E749" s="63" t="e">
        <f>IF(SAISIE!#REF!="","",SAISIE!F56)</f>
        <v>#REF!</v>
      </c>
      <c r="F749" s="70" t="e">
        <f>IF(SAISIE!#REF!="","",IF(SAISIE!$N56="","",SAISIE!$N56))</f>
        <v>#REF!</v>
      </c>
      <c r="G749" s="63" t="e">
        <f>IF(SAISIE!#REF!="","",SAISIE!#REF!)</f>
        <v>#REF!</v>
      </c>
      <c r="H749" s="63"/>
      <c r="I749" s="63" t="e">
        <f>IF(SAISIE!#REF!="","",SAISIE!$Q56)</f>
        <v>#REF!</v>
      </c>
      <c r="J749" s="71" t="str">
        <f>IF(COUNTBLANK(SAISIE!$J$6:$M$6)=4,"",IF(SAISIE!#REF!="","",IF(SAISIE!J56&gt;0,SAISIE!$J$6,IF(SAISIE!K56&gt;0,SAISIE!$K$6,IF(SAISIE!L56&gt;0,SAISIE!$L$6,IF(SAISIE!M56&gt;0,SAISIE!$M$6,""))))))</f>
        <v/>
      </c>
      <c r="O749" s="59" t="s">
        <v>60</v>
      </c>
    </row>
    <row r="750" spans="1:15" x14ac:dyDescent="0.25">
      <c r="A750" s="63" t="str">
        <f>IF(AND(G750="",H750=""),"SUPPR",SAISIE!$B$3)</f>
        <v>SUPPR</v>
      </c>
      <c r="B750" s="63" t="str">
        <f>IF(SAISIE!J56="","",IF(LEN(SAISIE!B56)=1,CONCATENATE("0",SAISIE!B56,"/",SAISIE!$B$4,"/",SAISIE!$B$5),CONCATENATE(SAISIE!B56,"/",SAISIE!$B$4,"/",SAISIE!$B$5)))</f>
        <v/>
      </c>
      <c r="C750" s="63" t="str">
        <f>IF(SAISIE!J56="","",SAISIE!$J$8)</f>
        <v/>
      </c>
      <c r="D750" s="63" t="str">
        <f>IF(SAISIE!J56="","",SAISIE!E56)</f>
        <v/>
      </c>
      <c r="E750" s="63" t="str">
        <f>IF(SAISIE!J56="","",SAISIE!F56)</f>
        <v/>
      </c>
      <c r="F750" s="70" t="str">
        <f>IF(SAISIE!$J56="","",IF(SAISIE!$N56="","",SAISIE!$N56))</f>
        <v/>
      </c>
      <c r="G750" s="63" t="str">
        <f>IF(SAISIE!J56="","",SAISIE!J56)</f>
        <v/>
      </c>
      <c r="H750" s="63"/>
      <c r="I750" s="72"/>
      <c r="J750" s="71"/>
      <c r="O750" s="73"/>
    </row>
    <row r="751" spans="1:15" x14ac:dyDescent="0.25">
      <c r="A751" s="63" t="str">
        <f>IF(AND(G751="",H751=""),"SUPPR",SAISIE!$B$3)</f>
        <v>SUPPR</v>
      </c>
      <c r="B751" s="63" t="str">
        <f>IF(SAISIE!K56="","",IF(LEN(SAISIE!B56)=1,CONCATENATE("0",SAISIE!B56,"/",SAISIE!$B$4,"/",SAISIE!$B$5),CONCATENATE(SAISIE!B56,"/",SAISIE!$B$4,"/",SAISIE!$B$5)))</f>
        <v/>
      </c>
      <c r="C751" s="63" t="str">
        <f>IF(SAISIE!K56="","",SAISIE!$K$8)</f>
        <v/>
      </c>
      <c r="D751" s="63" t="str">
        <f>IF(SAISIE!K56="","",SAISIE!E56)</f>
        <v/>
      </c>
      <c r="E751" s="63" t="str">
        <f>IF(SAISIE!K56="","",SAISIE!F56)</f>
        <v/>
      </c>
      <c r="F751" s="70" t="str">
        <f>IF(SAISIE!$K56="","",IF(SAISIE!$N56="","",SAISIE!$N56))</f>
        <v/>
      </c>
      <c r="G751" s="63" t="str">
        <f>IF(SAISIE!K56="","",SAISIE!K56)</f>
        <v/>
      </c>
      <c r="H751" s="63"/>
      <c r="I751" s="72"/>
      <c r="J751" s="71"/>
    </row>
    <row r="752" spans="1:15" x14ac:dyDescent="0.25">
      <c r="A752" s="63" t="str">
        <f>IF(AND(G752="",H752=""),"SUPPR",SAISIE!$B$3)</f>
        <v>SUPPR</v>
      </c>
      <c r="B752" s="63" t="str">
        <f>IF(SAISIE!L56="","",IF(LEN(SAISIE!B56)=1,CONCATENATE("0",SAISIE!B56,"/",SAISIE!$B$4,"/",SAISIE!$B$5),CONCATENATE(SAISIE!B56,"/",SAISIE!$B$4,"/",SAISIE!$B$5)))</f>
        <v/>
      </c>
      <c r="C752" s="63" t="str">
        <f>IF(SAISIE!L56="","",SAISIE!$L$8)</f>
        <v/>
      </c>
      <c r="D752" s="63" t="str">
        <f>IF(SAISIE!L56="","",SAISIE!E56)</f>
        <v/>
      </c>
      <c r="E752" s="63" t="str">
        <f>IF(SAISIE!L56="","",SAISIE!F56)</f>
        <v/>
      </c>
      <c r="F752" s="70" t="str">
        <f>IF(SAISIE!$L56="","",IF(SAISIE!$N56="","",SAISIE!$N56))</f>
        <v/>
      </c>
      <c r="G752" s="63" t="str">
        <f>IF(SAISIE!L56="","",SAISIE!L56)</f>
        <v/>
      </c>
      <c r="H752" s="63"/>
      <c r="I752" s="72"/>
      <c r="J752" s="71"/>
    </row>
    <row r="753" spans="1:15" x14ac:dyDescent="0.25">
      <c r="A753" s="63" t="str">
        <f>IF(AND(G753="",H753=""),"SUPPR",SAISIE!$B$3)</f>
        <v>SUPPR</v>
      </c>
      <c r="B753" s="63" t="str">
        <f>IF(SAISIE!M56="","",IF(LEN(SAISIE!B56)=1,CONCATENATE("0",SAISIE!B56,"/",SAISIE!$B$4,"/",SAISIE!$B$5),CONCATENATE(SAISIE!B56,"/",SAISIE!$B$4,"/",SAISIE!$B$5)))</f>
        <v/>
      </c>
      <c r="C753" s="74" t="str">
        <f>IF(SAISIE!M56="","",SAISIE!$M$8)</f>
        <v/>
      </c>
      <c r="D753" s="74" t="str">
        <f>IF(SAISIE!M56="","",SAISIE!E56)</f>
        <v/>
      </c>
      <c r="E753" s="74" t="str">
        <f>IF(SAISIE!M56="","",SAISIE!F56)</f>
        <v/>
      </c>
      <c r="F753" s="75" t="str">
        <f>IF(SAISIE!$M56="","",IF(SAISIE!$N56="","",SAISIE!$N56))</f>
        <v/>
      </c>
      <c r="G753" s="74" t="str">
        <f>IF(SAISIE!M56="","",SAISIE!M56)</f>
        <v/>
      </c>
      <c r="H753" s="76"/>
      <c r="I753" s="77"/>
      <c r="J753" s="78"/>
    </row>
    <row r="754" spans="1:15" x14ac:dyDescent="0.25">
      <c r="A754" s="63" t="str">
        <f>IF(AND(G754="",H754=""),"SUPPR",SAISIE!$B$3)</f>
        <v>SUPPR</v>
      </c>
      <c r="B754" s="64" t="str">
        <f>IF(SAISIE!B57="","",IF(LEN(SAISIE!B57)=1,CONCATENATE("0",SAISIE!B57,"/",SAISIE!$B$4,"/",SAISIE!$B$5),CONCATENATE(SAISIE!B57,"/",SAISIE!$B$4,"/",SAISIE!$B$5)))</f>
        <v/>
      </c>
      <c r="C754" s="64" t="str">
        <f>IF(SAISIE!B57="","",CONCATENATE($M$2,SAISIE!C57))</f>
        <v/>
      </c>
      <c r="D754" s="64" t="str">
        <f>IF(SAISIE!B57="","",SAISIE!E57)</f>
        <v/>
      </c>
      <c r="E754" s="64" t="str">
        <f>IF(SAISIE!B57="","",SAISIE!F57)</f>
        <v/>
      </c>
      <c r="F754" s="65" t="str">
        <f>IF(A754="SUPPR","",IF(SAISIE!$N57="","",SAISIE!$N57))</f>
        <v/>
      </c>
      <c r="G754" s="64"/>
      <c r="H754" s="64" t="str">
        <f>IF(SAISIE!B57="","",SAISIE!D57)</f>
        <v/>
      </c>
      <c r="I754" s="66"/>
      <c r="J754" s="67" t="str">
        <f>IF(AZ57="","","")</f>
        <v/>
      </c>
      <c r="O754" s="69">
        <f>O738+1</f>
        <v>57</v>
      </c>
    </row>
    <row r="755" spans="1:15" x14ac:dyDescent="0.25">
      <c r="A755" s="63" t="str">
        <f>IF(AND(G755="",H755=""),"SUPPR",SAISIE!$B$3)</f>
        <v>SUPPR</v>
      </c>
      <c r="B755" s="63" t="str">
        <f>IF(SAISIE!P57="","",IF(LEN(SAISIE!B57)=1,CONCATENATE("0",SAISIE!B57,"/",SAISIE!$B$4,"/",SAISIE!$B$5),CONCATENATE(SAISIE!B57,"/",SAISIE!$B$4,"/",SAISIE!$B$5)))</f>
        <v/>
      </c>
      <c r="C755" s="63" t="str">
        <f>IF(SAISIE!P57="","",SAISIE!O57)</f>
        <v/>
      </c>
      <c r="D755" s="63" t="str">
        <f>IF(SAISIE!P57="","",SAISIE!E57)</f>
        <v/>
      </c>
      <c r="E755" s="63" t="str">
        <f>IF(SAISIE!P57="","",SAISIE!F57)</f>
        <v/>
      </c>
      <c r="F755" s="70" t="str">
        <f>IF(SAISIE!$P57="","",IF(SAISIE!$N57="","",SAISIE!$N57))</f>
        <v/>
      </c>
      <c r="G755" s="63" t="str">
        <f>IF(SAISIE!P57="","",SAISIE!P57)</f>
        <v/>
      </c>
      <c r="H755" s="63"/>
      <c r="I755" s="63" t="str">
        <f>IF(SAISIE!$P57="","",SAISIE!$Q57)</f>
        <v/>
      </c>
      <c r="J755" s="71" t="str">
        <f>IF(COUNTBLANK(SAISIE!$J$6:$M$6)=4,"",IF(SAISIE!P57="","",IF(SAISIE!J57&gt;0,SAISIE!$J$6,IF(SAISIE!K57&gt;0,SAISIE!$K$6,IF(SAISIE!L57&gt;0,SAISIE!$L$6,IF(SAISIE!M57&gt;0,SAISIE!$M$6,""))))))</f>
        <v/>
      </c>
      <c r="O755" s="59" t="s">
        <v>50</v>
      </c>
    </row>
    <row r="756" spans="1:15" x14ac:dyDescent="0.25">
      <c r="A756" s="63" t="str">
        <f>IF(AND(G756="",H756=""),"SUPPR",SAISIE!$B$3)</f>
        <v>SUPPR</v>
      </c>
      <c r="B756" s="63" t="str">
        <f>IF(SAISIE!G57="","",IF(LEN(SAISIE!B57)=1,CONCATENATE("0",SAISIE!B57,"/",SAISIE!$B$4,"/",SAISIE!$B$5),CONCATENATE(SAISIE!B57,"/",SAISIE!$B$4,"/",SAISIE!$B$5)))</f>
        <v/>
      </c>
      <c r="C756" s="63" t="str">
        <f>IF(SAISIE!G57="","",SAISIE!$G$8)</f>
        <v/>
      </c>
      <c r="D756" s="63" t="str">
        <f>IF(SAISIE!G57="","",SAISIE!E57)</f>
        <v/>
      </c>
      <c r="E756" s="63" t="str">
        <f>IF(SAISIE!G57="","",SAISIE!F57)</f>
        <v/>
      </c>
      <c r="F756" s="70" t="str">
        <f>IF(SAISIE!$G57="","",IF(SAISIE!$N57="","",SAISIE!$N57))</f>
        <v/>
      </c>
      <c r="G756" s="63" t="str">
        <f>IF(SAISIE!G57="","",SAISIE!G57)</f>
        <v/>
      </c>
      <c r="H756" s="63"/>
      <c r="I756" s="63" t="str">
        <f>IF(SAISIE!$G57="","",SAISIE!$Q57)</f>
        <v/>
      </c>
      <c r="J756" s="71" t="str">
        <f>IF(COUNTBLANK(SAISIE!$J$6:$M$6)=4,"",IF(SAISIE!G57="","",IF(SAISIE!J57&gt;0,SAISIE!$J$6,IF(SAISIE!K57&gt;0,SAISIE!$K$6,IF(SAISIE!L57&gt;0,SAISIE!$L$6,IF(SAISIE!M57&gt;0,SAISIE!$M$6,""))))))</f>
        <v/>
      </c>
      <c r="O756" s="59" t="s">
        <v>51</v>
      </c>
    </row>
    <row r="757" spans="1:15" x14ac:dyDescent="0.25">
      <c r="A757" s="63" t="str">
        <f>IF(AND(G757="",H757=""),"SUPPR",SAISIE!$B$3)</f>
        <v>SUPPR</v>
      </c>
      <c r="B757" s="63" t="str">
        <f>IF(SAISIE!H57="","",IF(LEN(SAISIE!B57)=1,CONCATENATE("0",SAISIE!B57,"/",SAISIE!$B$4,"/",SAISIE!$B$5),CONCATENATE(SAISIE!B57,"/",SAISIE!$B$4,"/",SAISIE!$B$5)))</f>
        <v/>
      </c>
      <c r="C757" s="63" t="str">
        <f>IF(SAISIE!H57="","",SAISIE!$H$8)</f>
        <v/>
      </c>
      <c r="D757" s="63" t="str">
        <f>IF(SAISIE!H57="","",SAISIE!E57)</f>
        <v/>
      </c>
      <c r="E757" s="63" t="str">
        <f>IF(SAISIE!H57="","",SAISIE!F57)</f>
        <v/>
      </c>
      <c r="F757" s="70" t="str">
        <f>IF(SAISIE!$H57="","",IF(SAISIE!$N57="","",SAISIE!$N57))</f>
        <v/>
      </c>
      <c r="G757" s="63" t="str">
        <f>IF(SAISIE!H57="","",SAISIE!H57)</f>
        <v/>
      </c>
      <c r="H757" s="63"/>
      <c r="I757" s="63" t="str">
        <f>IF(SAISIE!$H57="","",SAISIE!$Q57)</f>
        <v/>
      </c>
      <c r="J757" s="71" t="str">
        <f>IF(COUNTBLANK(SAISIE!$J$6:$M$6)=4,"",IF(SAISIE!H57="","",IF(SAISIE!J57&gt;0,SAISIE!$J$6,IF(SAISIE!K57&gt;0,SAISIE!$K$6,IF(SAISIE!L57&gt;0,SAISIE!$L$6,IF(SAISIE!M57&gt;0,SAISIE!$M$6,""))))))</f>
        <v/>
      </c>
      <c r="O757" s="59" t="s">
        <v>52</v>
      </c>
    </row>
    <row r="758" spans="1:15" x14ac:dyDescent="0.25">
      <c r="A758" s="63" t="str">
        <f>IF(AND(G758="",H758=""),"SUPPR",SAISIE!$B$3)</f>
        <v>SUPPR</v>
      </c>
      <c r="B758" s="63" t="str">
        <f>IF(SAISIE!I57="","",IF(LEN(SAISIE!B57)=1,CONCATENATE("0",SAISIE!B57,"/",SAISIE!$B$4,"/",SAISIE!$B$5),CONCATENATE(SAISIE!B57,"/",SAISIE!$B$4,"/",SAISIE!$B$5)))</f>
        <v/>
      </c>
      <c r="C758" s="63" t="str">
        <f>IF(SAISIE!I57="","",SAISIE!$I$8)</f>
        <v/>
      </c>
      <c r="D758" s="63" t="str">
        <f>IF(SAISIE!I57="","",SAISIE!E57)</f>
        <v/>
      </c>
      <c r="E758" s="63" t="str">
        <f>IF(SAISIE!I57="","",SAISIE!F57)</f>
        <v/>
      </c>
      <c r="F758" s="70" t="str">
        <f>IF(SAISIE!$I57="","",IF(SAISIE!$N57="","",SAISIE!$N57))</f>
        <v/>
      </c>
      <c r="G758" s="63" t="str">
        <f>IF(SAISIE!I57="","",SAISIE!I57)</f>
        <v/>
      </c>
      <c r="H758" s="63"/>
      <c r="I758" s="63" t="str">
        <f>IF(SAISIE!$I57="","",SAISIE!$Q57)</f>
        <v/>
      </c>
      <c r="J758" s="71" t="str">
        <f>IF(COUNTBLANK(SAISIE!$J$6:$M$6)=4,"",IF(SAISIE!I57="","",IF(SAISIE!J57&gt;0,SAISIE!$J$6,IF(SAISIE!K57&gt;0,SAISIE!$K$6,IF(SAISIE!L57&gt;0,SAISIE!$L$6,IF(SAISIE!M57&gt;0,SAISIE!$M$6,""))))))</f>
        <v/>
      </c>
      <c r="O758" s="59" t="s">
        <v>53</v>
      </c>
    </row>
    <row r="759" spans="1:15" x14ac:dyDescent="0.25">
      <c r="A759" s="63" t="e">
        <f>IF(AND(G759="",H759=""),"SUPPR",SAISIE!$B$3)</f>
        <v>#REF!</v>
      </c>
      <c r="B759" s="63" t="e">
        <f>IF(SAISIE!#REF!="","",IF(LEN(SAISIE!B57)=1,CONCATENATE("0",SAISIE!B57,"/",SAISIE!$B$4,"/",SAISIE!$B$5),CONCATENATE(SAISIE!B57,"/",SAISIE!$B$4,"/",SAISIE!$B$5)))</f>
        <v>#REF!</v>
      </c>
      <c r="C759" s="63" t="e">
        <f>IF(SAISIE!#REF!="","",SAISIE!#REF!)</f>
        <v>#REF!</v>
      </c>
      <c r="D759" s="63" t="e">
        <f>IF(SAISIE!#REF!="","",SAISIE!E57)</f>
        <v>#REF!</v>
      </c>
      <c r="E759" s="63" t="e">
        <f>IF(SAISIE!#REF!="","",SAISIE!F57)</f>
        <v>#REF!</v>
      </c>
      <c r="F759" s="70" t="e">
        <f>IF(SAISIE!#REF!="","",IF(SAISIE!$N57="","",SAISIE!$N57))</f>
        <v>#REF!</v>
      </c>
      <c r="G759" s="63" t="e">
        <f>IF(SAISIE!#REF!="","",SAISIE!#REF!)</f>
        <v>#REF!</v>
      </c>
      <c r="H759" s="63"/>
      <c r="I759" s="63" t="e">
        <f>IF(SAISIE!#REF!="","",SAISIE!$Q57)</f>
        <v>#REF!</v>
      </c>
      <c r="J759" s="71" t="str">
        <f>IF(COUNTBLANK(SAISIE!$J$6:$M$6)=4,"",IF(SAISIE!#REF!="","",IF(SAISIE!J57&gt;0,SAISIE!$J$6,IF(SAISIE!K57&gt;0,SAISIE!$K$6,IF(SAISIE!L57&gt;0,SAISIE!$L$6,IF(SAISIE!M57&gt;0,SAISIE!$M$6,""))))))</f>
        <v/>
      </c>
      <c r="O759" s="59" t="s">
        <v>54</v>
      </c>
    </row>
    <row r="760" spans="1:15" x14ac:dyDescent="0.25">
      <c r="A760" s="63" t="e">
        <f>IF(AND(G760="",H760=""),"SUPPR",SAISIE!$B$3)</f>
        <v>#REF!</v>
      </c>
      <c r="B760" s="63" t="e">
        <f>IF(SAISIE!#REF!="","",IF(LEN(SAISIE!B57)=1,CONCATENATE("0",SAISIE!B57,"/",SAISIE!$B$4,"/",SAISIE!$B$5),CONCATENATE(SAISIE!B57,"/",SAISIE!$B$4,"/",SAISIE!$B$5)))</f>
        <v>#REF!</v>
      </c>
      <c r="C760" s="63" t="e">
        <f>IF(SAISIE!#REF!="","",SAISIE!#REF!)</f>
        <v>#REF!</v>
      </c>
      <c r="D760" s="63" t="e">
        <f>IF(SAISIE!#REF!="","",SAISIE!E57)</f>
        <v>#REF!</v>
      </c>
      <c r="E760" s="63" t="e">
        <f>IF(SAISIE!#REF!="","",SAISIE!F57)</f>
        <v>#REF!</v>
      </c>
      <c r="F760" s="70" t="e">
        <f>IF(SAISIE!#REF!="","",IF(SAISIE!$N57="","",SAISIE!$N57))</f>
        <v>#REF!</v>
      </c>
      <c r="G760" s="63" t="e">
        <f>IF(SAISIE!#REF!="","",SAISIE!#REF!)</f>
        <v>#REF!</v>
      </c>
      <c r="H760" s="63"/>
      <c r="I760" s="63" t="e">
        <f>IF(SAISIE!#REF!="","",SAISIE!$Q57)</f>
        <v>#REF!</v>
      </c>
      <c r="J760" s="71" t="str">
        <f>IF(COUNTBLANK(SAISIE!$J$6:$M$6)=4,"",IF(SAISIE!#REF!="","",IF(SAISIE!J57&gt;0,SAISIE!$J$6,IF(SAISIE!K57&gt;0,SAISIE!$K$6,IF(SAISIE!L57&gt;0,SAISIE!$L$6,IF(SAISIE!M57&gt;0,SAISIE!$M$6,""))))))</f>
        <v/>
      </c>
      <c r="O760" s="59" t="s">
        <v>55</v>
      </c>
    </row>
    <row r="761" spans="1:15" x14ac:dyDescent="0.25">
      <c r="A761" s="63" t="e">
        <f>IF(AND(G761="",H761=""),"SUPPR",SAISIE!$B$3)</f>
        <v>#REF!</v>
      </c>
      <c r="B761" s="63" t="e">
        <f>IF(SAISIE!#REF!="","",IF(LEN(SAISIE!B57)=1,CONCATENATE("0",SAISIE!B57,"/",SAISIE!$B$4,"/",SAISIE!$B$5),CONCATENATE(SAISIE!B57,"/",SAISIE!$B$4,"/",SAISIE!$B$5)))</f>
        <v>#REF!</v>
      </c>
      <c r="C761" s="63" t="e">
        <f>IF(SAISIE!#REF!="","",SAISIE!#REF!)</f>
        <v>#REF!</v>
      </c>
      <c r="D761" s="63" t="e">
        <f>IF(SAISIE!#REF!="","",SAISIE!E57)</f>
        <v>#REF!</v>
      </c>
      <c r="E761" s="63" t="e">
        <f>IF(SAISIE!#REF!="","",SAISIE!F57)</f>
        <v>#REF!</v>
      </c>
      <c r="F761" s="70" t="e">
        <f>IF(SAISIE!#REF!="","",IF(SAISIE!$N57="","",SAISIE!$N57))</f>
        <v>#REF!</v>
      </c>
      <c r="G761" s="63" t="e">
        <f>IF(SAISIE!#REF!="","",SAISIE!#REF!)</f>
        <v>#REF!</v>
      </c>
      <c r="H761" s="63"/>
      <c r="I761" s="63" t="e">
        <f>IF(SAISIE!#REF!="","",SAISIE!$Q57)</f>
        <v>#REF!</v>
      </c>
      <c r="J761" s="71" t="str">
        <f>IF(COUNTBLANK(SAISIE!$J$6:$M$6)=4,"",IF(SAISIE!#REF!="","",IF(SAISIE!J57&gt;0,SAISIE!$J$6,IF(SAISIE!K57&gt;0,SAISIE!$K$6,IF(SAISIE!L57&gt;0,SAISIE!$L$6,IF(SAISIE!M57&gt;0,SAISIE!$M$6,""))))))</f>
        <v/>
      </c>
      <c r="O761" s="59" t="s">
        <v>56</v>
      </c>
    </row>
    <row r="762" spans="1:15" x14ac:dyDescent="0.25">
      <c r="A762" s="63" t="e">
        <f>IF(AND(G762="",H762=""),"SUPPR",SAISIE!$B$3)</f>
        <v>#REF!</v>
      </c>
      <c r="B762" s="63" t="e">
        <f>IF(SAISIE!#REF!="","",IF(LEN(SAISIE!B57)=1,CONCATENATE("0",SAISIE!B57,"/",SAISIE!$B$4,"/",SAISIE!$B$5),CONCATENATE(SAISIE!B57,"/",SAISIE!$B$4,"/",SAISIE!$B$5)))</f>
        <v>#REF!</v>
      </c>
      <c r="C762" s="63" t="e">
        <f>IF(SAISIE!#REF!="","",SAISIE!#REF!)</f>
        <v>#REF!</v>
      </c>
      <c r="D762" s="63" t="e">
        <f>IF(SAISIE!#REF!="","",SAISIE!E57)</f>
        <v>#REF!</v>
      </c>
      <c r="E762" s="63" t="e">
        <f>IF(SAISIE!#REF!="","",SAISIE!F57)</f>
        <v>#REF!</v>
      </c>
      <c r="F762" s="70" t="e">
        <f>IF(SAISIE!#REF!="","",IF(SAISIE!$N57="","",SAISIE!$N57))</f>
        <v>#REF!</v>
      </c>
      <c r="G762" s="63" t="e">
        <f>IF(SAISIE!#REF!="","",SAISIE!#REF!)</f>
        <v>#REF!</v>
      </c>
      <c r="H762" s="63"/>
      <c r="I762" s="63" t="e">
        <f>IF(SAISIE!#REF!="","",SAISIE!$Q57)</f>
        <v>#REF!</v>
      </c>
      <c r="J762" s="71" t="str">
        <f>IF(COUNTBLANK(SAISIE!$J$6:$M$6)=4,"",IF(SAISIE!#REF!="","",IF(SAISIE!J57&gt;0,SAISIE!$J$6,IF(SAISIE!K57&gt;0,SAISIE!$K$6,IF(SAISIE!L57&gt;0,SAISIE!$L$6,IF(SAISIE!M57&gt;0,SAISIE!$M$6,""))))))</f>
        <v/>
      </c>
      <c r="O762" s="59" t="s">
        <v>57</v>
      </c>
    </row>
    <row r="763" spans="1:15" x14ac:dyDescent="0.25">
      <c r="A763" s="63" t="e">
        <f>IF(AND(G763="",H763=""),"SUPPR",SAISIE!$B$3)</f>
        <v>#REF!</v>
      </c>
      <c r="B763" s="63" t="e">
        <f>IF(SAISIE!#REF!="","",IF(LEN(SAISIE!B57)=1,CONCATENATE("0",SAISIE!B57,"/",SAISIE!$B$4,"/",SAISIE!$B$5),CONCATENATE(SAISIE!B57,"/",SAISIE!$B$4,"/",SAISIE!$B$5)))</f>
        <v>#REF!</v>
      </c>
      <c r="C763" s="63" t="e">
        <f>IF(SAISIE!#REF!="","",SAISIE!#REF!)</f>
        <v>#REF!</v>
      </c>
      <c r="D763" s="63" t="e">
        <f>IF(SAISIE!#REF!="","",SAISIE!E57)</f>
        <v>#REF!</v>
      </c>
      <c r="E763" s="63" t="e">
        <f>IF(SAISIE!#REF!="","",SAISIE!F57)</f>
        <v>#REF!</v>
      </c>
      <c r="F763" s="70" t="e">
        <f>IF(SAISIE!#REF!="","",IF(SAISIE!$N57="","",SAISIE!$N57))</f>
        <v>#REF!</v>
      </c>
      <c r="G763" s="63" t="e">
        <f>IF(SAISIE!#REF!="","",SAISIE!#REF!)</f>
        <v>#REF!</v>
      </c>
      <c r="H763" s="63"/>
      <c r="I763" s="63" t="e">
        <f>IF(SAISIE!#REF!="","",SAISIE!$Q57)</f>
        <v>#REF!</v>
      </c>
      <c r="J763" s="71" t="str">
        <f>IF(COUNTBLANK(SAISIE!$J$6:$M$6)=4,"",IF(SAISIE!#REF!="","",IF(SAISIE!J57&gt;0,SAISIE!$J$6,IF(SAISIE!K57&gt;0,SAISIE!$K$6,IF(SAISIE!L57&gt;0,SAISIE!$L$6,IF(SAISIE!M57&gt;0,SAISIE!$M$6,""))))))</f>
        <v/>
      </c>
      <c r="O763" s="59" t="s">
        <v>58</v>
      </c>
    </row>
    <row r="764" spans="1:15" x14ac:dyDescent="0.25">
      <c r="A764" s="63" t="e">
        <f>IF(AND(G764="",H764=""),"SUPPR",SAISIE!$B$3)</f>
        <v>#REF!</v>
      </c>
      <c r="B764" s="63" t="e">
        <f>IF(SAISIE!#REF!="","",IF(LEN(SAISIE!B57)=1,CONCATENATE("0",SAISIE!B57,"/",SAISIE!$B$4,"/",SAISIE!$B$5),CONCATENATE(SAISIE!B57,"/",SAISIE!$B$4,"/",SAISIE!$B$5)))</f>
        <v>#REF!</v>
      </c>
      <c r="C764" s="63" t="e">
        <f>IF(SAISIE!#REF!="","",SAISIE!#REF!)</f>
        <v>#REF!</v>
      </c>
      <c r="D764" s="63" t="e">
        <f>IF(SAISIE!#REF!="","",SAISIE!E57)</f>
        <v>#REF!</v>
      </c>
      <c r="E764" s="63" t="e">
        <f>IF(SAISIE!#REF!="","",SAISIE!F57)</f>
        <v>#REF!</v>
      </c>
      <c r="F764" s="70" t="e">
        <f>IF(SAISIE!#REF!="","",IF(SAISIE!$N57="","",SAISIE!$N57))</f>
        <v>#REF!</v>
      </c>
      <c r="G764" s="63" t="e">
        <f>IF(SAISIE!#REF!="","",SAISIE!#REF!)</f>
        <v>#REF!</v>
      </c>
      <c r="H764" s="63"/>
      <c r="I764" s="63" t="e">
        <f>IF(SAISIE!#REF!="","",SAISIE!$Q57)</f>
        <v>#REF!</v>
      </c>
      <c r="J764" s="71" t="str">
        <f>IF(COUNTBLANK(SAISIE!$J$6:$M$6)=4,"",IF(SAISIE!#REF!="","",IF(SAISIE!J57&gt;0,SAISIE!$J$6,IF(SAISIE!K57&gt;0,SAISIE!$K$6,IF(SAISIE!L57&gt;0,SAISIE!$L$6,IF(SAISIE!M57&gt;0,SAISIE!$M$6,""))))))</f>
        <v/>
      </c>
      <c r="O764" s="59" t="s">
        <v>59</v>
      </c>
    </row>
    <row r="765" spans="1:15" x14ac:dyDescent="0.25">
      <c r="A765" s="63" t="e">
        <f>IF(AND(G765="",H765=""),"SUPPR",SAISIE!$B$3)</f>
        <v>#REF!</v>
      </c>
      <c r="B765" s="63" t="e">
        <f>IF(SAISIE!#REF!="","",IF(LEN(SAISIE!B57)=1,CONCATENATE("0",SAISIE!B57,"/",SAISIE!$B$4,"/",SAISIE!$B$5),CONCATENATE(SAISIE!B57,"/",SAISIE!$B$4,"/",SAISIE!$B$5)))</f>
        <v>#REF!</v>
      </c>
      <c r="C765" s="63" t="e">
        <f>IF(SAISIE!#REF!="","",SAISIE!#REF!)</f>
        <v>#REF!</v>
      </c>
      <c r="D765" s="63" t="e">
        <f>IF(SAISIE!#REF!="","",SAISIE!E57)</f>
        <v>#REF!</v>
      </c>
      <c r="E765" s="63" t="e">
        <f>IF(SAISIE!#REF!="","",SAISIE!F57)</f>
        <v>#REF!</v>
      </c>
      <c r="F765" s="70" t="e">
        <f>IF(SAISIE!#REF!="","",IF(SAISIE!$N57="","",SAISIE!$N57))</f>
        <v>#REF!</v>
      </c>
      <c r="G765" s="63" t="e">
        <f>IF(SAISIE!#REF!="","",SAISIE!#REF!)</f>
        <v>#REF!</v>
      </c>
      <c r="H765" s="63"/>
      <c r="I765" s="63" t="e">
        <f>IF(SAISIE!#REF!="","",SAISIE!$Q57)</f>
        <v>#REF!</v>
      </c>
      <c r="J765" s="71" t="str">
        <f>IF(COUNTBLANK(SAISIE!$J$6:$M$6)=4,"",IF(SAISIE!#REF!="","",IF(SAISIE!J57&gt;0,SAISIE!$J$6,IF(SAISIE!K57&gt;0,SAISIE!$K$6,IF(SAISIE!L57&gt;0,SAISIE!$L$6,IF(SAISIE!M57&gt;0,SAISIE!$M$6,""))))))</f>
        <v/>
      </c>
      <c r="O765" s="59" t="s">
        <v>60</v>
      </c>
    </row>
    <row r="766" spans="1:15" x14ac:dyDescent="0.25">
      <c r="A766" s="63" t="str">
        <f>IF(AND(G766="",H766=""),"SUPPR",SAISIE!$B$3)</f>
        <v>SUPPR</v>
      </c>
      <c r="B766" s="63" t="str">
        <f>IF(SAISIE!J57="","",IF(LEN(SAISIE!B57)=1,CONCATENATE("0",SAISIE!B57,"/",SAISIE!$B$4,"/",SAISIE!$B$5),CONCATENATE(SAISIE!B57,"/",SAISIE!$B$4,"/",SAISIE!$B$5)))</f>
        <v/>
      </c>
      <c r="C766" s="63" t="str">
        <f>IF(SAISIE!J57="","",SAISIE!$J$8)</f>
        <v/>
      </c>
      <c r="D766" s="63" t="str">
        <f>IF(SAISIE!J57="","",SAISIE!E57)</f>
        <v/>
      </c>
      <c r="E766" s="63" t="str">
        <f>IF(SAISIE!J57="","",SAISIE!F57)</f>
        <v/>
      </c>
      <c r="F766" s="70" t="str">
        <f>IF(SAISIE!$J57="","",IF(SAISIE!$N57="","",SAISIE!$N57))</f>
        <v/>
      </c>
      <c r="G766" s="63" t="str">
        <f>IF(SAISIE!J57="","",SAISIE!J57)</f>
        <v/>
      </c>
      <c r="H766" s="63"/>
      <c r="I766" s="72"/>
      <c r="J766" s="71"/>
      <c r="O766" s="73"/>
    </row>
    <row r="767" spans="1:15" x14ac:dyDescent="0.25">
      <c r="A767" s="63" t="str">
        <f>IF(AND(G767="",H767=""),"SUPPR",SAISIE!$B$3)</f>
        <v>SUPPR</v>
      </c>
      <c r="B767" s="63" t="str">
        <f>IF(SAISIE!K57="","",IF(LEN(SAISIE!B57)=1,CONCATENATE("0",SAISIE!B57,"/",SAISIE!$B$4,"/",SAISIE!$B$5),CONCATENATE(SAISIE!B57,"/",SAISIE!$B$4,"/",SAISIE!$B$5)))</f>
        <v/>
      </c>
      <c r="C767" s="63" t="str">
        <f>IF(SAISIE!K57="","",SAISIE!$K$8)</f>
        <v/>
      </c>
      <c r="D767" s="63" t="str">
        <f>IF(SAISIE!K57="","",SAISIE!E57)</f>
        <v/>
      </c>
      <c r="E767" s="63" t="str">
        <f>IF(SAISIE!K57="","",SAISIE!F57)</f>
        <v/>
      </c>
      <c r="F767" s="70" t="str">
        <f>IF(SAISIE!$K57="","",IF(SAISIE!$N57="","",SAISIE!$N57))</f>
        <v/>
      </c>
      <c r="G767" s="63" t="str">
        <f>IF(SAISIE!K57="","",SAISIE!K57)</f>
        <v/>
      </c>
      <c r="H767" s="63"/>
      <c r="I767" s="72"/>
      <c r="J767" s="71"/>
    </row>
    <row r="768" spans="1:15" x14ac:dyDescent="0.25">
      <c r="A768" s="63" t="str">
        <f>IF(AND(G768="",H768=""),"SUPPR",SAISIE!$B$3)</f>
        <v>SUPPR</v>
      </c>
      <c r="B768" s="63" t="str">
        <f>IF(SAISIE!L57="","",IF(LEN(SAISIE!B57)=1,CONCATENATE("0",SAISIE!B57,"/",SAISIE!$B$4,"/",SAISIE!$B$5),CONCATENATE(SAISIE!B57,"/",SAISIE!$B$4,"/",SAISIE!$B$5)))</f>
        <v/>
      </c>
      <c r="C768" s="63" t="str">
        <f>IF(SAISIE!L57="","",SAISIE!$L$8)</f>
        <v/>
      </c>
      <c r="D768" s="63" t="str">
        <f>IF(SAISIE!L57="","",SAISIE!E57)</f>
        <v/>
      </c>
      <c r="E768" s="63" t="str">
        <f>IF(SAISIE!L57="","",SAISIE!F57)</f>
        <v/>
      </c>
      <c r="F768" s="70" t="str">
        <f>IF(SAISIE!$L57="","",IF(SAISIE!$N57="","",SAISIE!$N57))</f>
        <v/>
      </c>
      <c r="G768" s="63" t="str">
        <f>IF(SAISIE!L57="","",SAISIE!L57)</f>
        <v/>
      </c>
      <c r="H768" s="63"/>
      <c r="I768" s="72"/>
      <c r="J768" s="71"/>
    </row>
    <row r="769" spans="1:15" x14ac:dyDescent="0.25">
      <c r="A769" s="63" t="str">
        <f>IF(AND(G769="",H769=""),"SUPPR",SAISIE!$B$3)</f>
        <v>SUPPR</v>
      </c>
      <c r="B769" s="63" t="str">
        <f>IF(SAISIE!M57="","",IF(LEN(SAISIE!B57)=1,CONCATENATE("0",SAISIE!B57,"/",SAISIE!$B$4,"/",SAISIE!$B$5),CONCATENATE(SAISIE!B57,"/",SAISIE!$B$4,"/",SAISIE!$B$5)))</f>
        <v/>
      </c>
      <c r="C769" s="74" t="str">
        <f>IF(SAISIE!M57="","",SAISIE!$M$8)</f>
        <v/>
      </c>
      <c r="D769" s="74" t="str">
        <f>IF(SAISIE!M57="","",SAISIE!E57)</f>
        <v/>
      </c>
      <c r="E769" s="74" t="str">
        <f>IF(SAISIE!M57="","",SAISIE!F57)</f>
        <v/>
      </c>
      <c r="F769" s="75" t="str">
        <f>IF(SAISIE!$M57="","",IF(SAISIE!$N57="","",SAISIE!$N57))</f>
        <v/>
      </c>
      <c r="G769" s="74" t="str">
        <f>IF(SAISIE!M57="","",SAISIE!M57)</f>
        <v/>
      </c>
      <c r="H769" s="76"/>
      <c r="I769" s="77"/>
      <c r="J769" s="78"/>
    </row>
    <row r="770" spans="1:15" x14ac:dyDescent="0.25">
      <c r="A770" s="63" t="str">
        <f>IF(AND(G770="",H770=""),"SUPPR",SAISIE!$B$3)</f>
        <v>SUPPR</v>
      </c>
      <c r="B770" s="64" t="str">
        <f>IF(SAISIE!B58="","",IF(LEN(SAISIE!B58)=1,CONCATENATE("0",SAISIE!B58,"/",SAISIE!$B$4,"/",SAISIE!$B$5),CONCATENATE(SAISIE!B58,"/",SAISIE!$B$4,"/",SAISIE!$B$5)))</f>
        <v/>
      </c>
      <c r="C770" s="64" t="str">
        <f>IF(SAISIE!B58="","",CONCATENATE($M$2,SAISIE!C58))</f>
        <v/>
      </c>
      <c r="D770" s="64" t="str">
        <f>IF(SAISIE!B58="","",SAISIE!E58)</f>
        <v/>
      </c>
      <c r="E770" s="64" t="str">
        <f>IF(SAISIE!B58="","",SAISIE!F58)</f>
        <v/>
      </c>
      <c r="F770" s="65" t="str">
        <f>IF(A770="SUPPR","",IF(SAISIE!$N58="","",SAISIE!$N58))</f>
        <v/>
      </c>
      <c r="G770" s="64"/>
      <c r="H770" s="64" t="str">
        <f>IF(SAISIE!B58="","",SAISIE!D58)</f>
        <v/>
      </c>
      <c r="I770" s="66"/>
      <c r="J770" s="67" t="str">
        <f>IF(AZ58="","","")</f>
        <v/>
      </c>
      <c r="O770" s="69">
        <f>O754+1</f>
        <v>58</v>
      </c>
    </row>
    <row r="771" spans="1:15" x14ac:dyDescent="0.25">
      <c r="A771" s="63" t="str">
        <f>IF(AND(G771="",H771=""),"SUPPR",SAISIE!$B$3)</f>
        <v>SUPPR</v>
      </c>
      <c r="B771" s="63" t="str">
        <f>IF(SAISIE!P58="","",IF(LEN(SAISIE!B58)=1,CONCATENATE("0",SAISIE!B58,"/",SAISIE!$B$4,"/",SAISIE!$B$5),CONCATENATE(SAISIE!B58,"/",SAISIE!$B$4,"/",SAISIE!$B$5)))</f>
        <v/>
      </c>
      <c r="C771" s="63" t="str">
        <f>IF(SAISIE!P58="","",SAISIE!O58)</f>
        <v/>
      </c>
      <c r="D771" s="63" t="str">
        <f>IF(SAISIE!P58="","",SAISIE!E58)</f>
        <v/>
      </c>
      <c r="E771" s="63" t="str">
        <f>IF(SAISIE!P58="","",SAISIE!F58)</f>
        <v/>
      </c>
      <c r="F771" s="70" t="str">
        <f>IF(SAISIE!$P58="","",IF(SAISIE!$N58="","",SAISIE!$N58))</f>
        <v/>
      </c>
      <c r="G771" s="63" t="str">
        <f>IF(SAISIE!P58="","",SAISIE!P58)</f>
        <v/>
      </c>
      <c r="H771" s="63"/>
      <c r="I771" s="63" t="str">
        <f>IF(SAISIE!$P58="","",SAISIE!$Q58)</f>
        <v/>
      </c>
      <c r="J771" s="71" t="str">
        <f>IF(COUNTBLANK(SAISIE!$J$6:$M$6)=4,"",IF(SAISIE!P58="","",IF(SAISIE!J58&gt;0,SAISIE!$J$6,IF(SAISIE!K58&gt;0,SAISIE!$K$6,IF(SAISIE!L58&gt;0,SAISIE!$L$6,IF(SAISIE!M58&gt;0,SAISIE!$M$6,""))))))</f>
        <v/>
      </c>
      <c r="O771" s="59" t="s">
        <v>50</v>
      </c>
    </row>
    <row r="772" spans="1:15" x14ac:dyDescent="0.25">
      <c r="A772" s="63" t="str">
        <f>IF(AND(G772="",H772=""),"SUPPR",SAISIE!$B$3)</f>
        <v>SUPPR</v>
      </c>
      <c r="B772" s="63" t="str">
        <f>IF(SAISIE!G58="","",IF(LEN(SAISIE!B58)=1,CONCATENATE("0",SAISIE!B58,"/",SAISIE!$B$4,"/",SAISIE!$B$5),CONCATENATE(SAISIE!B58,"/",SAISIE!$B$4,"/",SAISIE!$B$5)))</f>
        <v/>
      </c>
      <c r="C772" s="63" t="str">
        <f>IF(SAISIE!G58="","",SAISIE!$G$8)</f>
        <v/>
      </c>
      <c r="D772" s="63" t="str">
        <f>IF(SAISIE!G58="","",SAISIE!E58)</f>
        <v/>
      </c>
      <c r="E772" s="63" t="str">
        <f>IF(SAISIE!G58="","",SAISIE!F58)</f>
        <v/>
      </c>
      <c r="F772" s="70" t="str">
        <f>IF(SAISIE!$G58="","",IF(SAISIE!$N58="","",SAISIE!$N58))</f>
        <v/>
      </c>
      <c r="G772" s="63" t="str">
        <f>IF(SAISIE!G58="","",SAISIE!G58)</f>
        <v/>
      </c>
      <c r="H772" s="63"/>
      <c r="I772" s="63" t="str">
        <f>IF(SAISIE!$G58="","",SAISIE!$Q58)</f>
        <v/>
      </c>
      <c r="J772" s="71" t="str">
        <f>IF(COUNTBLANK(SAISIE!$J$6:$M$6)=4,"",IF(SAISIE!G58="","",IF(SAISIE!J58&gt;0,SAISIE!$J$6,IF(SAISIE!K58&gt;0,SAISIE!$K$6,IF(SAISIE!L58&gt;0,SAISIE!$L$6,IF(SAISIE!M58&gt;0,SAISIE!$M$6,""))))))</f>
        <v/>
      </c>
      <c r="O772" s="59" t="s">
        <v>51</v>
      </c>
    </row>
    <row r="773" spans="1:15" x14ac:dyDescent="0.25">
      <c r="A773" s="63" t="str">
        <f>IF(AND(G773="",H773=""),"SUPPR",SAISIE!$B$3)</f>
        <v>SUPPR</v>
      </c>
      <c r="B773" s="63" t="str">
        <f>IF(SAISIE!H58="","",IF(LEN(SAISIE!B58)=1,CONCATENATE("0",SAISIE!B58,"/",SAISIE!$B$4,"/",SAISIE!$B$5),CONCATENATE(SAISIE!B58,"/",SAISIE!$B$4,"/",SAISIE!$B$5)))</f>
        <v/>
      </c>
      <c r="C773" s="63" t="str">
        <f>IF(SAISIE!H58="","",SAISIE!$H$8)</f>
        <v/>
      </c>
      <c r="D773" s="63" t="str">
        <f>IF(SAISIE!H58="","",SAISIE!E58)</f>
        <v/>
      </c>
      <c r="E773" s="63" t="str">
        <f>IF(SAISIE!H58="","",SAISIE!F58)</f>
        <v/>
      </c>
      <c r="F773" s="70" t="str">
        <f>IF(SAISIE!$H58="","",IF(SAISIE!$N58="","",SAISIE!$N58))</f>
        <v/>
      </c>
      <c r="G773" s="63" t="str">
        <f>IF(SAISIE!H58="","",SAISIE!H58)</f>
        <v/>
      </c>
      <c r="H773" s="63"/>
      <c r="I773" s="63" t="str">
        <f>IF(SAISIE!$H58="","",SAISIE!$Q58)</f>
        <v/>
      </c>
      <c r="J773" s="71" t="str">
        <f>IF(COUNTBLANK(SAISIE!$J$6:$M$6)=4,"",IF(SAISIE!H58="","",IF(SAISIE!J58&gt;0,SAISIE!$J$6,IF(SAISIE!K58&gt;0,SAISIE!$K$6,IF(SAISIE!L58&gt;0,SAISIE!$L$6,IF(SAISIE!M58&gt;0,SAISIE!$M$6,""))))))</f>
        <v/>
      </c>
      <c r="O773" s="59" t="s">
        <v>52</v>
      </c>
    </row>
    <row r="774" spans="1:15" x14ac:dyDescent="0.25">
      <c r="A774" s="63" t="str">
        <f>IF(AND(G774="",H774=""),"SUPPR",SAISIE!$B$3)</f>
        <v>SUPPR</v>
      </c>
      <c r="B774" s="63" t="str">
        <f>IF(SAISIE!I58="","",IF(LEN(SAISIE!B58)=1,CONCATENATE("0",SAISIE!B58,"/",SAISIE!$B$4,"/",SAISIE!$B$5),CONCATENATE(SAISIE!B58,"/",SAISIE!$B$4,"/",SAISIE!$B$5)))</f>
        <v/>
      </c>
      <c r="C774" s="63" t="str">
        <f>IF(SAISIE!I58="","",SAISIE!$I$8)</f>
        <v/>
      </c>
      <c r="D774" s="63" t="str">
        <f>IF(SAISIE!I58="","",SAISIE!E58)</f>
        <v/>
      </c>
      <c r="E774" s="63" t="str">
        <f>IF(SAISIE!I58="","",SAISIE!F58)</f>
        <v/>
      </c>
      <c r="F774" s="70" t="str">
        <f>IF(SAISIE!$I58="","",IF(SAISIE!$N58="","",SAISIE!$N58))</f>
        <v/>
      </c>
      <c r="G774" s="63" t="str">
        <f>IF(SAISIE!I58="","",SAISIE!I58)</f>
        <v/>
      </c>
      <c r="H774" s="63"/>
      <c r="I774" s="63" t="str">
        <f>IF(SAISIE!$I58="","",SAISIE!$Q58)</f>
        <v/>
      </c>
      <c r="J774" s="71" t="str">
        <f>IF(COUNTBLANK(SAISIE!$J$6:$M$6)=4,"",IF(SAISIE!I58="","",IF(SAISIE!J58&gt;0,SAISIE!$J$6,IF(SAISIE!K58&gt;0,SAISIE!$K$6,IF(SAISIE!L58&gt;0,SAISIE!$L$6,IF(SAISIE!M58&gt;0,SAISIE!$M$6,""))))))</f>
        <v/>
      </c>
      <c r="O774" s="59" t="s">
        <v>53</v>
      </c>
    </row>
    <row r="775" spans="1:15" x14ac:dyDescent="0.25">
      <c r="A775" s="63" t="e">
        <f>IF(AND(G775="",H775=""),"SUPPR",SAISIE!$B$3)</f>
        <v>#REF!</v>
      </c>
      <c r="B775" s="63" t="e">
        <f>IF(SAISIE!#REF!="","",IF(LEN(SAISIE!B58)=1,CONCATENATE("0",SAISIE!B58,"/",SAISIE!$B$4,"/",SAISIE!$B$5),CONCATENATE(SAISIE!B58,"/",SAISIE!$B$4,"/",SAISIE!$B$5)))</f>
        <v>#REF!</v>
      </c>
      <c r="C775" s="63" t="e">
        <f>IF(SAISIE!#REF!="","",SAISIE!#REF!)</f>
        <v>#REF!</v>
      </c>
      <c r="D775" s="63" t="e">
        <f>IF(SAISIE!#REF!="","",SAISIE!E58)</f>
        <v>#REF!</v>
      </c>
      <c r="E775" s="63" t="e">
        <f>IF(SAISIE!#REF!="","",SAISIE!F58)</f>
        <v>#REF!</v>
      </c>
      <c r="F775" s="70" t="e">
        <f>IF(SAISIE!#REF!="","",IF(SAISIE!$N58="","",SAISIE!$N58))</f>
        <v>#REF!</v>
      </c>
      <c r="G775" s="63" t="e">
        <f>IF(SAISIE!#REF!="","",SAISIE!#REF!)</f>
        <v>#REF!</v>
      </c>
      <c r="H775" s="63"/>
      <c r="I775" s="63" t="e">
        <f>IF(SAISIE!#REF!="","",SAISIE!$Q58)</f>
        <v>#REF!</v>
      </c>
      <c r="J775" s="71" t="str">
        <f>IF(COUNTBLANK(SAISIE!$J$6:$M$6)=4,"",IF(SAISIE!#REF!="","",IF(SAISIE!J58&gt;0,SAISIE!$J$6,IF(SAISIE!K58&gt;0,SAISIE!$K$6,IF(SAISIE!L58&gt;0,SAISIE!$L$6,IF(SAISIE!M58&gt;0,SAISIE!$M$6,""))))))</f>
        <v/>
      </c>
      <c r="O775" s="59" t="s">
        <v>54</v>
      </c>
    </row>
    <row r="776" spans="1:15" x14ac:dyDescent="0.25">
      <c r="A776" s="63" t="e">
        <f>IF(AND(G776="",H776=""),"SUPPR",SAISIE!$B$3)</f>
        <v>#REF!</v>
      </c>
      <c r="B776" s="63" t="e">
        <f>IF(SAISIE!#REF!="","",IF(LEN(SAISIE!B58)=1,CONCATENATE("0",SAISIE!B58,"/",SAISIE!$B$4,"/",SAISIE!$B$5),CONCATENATE(SAISIE!B58,"/",SAISIE!$B$4,"/",SAISIE!$B$5)))</f>
        <v>#REF!</v>
      </c>
      <c r="C776" s="63" t="e">
        <f>IF(SAISIE!#REF!="","",SAISIE!#REF!)</f>
        <v>#REF!</v>
      </c>
      <c r="D776" s="63" t="e">
        <f>IF(SAISIE!#REF!="","",SAISIE!E58)</f>
        <v>#REF!</v>
      </c>
      <c r="E776" s="63" t="e">
        <f>IF(SAISIE!#REF!="","",SAISIE!F58)</f>
        <v>#REF!</v>
      </c>
      <c r="F776" s="70" t="e">
        <f>IF(SAISIE!#REF!="","",IF(SAISIE!$N58="","",SAISIE!$N58))</f>
        <v>#REF!</v>
      </c>
      <c r="G776" s="63" t="e">
        <f>IF(SAISIE!#REF!="","",SAISIE!#REF!)</f>
        <v>#REF!</v>
      </c>
      <c r="H776" s="63"/>
      <c r="I776" s="63" t="e">
        <f>IF(SAISIE!#REF!="","",SAISIE!$Q58)</f>
        <v>#REF!</v>
      </c>
      <c r="J776" s="71" t="str">
        <f>IF(COUNTBLANK(SAISIE!$J$6:$M$6)=4,"",IF(SAISIE!#REF!="","",IF(SAISIE!J58&gt;0,SAISIE!$J$6,IF(SAISIE!K58&gt;0,SAISIE!$K$6,IF(SAISIE!L58&gt;0,SAISIE!$L$6,IF(SAISIE!M58&gt;0,SAISIE!$M$6,""))))))</f>
        <v/>
      </c>
      <c r="O776" s="59" t="s">
        <v>55</v>
      </c>
    </row>
    <row r="777" spans="1:15" x14ac:dyDescent="0.25">
      <c r="A777" s="63" t="e">
        <f>IF(AND(G777="",H777=""),"SUPPR",SAISIE!$B$3)</f>
        <v>#REF!</v>
      </c>
      <c r="B777" s="63" t="e">
        <f>IF(SAISIE!#REF!="","",IF(LEN(SAISIE!B58)=1,CONCATENATE("0",SAISIE!B58,"/",SAISIE!$B$4,"/",SAISIE!$B$5),CONCATENATE(SAISIE!B58,"/",SAISIE!$B$4,"/",SAISIE!$B$5)))</f>
        <v>#REF!</v>
      </c>
      <c r="C777" s="63" t="e">
        <f>IF(SAISIE!#REF!="","",SAISIE!#REF!)</f>
        <v>#REF!</v>
      </c>
      <c r="D777" s="63" t="e">
        <f>IF(SAISIE!#REF!="","",SAISIE!E58)</f>
        <v>#REF!</v>
      </c>
      <c r="E777" s="63" t="e">
        <f>IF(SAISIE!#REF!="","",SAISIE!F58)</f>
        <v>#REF!</v>
      </c>
      <c r="F777" s="70" t="e">
        <f>IF(SAISIE!#REF!="","",IF(SAISIE!$N58="","",SAISIE!$N58))</f>
        <v>#REF!</v>
      </c>
      <c r="G777" s="63" t="e">
        <f>IF(SAISIE!#REF!="","",SAISIE!#REF!)</f>
        <v>#REF!</v>
      </c>
      <c r="H777" s="63"/>
      <c r="I777" s="63" t="e">
        <f>IF(SAISIE!#REF!="","",SAISIE!$Q58)</f>
        <v>#REF!</v>
      </c>
      <c r="J777" s="71" t="str">
        <f>IF(COUNTBLANK(SAISIE!$J$6:$M$6)=4,"",IF(SAISIE!#REF!="","",IF(SAISIE!J58&gt;0,SAISIE!$J$6,IF(SAISIE!K58&gt;0,SAISIE!$K$6,IF(SAISIE!L58&gt;0,SAISIE!$L$6,IF(SAISIE!M58&gt;0,SAISIE!$M$6,""))))))</f>
        <v/>
      </c>
      <c r="O777" s="59" t="s">
        <v>56</v>
      </c>
    </row>
    <row r="778" spans="1:15" x14ac:dyDescent="0.25">
      <c r="A778" s="63" t="e">
        <f>IF(AND(G778="",H778=""),"SUPPR",SAISIE!$B$3)</f>
        <v>#REF!</v>
      </c>
      <c r="B778" s="63" t="e">
        <f>IF(SAISIE!#REF!="","",IF(LEN(SAISIE!B58)=1,CONCATENATE("0",SAISIE!B58,"/",SAISIE!$B$4,"/",SAISIE!$B$5),CONCATENATE(SAISIE!B58,"/",SAISIE!$B$4,"/",SAISIE!$B$5)))</f>
        <v>#REF!</v>
      </c>
      <c r="C778" s="63" t="e">
        <f>IF(SAISIE!#REF!="","",SAISIE!#REF!)</f>
        <v>#REF!</v>
      </c>
      <c r="D778" s="63" t="e">
        <f>IF(SAISIE!#REF!="","",SAISIE!E58)</f>
        <v>#REF!</v>
      </c>
      <c r="E778" s="63" t="e">
        <f>IF(SAISIE!#REF!="","",SAISIE!F58)</f>
        <v>#REF!</v>
      </c>
      <c r="F778" s="70" t="e">
        <f>IF(SAISIE!#REF!="","",IF(SAISIE!$N58="","",SAISIE!$N58))</f>
        <v>#REF!</v>
      </c>
      <c r="G778" s="63" t="e">
        <f>IF(SAISIE!#REF!="","",SAISIE!#REF!)</f>
        <v>#REF!</v>
      </c>
      <c r="H778" s="63"/>
      <c r="I778" s="63" t="e">
        <f>IF(SAISIE!#REF!="","",SAISIE!$Q58)</f>
        <v>#REF!</v>
      </c>
      <c r="J778" s="71" t="str">
        <f>IF(COUNTBLANK(SAISIE!$J$6:$M$6)=4,"",IF(SAISIE!#REF!="","",IF(SAISIE!J58&gt;0,SAISIE!$J$6,IF(SAISIE!K58&gt;0,SAISIE!$K$6,IF(SAISIE!L58&gt;0,SAISIE!$L$6,IF(SAISIE!M58&gt;0,SAISIE!$M$6,""))))))</f>
        <v/>
      </c>
      <c r="O778" s="59" t="s">
        <v>57</v>
      </c>
    </row>
    <row r="779" spans="1:15" x14ac:dyDescent="0.25">
      <c r="A779" s="63" t="e">
        <f>IF(AND(G779="",H779=""),"SUPPR",SAISIE!$B$3)</f>
        <v>#REF!</v>
      </c>
      <c r="B779" s="63" t="e">
        <f>IF(SAISIE!#REF!="","",IF(LEN(SAISIE!B58)=1,CONCATENATE("0",SAISIE!B58,"/",SAISIE!$B$4,"/",SAISIE!$B$5),CONCATENATE(SAISIE!B58,"/",SAISIE!$B$4,"/",SAISIE!$B$5)))</f>
        <v>#REF!</v>
      </c>
      <c r="C779" s="63" t="e">
        <f>IF(SAISIE!#REF!="","",SAISIE!#REF!)</f>
        <v>#REF!</v>
      </c>
      <c r="D779" s="63" t="e">
        <f>IF(SAISIE!#REF!="","",SAISIE!E58)</f>
        <v>#REF!</v>
      </c>
      <c r="E779" s="63" t="e">
        <f>IF(SAISIE!#REF!="","",SAISIE!F58)</f>
        <v>#REF!</v>
      </c>
      <c r="F779" s="70" t="e">
        <f>IF(SAISIE!#REF!="","",IF(SAISIE!$N58="","",SAISIE!$N58))</f>
        <v>#REF!</v>
      </c>
      <c r="G779" s="63" t="e">
        <f>IF(SAISIE!#REF!="","",SAISIE!#REF!)</f>
        <v>#REF!</v>
      </c>
      <c r="H779" s="63"/>
      <c r="I779" s="63" t="e">
        <f>IF(SAISIE!#REF!="","",SAISIE!$Q58)</f>
        <v>#REF!</v>
      </c>
      <c r="J779" s="71" t="str">
        <f>IF(COUNTBLANK(SAISIE!$J$6:$M$6)=4,"",IF(SAISIE!#REF!="","",IF(SAISIE!J58&gt;0,SAISIE!$J$6,IF(SAISIE!K58&gt;0,SAISIE!$K$6,IF(SAISIE!L58&gt;0,SAISIE!$L$6,IF(SAISIE!M58&gt;0,SAISIE!$M$6,""))))))</f>
        <v/>
      </c>
      <c r="O779" s="59" t="s">
        <v>58</v>
      </c>
    </row>
    <row r="780" spans="1:15" x14ac:dyDescent="0.25">
      <c r="A780" s="63" t="e">
        <f>IF(AND(G780="",H780=""),"SUPPR",SAISIE!$B$3)</f>
        <v>#REF!</v>
      </c>
      <c r="B780" s="63" t="e">
        <f>IF(SAISIE!#REF!="","",IF(LEN(SAISIE!B58)=1,CONCATENATE("0",SAISIE!B58,"/",SAISIE!$B$4,"/",SAISIE!$B$5),CONCATENATE(SAISIE!B58,"/",SAISIE!$B$4,"/",SAISIE!$B$5)))</f>
        <v>#REF!</v>
      </c>
      <c r="C780" s="63" t="e">
        <f>IF(SAISIE!#REF!="","",SAISIE!#REF!)</f>
        <v>#REF!</v>
      </c>
      <c r="D780" s="63" t="e">
        <f>IF(SAISIE!#REF!="","",SAISIE!E58)</f>
        <v>#REF!</v>
      </c>
      <c r="E780" s="63" t="e">
        <f>IF(SAISIE!#REF!="","",SAISIE!F58)</f>
        <v>#REF!</v>
      </c>
      <c r="F780" s="70" t="e">
        <f>IF(SAISIE!#REF!="","",IF(SAISIE!$N58="","",SAISIE!$N58))</f>
        <v>#REF!</v>
      </c>
      <c r="G780" s="63" t="e">
        <f>IF(SAISIE!#REF!="","",SAISIE!#REF!)</f>
        <v>#REF!</v>
      </c>
      <c r="H780" s="63"/>
      <c r="I780" s="63" t="e">
        <f>IF(SAISIE!#REF!="","",SAISIE!$Q58)</f>
        <v>#REF!</v>
      </c>
      <c r="J780" s="71" t="str">
        <f>IF(COUNTBLANK(SAISIE!$J$6:$M$6)=4,"",IF(SAISIE!#REF!="","",IF(SAISIE!J58&gt;0,SAISIE!$J$6,IF(SAISIE!K58&gt;0,SAISIE!$K$6,IF(SAISIE!L58&gt;0,SAISIE!$L$6,IF(SAISIE!M58&gt;0,SAISIE!$M$6,""))))))</f>
        <v/>
      </c>
      <c r="O780" s="59" t="s">
        <v>59</v>
      </c>
    </row>
    <row r="781" spans="1:15" x14ac:dyDescent="0.25">
      <c r="A781" s="63" t="e">
        <f>IF(AND(G781="",H781=""),"SUPPR",SAISIE!$B$3)</f>
        <v>#REF!</v>
      </c>
      <c r="B781" s="63" t="e">
        <f>IF(SAISIE!#REF!="","",IF(LEN(SAISIE!B58)=1,CONCATENATE("0",SAISIE!B58,"/",SAISIE!$B$4,"/",SAISIE!$B$5),CONCATENATE(SAISIE!B58,"/",SAISIE!$B$4,"/",SAISIE!$B$5)))</f>
        <v>#REF!</v>
      </c>
      <c r="C781" s="63" t="e">
        <f>IF(SAISIE!#REF!="","",SAISIE!#REF!)</f>
        <v>#REF!</v>
      </c>
      <c r="D781" s="63" t="e">
        <f>IF(SAISIE!#REF!="","",SAISIE!E58)</f>
        <v>#REF!</v>
      </c>
      <c r="E781" s="63" t="e">
        <f>IF(SAISIE!#REF!="","",SAISIE!F58)</f>
        <v>#REF!</v>
      </c>
      <c r="F781" s="70" t="e">
        <f>IF(SAISIE!#REF!="","",IF(SAISIE!$N58="","",SAISIE!$N58))</f>
        <v>#REF!</v>
      </c>
      <c r="G781" s="63" t="e">
        <f>IF(SAISIE!#REF!="","",SAISIE!#REF!)</f>
        <v>#REF!</v>
      </c>
      <c r="H781" s="63"/>
      <c r="I781" s="63" t="e">
        <f>IF(SAISIE!#REF!="","",SAISIE!$Q58)</f>
        <v>#REF!</v>
      </c>
      <c r="J781" s="71" t="str">
        <f>IF(COUNTBLANK(SAISIE!$J$6:$M$6)=4,"",IF(SAISIE!#REF!="","",IF(SAISIE!J58&gt;0,SAISIE!$J$6,IF(SAISIE!K58&gt;0,SAISIE!$K$6,IF(SAISIE!L58&gt;0,SAISIE!$L$6,IF(SAISIE!M58&gt;0,SAISIE!$M$6,""))))))</f>
        <v/>
      </c>
      <c r="O781" s="59" t="s">
        <v>60</v>
      </c>
    </row>
    <row r="782" spans="1:15" x14ac:dyDescent="0.25">
      <c r="A782" s="63" t="str">
        <f>IF(AND(G782="",H782=""),"SUPPR",SAISIE!$B$3)</f>
        <v>SUPPR</v>
      </c>
      <c r="B782" s="63" t="str">
        <f>IF(SAISIE!J58="","",IF(LEN(SAISIE!B58)=1,CONCATENATE("0",SAISIE!B58,"/",SAISIE!$B$4,"/",SAISIE!$B$5),CONCATENATE(SAISIE!B58,"/",SAISIE!$B$4,"/",SAISIE!$B$5)))</f>
        <v/>
      </c>
      <c r="C782" s="63" t="str">
        <f>IF(SAISIE!J58="","",SAISIE!$J$8)</f>
        <v/>
      </c>
      <c r="D782" s="63" t="str">
        <f>IF(SAISIE!J58="","",SAISIE!E58)</f>
        <v/>
      </c>
      <c r="E782" s="63" t="str">
        <f>IF(SAISIE!J58="","",SAISIE!F58)</f>
        <v/>
      </c>
      <c r="F782" s="70" t="str">
        <f>IF(SAISIE!$J58="","",IF(SAISIE!$N58="","",SAISIE!$N58))</f>
        <v/>
      </c>
      <c r="G782" s="63" t="str">
        <f>IF(SAISIE!J58="","",SAISIE!J58)</f>
        <v/>
      </c>
      <c r="H782" s="63"/>
      <c r="I782" s="72"/>
      <c r="J782" s="71"/>
      <c r="O782" s="73"/>
    </row>
    <row r="783" spans="1:15" x14ac:dyDescent="0.25">
      <c r="A783" s="63" t="str">
        <f>IF(AND(G783="",H783=""),"SUPPR",SAISIE!$B$3)</f>
        <v>SUPPR</v>
      </c>
      <c r="B783" s="63" t="str">
        <f>IF(SAISIE!K58="","",IF(LEN(SAISIE!B58)=1,CONCATENATE("0",SAISIE!B58,"/",SAISIE!$B$4,"/",SAISIE!$B$5),CONCATENATE(SAISIE!B58,"/",SAISIE!$B$4,"/",SAISIE!$B$5)))</f>
        <v/>
      </c>
      <c r="C783" s="63" t="str">
        <f>IF(SAISIE!K58="","",SAISIE!$K$8)</f>
        <v/>
      </c>
      <c r="D783" s="63" t="str">
        <f>IF(SAISIE!K58="","",SAISIE!E58)</f>
        <v/>
      </c>
      <c r="E783" s="63" t="str">
        <f>IF(SAISIE!K58="","",SAISIE!F58)</f>
        <v/>
      </c>
      <c r="F783" s="70" t="str">
        <f>IF(SAISIE!$K58="","",IF(SAISIE!$N58="","",SAISIE!$N58))</f>
        <v/>
      </c>
      <c r="G783" s="63" t="str">
        <f>IF(SAISIE!K58="","",SAISIE!K58)</f>
        <v/>
      </c>
      <c r="H783" s="63"/>
      <c r="I783" s="72"/>
      <c r="J783" s="71"/>
    </row>
    <row r="784" spans="1:15" x14ac:dyDescent="0.25">
      <c r="A784" s="63" t="str">
        <f>IF(AND(G784="",H784=""),"SUPPR",SAISIE!$B$3)</f>
        <v>SUPPR</v>
      </c>
      <c r="B784" s="63" t="str">
        <f>IF(SAISIE!L58="","",IF(LEN(SAISIE!B58)=1,CONCATENATE("0",SAISIE!B58,"/",SAISIE!$B$4,"/",SAISIE!$B$5),CONCATENATE(SAISIE!B58,"/",SAISIE!$B$4,"/",SAISIE!$B$5)))</f>
        <v/>
      </c>
      <c r="C784" s="63" t="str">
        <f>IF(SAISIE!L58="","",SAISIE!$L$8)</f>
        <v/>
      </c>
      <c r="D784" s="63" t="str">
        <f>IF(SAISIE!L58="","",SAISIE!E58)</f>
        <v/>
      </c>
      <c r="E784" s="63" t="str">
        <f>IF(SAISIE!L58="","",SAISIE!F58)</f>
        <v/>
      </c>
      <c r="F784" s="70" t="str">
        <f>IF(SAISIE!$L58="","",IF(SAISIE!$N58="","",SAISIE!$N58))</f>
        <v/>
      </c>
      <c r="G784" s="63" t="str">
        <f>IF(SAISIE!L58="","",SAISIE!L58)</f>
        <v/>
      </c>
      <c r="H784" s="63"/>
      <c r="I784" s="72"/>
      <c r="J784" s="71"/>
    </row>
    <row r="785" spans="1:15" x14ac:dyDescent="0.25">
      <c r="A785" s="63" t="str">
        <f>IF(AND(G785="",H785=""),"SUPPR",SAISIE!$B$3)</f>
        <v>SUPPR</v>
      </c>
      <c r="B785" s="63" t="str">
        <f>IF(SAISIE!M58="","",IF(LEN(SAISIE!B58)=1,CONCATENATE("0",SAISIE!B58,"/",SAISIE!$B$4,"/",SAISIE!$B$5),CONCATENATE(SAISIE!B58,"/",SAISIE!$B$4,"/",SAISIE!$B$5)))</f>
        <v/>
      </c>
      <c r="C785" s="74" t="str">
        <f>IF(SAISIE!M58="","",SAISIE!$M$8)</f>
        <v/>
      </c>
      <c r="D785" s="74" t="str">
        <f>IF(SAISIE!M58="","",SAISIE!E58)</f>
        <v/>
      </c>
      <c r="E785" s="74" t="str">
        <f>IF(SAISIE!M58="","",SAISIE!F58)</f>
        <v/>
      </c>
      <c r="F785" s="75" t="str">
        <f>IF(SAISIE!$M58="","",IF(SAISIE!$N58="","",SAISIE!$N58))</f>
        <v/>
      </c>
      <c r="G785" s="74" t="str">
        <f>IF(SAISIE!M58="","",SAISIE!M58)</f>
        <v/>
      </c>
      <c r="H785" s="76"/>
      <c r="I785" s="77"/>
      <c r="J785" s="78"/>
    </row>
    <row r="786" spans="1:15" x14ac:dyDescent="0.25">
      <c r="A786" s="63" t="str">
        <f>IF(AND(G786="",H786=""),"SUPPR",SAISIE!$B$3)</f>
        <v>SUPPR</v>
      </c>
      <c r="B786" s="64" t="str">
        <f>IF(SAISIE!B59="","",IF(LEN(SAISIE!B59)=1,CONCATENATE("0",SAISIE!B59,"/",SAISIE!$B$4,"/",SAISIE!$B$5),CONCATENATE(SAISIE!B59,"/",SAISIE!$B$4,"/",SAISIE!$B$5)))</f>
        <v/>
      </c>
      <c r="C786" s="64" t="str">
        <f>IF(SAISIE!B59="","",CONCATENATE($M$2,SAISIE!C59))</f>
        <v/>
      </c>
      <c r="D786" s="64" t="str">
        <f>IF(SAISIE!B59="","",SAISIE!E59)</f>
        <v/>
      </c>
      <c r="E786" s="64" t="str">
        <f>IF(SAISIE!B59="","",SAISIE!F59)</f>
        <v/>
      </c>
      <c r="F786" s="65" t="str">
        <f>IF(A786="SUPPR","",IF(SAISIE!$N59="","",SAISIE!$N59))</f>
        <v/>
      </c>
      <c r="G786" s="64"/>
      <c r="H786" s="64" t="str">
        <f>IF(SAISIE!B59="","",SAISIE!D59)</f>
        <v/>
      </c>
      <c r="I786" s="66"/>
      <c r="J786" s="67" t="str">
        <f>IF(AZ59="","","")</f>
        <v/>
      </c>
      <c r="O786" s="69">
        <f>O770+1</f>
        <v>59</v>
      </c>
    </row>
    <row r="787" spans="1:15" x14ac:dyDescent="0.25">
      <c r="A787" s="63" t="str">
        <f>IF(AND(G787="",H787=""),"SUPPR",SAISIE!$B$3)</f>
        <v>SUPPR</v>
      </c>
      <c r="B787" s="63" t="str">
        <f>IF(SAISIE!P59="","",IF(LEN(SAISIE!B59)=1,CONCATENATE("0",SAISIE!B59,"/",SAISIE!$B$4,"/",SAISIE!$B$5),CONCATENATE(SAISIE!B59,"/",SAISIE!$B$4,"/",SAISIE!$B$5)))</f>
        <v/>
      </c>
      <c r="C787" s="63" t="str">
        <f>IF(SAISIE!P59="","",SAISIE!O59)</f>
        <v/>
      </c>
      <c r="D787" s="63" t="str">
        <f>IF(SAISIE!P59="","",SAISIE!E59)</f>
        <v/>
      </c>
      <c r="E787" s="63" t="str">
        <f>IF(SAISIE!P59="","",SAISIE!F59)</f>
        <v/>
      </c>
      <c r="F787" s="70" t="str">
        <f>IF(SAISIE!$P59="","",IF(SAISIE!$N59="","",SAISIE!$N59))</f>
        <v/>
      </c>
      <c r="G787" s="63" t="str">
        <f>IF(SAISIE!P59="","",SAISIE!P59)</f>
        <v/>
      </c>
      <c r="H787" s="63"/>
      <c r="I787" s="63" t="str">
        <f>IF(SAISIE!$P59="","",SAISIE!$Q59)</f>
        <v/>
      </c>
      <c r="J787" s="71" t="str">
        <f>IF(COUNTBLANK(SAISIE!$J$6:$M$6)=4,"",IF(SAISIE!P59="","",IF(SAISIE!J59&gt;0,SAISIE!$J$6,IF(SAISIE!K59&gt;0,SAISIE!$K$6,IF(SAISIE!L59&gt;0,SAISIE!$L$6,IF(SAISIE!M59&gt;0,SAISIE!$M$6,""))))))</f>
        <v/>
      </c>
      <c r="O787" s="59" t="s">
        <v>50</v>
      </c>
    </row>
    <row r="788" spans="1:15" x14ac:dyDescent="0.25">
      <c r="A788" s="63" t="str">
        <f>IF(AND(G788="",H788=""),"SUPPR",SAISIE!$B$3)</f>
        <v>SUPPR</v>
      </c>
      <c r="B788" s="63" t="str">
        <f>IF(SAISIE!G59="","",IF(LEN(SAISIE!B59)=1,CONCATENATE("0",SAISIE!B59,"/",SAISIE!$B$4,"/",SAISIE!$B$5),CONCATENATE(SAISIE!B59,"/",SAISIE!$B$4,"/",SAISIE!$B$5)))</f>
        <v/>
      </c>
      <c r="C788" s="63" t="str">
        <f>IF(SAISIE!G59="","",SAISIE!$G$8)</f>
        <v/>
      </c>
      <c r="D788" s="63" t="str">
        <f>IF(SAISIE!G59="","",SAISIE!E59)</f>
        <v/>
      </c>
      <c r="E788" s="63" t="str">
        <f>IF(SAISIE!G59="","",SAISIE!F59)</f>
        <v/>
      </c>
      <c r="F788" s="70" t="str">
        <f>IF(SAISIE!$G59="","",IF(SAISIE!$N59="","",SAISIE!$N59))</f>
        <v/>
      </c>
      <c r="G788" s="63" t="str">
        <f>IF(SAISIE!G59="","",SAISIE!G59)</f>
        <v/>
      </c>
      <c r="H788" s="63"/>
      <c r="I788" s="63" t="str">
        <f>IF(SAISIE!$G59="","",SAISIE!$Q59)</f>
        <v/>
      </c>
      <c r="J788" s="71" t="str">
        <f>IF(COUNTBLANK(SAISIE!$J$6:$M$6)=4,"",IF(SAISIE!G59="","",IF(SAISIE!J59&gt;0,SAISIE!$J$6,IF(SAISIE!K59&gt;0,SAISIE!$K$6,IF(SAISIE!L59&gt;0,SAISIE!$L$6,IF(SAISIE!M59&gt;0,SAISIE!$M$6,""))))))</f>
        <v/>
      </c>
      <c r="O788" s="59" t="s">
        <v>51</v>
      </c>
    </row>
    <row r="789" spans="1:15" x14ac:dyDescent="0.25">
      <c r="A789" s="63" t="str">
        <f>IF(AND(G789="",H789=""),"SUPPR",SAISIE!$B$3)</f>
        <v>SUPPR</v>
      </c>
      <c r="B789" s="63" t="str">
        <f>IF(SAISIE!H59="","",IF(LEN(SAISIE!B59)=1,CONCATENATE("0",SAISIE!B59,"/",SAISIE!$B$4,"/",SAISIE!$B$5),CONCATENATE(SAISIE!B59,"/",SAISIE!$B$4,"/",SAISIE!$B$5)))</f>
        <v/>
      </c>
      <c r="C789" s="63" t="str">
        <f>IF(SAISIE!H59="","",SAISIE!$H$8)</f>
        <v/>
      </c>
      <c r="D789" s="63" t="str">
        <f>IF(SAISIE!H59="","",SAISIE!E59)</f>
        <v/>
      </c>
      <c r="E789" s="63" t="str">
        <f>IF(SAISIE!H59="","",SAISIE!F59)</f>
        <v/>
      </c>
      <c r="F789" s="70" t="str">
        <f>IF(SAISIE!$H59="","",IF(SAISIE!$N59="","",SAISIE!$N59))</f>
        <v/>
      </c>
      <c r="G789" s="63" t="str">
        <f>IF(SAISIE!H59="","",SAISIE!H59)</f>
        <v/>
      </c>
      <c r="H789" s="63"/>
      <c r="I789" s="63" t="str">
        <f>IF(SAISIE!$H59="","",SAISIE!$Q59)</f>
        <v/>
      </c>
      <c r="J789" s="71" t="str">
        <f>IF(COUNTBLANK(SAISIE!$J$6:$M$6)=4,"",IF(SAISIE!H59="","",IF(SAISIE!J59&gt;0,SAISIE!$J$6,IF(SAISIE!K59&gt;0,SAISIE!$K$6,IF(SAISIE!L59&gt;0,SAISIE!$L$6,IF(SAISIE!M59&gt;0,SAISIE!$M$6,""))))))</f>
        <v/>
      </c>
      <c r="O789" s="59" t="s">
        <v>52</v>
      </c>
    </row>
    <row r="790" spans="1:15" x14ac:dyDescent="0.25">
      <c r="A790" s="63" t="str">
        <f>IF(AND(G790="",H790=""),"SUPPR",SAISIE!$B$3)</f>
        <v>SUPPR</v>
      </c>
      <c r="B790" s="63" t="str">
        <f>IF(SAISIE!I59="","",IF(LEN(SAISIE!B59)=1,CONCATENATE("0",SAISIE!B59,"/",SAISIE!$B$4,"/",SAISIE!$B$5),CONCATENATE(SAISIE!B59,"/",SAISIE!$B$4,"/",SAISIE!$B$5)))</f>
        <v/>
      </c>
      <c r="C790" s="63" t="str">
        <f>IF(SAISIE!I59="","",SAISIE!$I$8)</f>
        <v/>
      </c>
      <c r="D790" s="63" t="str">
        <f>IF(SAISIE!I59="","",SAISIE!E59)</f>
        <v/>
      </c>
      <c r="E790" s="63" t="str">
        <f>IF(SAISIE!I59="","",SAISIE!F59)</f>
        <v/>
      </c>
      <c r="F790" s="70" t="str">
        <f>IF(SAISIE!$I59="","",IF(SAISIE!$N59="","",SAISIE!$N59))</f>
        <v/>
      </c>
      <c r="G790" s="63" t="str">
        <f>IF(SAISIE!I59="","",SAISIE!I59)</f>
        <v/>
      </c>
      <c r="H790" s="63"/>
      <c r="I790" s="63" t="str">
        <f>IF(SAISIE!$I59="","",SAISIE!$Q59)</f>
        <v/>
      </c>
      <c r="J790" s="71" t="str">
        <f>IF(COUNTBLANK(SAISIE!$J$6:$M$6)=4,"",IF(SAISIE!I59="","",IF(SAISIE!J59&gt;0,SAISIE!$J$6,IF(SAISIE!K59&gt;0,SAISIE!$K$6,IF(SAISIE!L59&gt;0,SAISIE!$L$6,IF(SAISIE!M59&gt;0,SAISIE!$M$6,""))))))</f>
        <v/>
      </c>
      <c r="O790" s="59" t="s">
        <v>53</v>
      </c>
    </row>
    <row r="791" spans="1:15" x14ac:dyDescent="0.25">
      <c r="A791" s="63" t="e">
        <f>IF(AND(G791="",H791=""),"SUPPR",SAISIE!$B$3)</f>
        <v>#REF!</v>
      </c>
      <c r="B791" s="63" t="e">
        <f>IF(SAISIE!#REF!="","",IF(LEN(SAISIE!B59)=1,CONCATENATE("0",SAISIE!B59,"/",SAISIE!$B$4,"/",SAISIE!$B$5),CONCATENATE(SAISIE!B59,"/",SAISIE!$B$4,"/",SAISIE!$B$5)))</f>
        <v>#REF!</v>
      </c>
      <c r="C791" s="63" t="e">
        <f>IF(SAISIE!#REF!="","",SAISIE!#REF!)</f>
        <v>#REF!</v>
      </c>
      <c r="D791" s="63" t="e">
        <f>IF(SAISIE!#REF!="","",SAISIE!E59)</f>
        <v>#REF!</v>
      </c>
      <c r="E791" s="63" t="e">
        <f>IF(SAISIE!#REF!="","",SAISIE!F59)</f>
        <v>#REF!</v>
      </c>
      <c r="F791" s="70" t="e">
        <f>IF(SAISIE!#REF!="","",IF(SAISIE!$N59="","",SAISIE!$N59))</f>
        <v>#REF!</v>
      </c>
      <c r="G791" s="63" t="e">
        <f>IF(SAISIE!#REF!="","",SAISIE!#REF!)</f>
        <v>#REF!</v>
      </c>
      <c r="H791" s="63"/>
      <c r="I791" s="63" t="e">
        <f>IF(SAISIE!#REF!="","",SAISIE!$Q59)</f>
        <v>#REF!</v>
      </c>
      <c r="J791" s="71" t="str">
        <f>IF(COUNTBLANK(SAISIE!$J$6:$M$6)=4,"",IF(SAISIE!#REF!="","",IF(SAISIE!J59&gt;0,SAISIE!$J$6,IF(SAISIE!K59&gt;0,SAISIE!$K$6,IF(SAISIE!L59&gt;0,SAISIE!$L$6,IF(SAISIE!M59&gt;0,SAISIE!$M$6,""))))))</f>
        <v/>
      </c>
      <c r="O791" s="59" t="s">
        <v>54</v>
      </c>
    </row>
    <row r="792" spans="1:15" x14ac:dyDescent="0.25">
      <c r="A792" s="63" t="e">
        <f>IF(AND(G792="",H792=""),"SUPPR",SAISIE!$B$3)</f>
        <v>#REF!</v>
      </c>
      <c r="B792" s="63" t="e">
        <f>IF(SAISIE!#REF!="","",IF(LEN(SAISIE!B59)=1,CONCATENATE("0",SAISIE!B59,"/",SAISIE!$B$4,"/",SAISIE!$B$5),CONCATENATE(SAISIE!B59,"/",SAISIE!$B$4,"/",SAISIE!$B$5)))</f>
        <v>#REF!</v>
      </c>
      <c r="C792" s="63" t="e">
        <f>IF(SAISIE!#REF!="","",SAISIE!#REF!)</f>
        <v>#REF!</v>
      </c>
      <c r="D792" s="63" t="e">
        <f>IF(SAISIE!#REF!="","",SAISIE!E59)</f>
        <v>#REF!</v>
      </c>
      <c r="E792" s="63" t="e">
        <f>IF(SAISIE!#REF!="","",SAISIE!F59)</f>
        <v>#REF!</v>
      </c>
      <c r="F792" s="70" t="e">
        <f>IF(SAISIE!#REF!="","",IF(SAISIE!$N59="","",SAISIE!$N59))</f>
        <v>#REF!</v>
      </c>
      <c r="G792" s="63" t="e">
        <f>IF(SAISIE!#REF!="","",SAISIE!#REF!)</f>
        <v>#REF!</v>
      </c>
      <c r="H792" s="63"/>
      <c r="I792" s="63" t="e">
        <f>IF(SAISIE!#REF!="","",SAISIE!$Q59)</f>
        <v>#REF!</v>
      </c>
      <c r="J792" s="71" t="str">
        <f>IF(COUNTBLANK(SAISIE!$J$6:$M$6)=4,"",IF(SAISIE!#REF!="","",IF(SAISIE!J59&gt;0,SAISIE!$J$6,IF(SAISIE!K59&gt;0,SAISIE!$K$6,IF(SAISIE!L59&gt;0,SAISIE!$L$6,IF(SAISIE!M59&gt;0,SAISIE!$M$6,""))))))</f>
        <v/>
      </c>
      <c r="O792" s="59" t="s">
        <v>55</v>
      </c>
    </row>
    <row r="793" spans="1:15" x14ac:dyDescent="0.25">
      <c r="A793" s="63" t="e">
        <f>IF(AND(G793="",H793=""),"SUPPR",SAISIE!$B$3)</f>
        <v>#REF!</v>
      </c>
      <c r="B793" s="63" t="e">
        <f>IF(SAISIE!#REF!="","",IF(LEN(SAISIE!B59)=1,CONCATENATE("0",SAISIE!B59,"/",SAISIE!$B$4,"/",SAISIE!$B$5),CONCATENATE(SAISIE!B59,"/",SAISIE!$B$4,"/",SAISIE!$B$5)))</f>
        <v>#REF!</v>
      </c>
      <c r="C793" s="63" t="e">
        <f>IF(SAISIE!#REF!="","",SAISIE!#REF!)</f>
        <v>#REF!</v>
      </c>
      <c r="D793" s="63" t="e">
        <f>IF(SAISIE!#REF!="","",SAISIE!E59)</f>
        <v>#REF!</v>
      </c>
      <c r="E793" s="63" t="e">
        <f>IF(SAISIE!#REF!="","",SAISIE!F59)</f>
        <v>#REF!</v>
      </c>
      <c r="F793" s="70" t="e">
        <f>IF(SAISIE!#REF!="","",IF(SAISIE!$N59="","",SAISIE!$N59))</f>
        <v>#REF!</v>
      </c>
      <c r="G793" s="63" t="e">
        <f>IF(SAISIE!#REF!="","",SAISIE!#REF!)</f>
        <v>#REF!</v>
      </c>
      <c r="H793" s="63"/>
      <c r="I793" s="63" t="e">
        <f>IF(SAISIE!#REF!="","",SAISIE!$Q59)</f>
        <v>#REF!</v>
      </c>
      <c r="J793" s="71" t="str">
        <f>IF(COUNTBLANK(SAISIE!$J$6:$M$6)=4,"",IF(SAISIE!#REF!="","",IF(SAISIE!J59&gt;0,SAISIE!$J$6,IF(SAISIE!K59&gt;0,SAISIE!$K$6,IF(SAISIE!L59&gt;0,SAISIE!$L$6,IF(SAISIE!M59&gt;0,SAISIE!$M$6,""))))))</f>
        <v/>
      </c>
      <c r="O793" s="59" t="s">
        <v>56</v>
      </c>
    </row>
    <row r="794" spans="1:15" x14ac:dyDescent="0.25">
      <c r="A794" s="63" t="e">
        <f>IF(AND(G794="",H794=""),"SUPPR",SAISIE!$B$3)</f>
        <v>#REF!</v>
      </c>
      <c r="B794" s="63" t="e">
        <f>IF(SAISIE!#REF!="","",IF(LEN(SAISIE!B59)=1,CONCATENATE("0",SAISIE!B59,"/",SAISIE!$B$4,"/",SAISIE!$B$5),CONCATENATE(SAISIE!B59,"/",SAISIE!$B$4,"/",SAISIE!$B$5)))</f>
        <v>#REF!</v>
      </c>
      <c r="C794" s="63" t="e">
        <f>IF(SAISIE!#REF!="","",SAISIE!#REF!)</f>
        <v>#REF!</v>
      </c>
      <c r="D794" s="63" t="e">
        <f>IF(SAISIE!#REF!="","",SAISIE!E59)</f>
        <v>#REF!</v>
      </c>
      <c r="E794" s="63" t="e">
        <f>IF(SAISIE!#REF!="","",SAISIE!F59)</f>
        <v>#REF!</v>
      </c>
      <c r="F794" s="70" t="e">
        <f>IF(SAISIE!#REF!="","",IF(SAISIE!$N59="","",SAISIE!$N59))</f>
        <v>#REF!</v>
      </c>
      <c r="G794" s="63" t="e">
        <f>IF(SAISIE!#REF!="","",SAISIE!#REF!)</f>
        <v>#REF!</v>
      </c>
      <c r="H794" s="63"/>
      <c r="I794" s="63" t="e">
        <f>IF(SAISIE!#REF!="","",SAISIE!$Q59)</f>
        <v>#REF!</v>
      </c>
      <c r="J794" s="71" t="str">
        <f>IF(COUNTBLANK(SAISIE!$J$6:$M$6)=4,"",IF(SAISIE!#REF!="","",IF(SAISIE!J59&gt;0,SAISIE!$J$6,IF(SAISIE!K59&gt;0,SAISIE!$K$6,IF(SAISIE!L59&gt;0,SAISIE!$L$6,IF(SAISIE!M59&gt;0,SAISIE!$M$6,""))))))</f>
        <v/>
      </c>
      <c r="O794" s="59" t="s">
        <v>57</v>
      </c>
    </row>
    <row r="795" spans="1:15" x14ac:dyDescent="0.25">
      <c r="A795" s="63" t="e">
        <f>IF(AND(G795="",H795=""),"SUPPR",SAISIE!$B$3)</f>
        <v>#REF!</v>
      </c>
      <c r="B795" s="63" t="e">
        <f>IF(SAISIE!#REF!="","",IF(LEN(SAISIE!B59)=1,CONCATENATE("0",SAISIE!B59,"/",SAISIE!$B$4,"/",SAISIE!$B$5),CONCATENATE(SAISIE!B59,"/",SAISIE!$B$4,"/",SAISIE!$B$5)))</f>
        <v>#REF!</v>
      </c>
      <c r="C795" s="63" t="e">
        <f>IF(SAISIE!#REF!="","",SAISIE!#REF!)</f>
        <v>#REF!</v>
      </c>
      <c r="D795" s="63" t="e">
        <f>IF(SAISIE!#REF!="","",SAISIE!E59)</f>
        <v>#REF!</v>
      </c>
      <c r="E795" s="63" t="e">
        <f>IF(SAISIE!#REF!="","",SAISIE!F59)</f>
        <v>#REF!</v>
      </c>
      <c r="F795" s="70" t="e">
        <f>IF(SAISIE!#REF!="","",IF(SAISIE!$N59="","",SAISIE!$N59))</f>
        <v>#REF!</v>
      </c>
      <c r="G795" s="63" t="e">
        <f>IF(SAISIE!#REF!="","",SAISIE!#REF!)</f>
        <v>#REF!</v>
      </c>
      <c r="H795" s="63"/>
      <c r="I795" s="63" t="e">
        <f>IF(SAISIE!#REF!="","",SAISIE!$Q59)</f>
        <v>#REF!</v>
      </c>
      <c r="J795" s="71" t="str">
        <f>IF(COUNTBLANK(SAISIE!$J$6:$M$6)=4,"",IF(SAISIE!#REF!="","",IF(SAISIE!J59&gt;0,SAISIE!$J$6,IF(SAISIE!K59&gt;0,SAISIE!$K$6,IF(SAISIE!L59&gt;0,SAISIE!$L$6,IF(SAISIE!M59&gt;0,SAISIE!$M$6,""))))))</f>
        <v/>
      </c>
      <c r="O795" s="59" t="s">
        <v>58</v>
      </c>
    </row>
    <row r="796" spans="1:15" x14ac:dyDescent="0.25">
      <c r="A796" s="63" t="e">
        <f>IF(AND(G796="",H796=""),"SUPPR",SAISIE!$B$3)</f>
        <v>#REF!</v>
      </c>
      <c r="B796" s="63" t="e">
        <f>IF(SAISIE!#REF!="","",IF(LEN(SAISIE!B59)=1,CONCATENATE("0",SAISIE!B59,"/",SAISIE!$B$4,"/",SAISIE!$B$5),CONCATENATE(SAISIE!B59,"/",SAISIE!$B$4,"/",SAISIE!$B$5)))</f>
        <v>#REF!</v>
      </c>
      <c r="C796" s="63" t="e">
        <f>IF(SAISIE!#REF!="","",SAISIE!#REF!)</f>
        <v>#REF!</v>
      </c>
      <c r="D796" s="63" t="e">
        <f>IF(SAISIE!#REF!="","",SAISIE!E59)</f>
        <v>#REF!</v>
      </c>
      <c r="E796" s="63" t="e">
        <f>IF(SAISIE!#REF!="","",SAISIE!F59)</f>
        <v>#REF!</v>
      </c>
      <c r="F796" s="70" t="e">
        <f>IF(SAISIE!#REF!="","",IF(SAISIE!$N59="","",SAISIE!$N59))</f>
        <v>#REF!</v>
      </c>
      <c r="G796" s="63" t="e">
        <f>IF(SAISIE!#REF!="","",SAISIE!#REF!)</f>
        <v>#REF!</v>
      </c>
      <c r="H796" s="63"/>
      <c r="I796" s="63" t="e">
        <f>IF(SAISIE!#REF!="","",SAISIE!$Q59)</f>
        <v>#REF!</v>
      </c>
      <c r="J796" s="71" t="str">
        <f>IF(COUNTBLANK(SAISIE!$J$6:$M$6)=4,"",IF(SAISIE!#REF!="","",IF(SAISIE!J59&gt;0,SAISIE!$J$6,IF(SAISIE!K59&gt;0,SAISIE!$K$6,IF(SAISIE!L59&gt;0,SAISIE!$L$6,IF(SAISIE!M59&gt;0,SAISIE!$M$6,""))))))</f>
        <v/>
      </c>
      <c r="O796" s="59" t="s">
        <v>59</v>
      </c>
    </row>
    <row r="797" spans="1:15" x14ac:dyDescent="0.25">
      <c r="A797" s="63" t="e">
        <f>IF(AND(G797="",H797=""),"SUPPR",SAISIE!$B$3)</f>
        <v>#REF!</v>
      </c>
      <c r="B797" s="63" t="e">
        <f>IF(SAISIE!#REF!="","",IF(LEN(SAISIE!B59)=1,CONCATENATE("0",SAISIE!B59,"/",SAISIE!$B$4,"/",SAISIE!$B$5),CONCATENATE(SAISIE!B59,"/",SAISIE!$B$4,"/",SAISIE!$B$5)))</f>
        <v>#REF!</v>
      </c>
      <c r="C797" s="63" t="e">
        <f>IF(SAISIE!#REF!="","",SAISIE!#REF!)</f>
        <v>#REF!</v>
      </c>
      <c r="D797" s="63" t="e">
        <f>IF(SAISIE!#REF!="","",SAISIE!E59)</f>
        <v>#REF!</v>
      </c>
      <c r="E797" s="63" t="e">
        <f>IF(SAISIE!#REF!="","",SAISIE!F59)</f>
        <v>#REF!</v>
      </c>
      <c r="F797" s="70" t="e">
        <f>IF(SAISIE!#REF!="","",IF(SAISIE!$N59="","",SAISIE!$N59))</f>
        <v>#REF!</v>
      </c>
      <c r="G797" s="63" t="e">
        <f>IF(SAISIE!#REF!="","",SAISIE!#REF!)</f>
        <v>#REF!</v>
      </c>
      <c r="H797" s="63"/>
      <c r="I797" s="63" t="e">
        <f>IF(SAISIE!#REF!="","",SAISIE!$Q59)</f>
        <v>#REF!</v>
      </c>
      <c r="J797" s="71" t="str">
        <f>IF(COUNTBLANK(SAISIE!$J$6:$M$6)=4,"",IF(SAISIE!#REF!="","",IF(SAISIE!J59&gt;0,SAISIE!$J$6,IF(SAISIE!K59&gt;0,SAISIE!$K$6,IF(SAISIE!L59&gt;0,SAISIE!$L$6,IF(SAISIE!M59&gt;0,SAISIE!$M$6,""))))))</f>
        <v/>
      </c>
      <c r="O797" s="59" t="s">
        <v>60</v>
      </c>
    </row>
    <row r="798" spans="1:15" x14ac:dyDescent="0.25">
      <c r="A798" s="63" t="str">
        <f>IF(AND(G798="",H798=""),"SUPPR",SAISIE!$B$3)</f>
        <v>SUPPR</v>
      </c>
      <c r="B798" s="63" t="str">
        <f>IF(SAISIE!J59="","",IF(LEN(SAISIE!B59)=1,CONCATENATE("0",SAISIE!B59,"/",SAISIE!$B$4,"/",SAISIE!$B$5),CONCATENATE(SAISIE!B59,"/",SAISIE!$B$4,"/",SAISIE!$B$5)))</f>
        <v/>
      </c>
      <c r="C798" s="63" t="str">
        <f>IF(SAISIE!J59="","",SAISIE!$J$8)</f>
        <v/>
      </c>
      <c r="D798" s="63" t="str">
        <f>IF(SAISIE!J59="","",SAISIE!E59)</f>
        <v/>
      </c>
      <c r="E798" s="63" t="str">
        <f>IF(SAISIE!J59="","",SAISIE!F59)</f>
        <v/>
      </c>
      <c r="F798" s="70" t="str">
        <f>IF(SAISIE!$J59="","",IF(SAISIE!$N59="","",SAISIE!$N59))</f>
        <v/>
      </c>
      <c r="G798" s="63" t="str">
        <f>IF(SAISIE!J59="","",SAISIE!J59)</f>
        <v/>
      </c>
      <c r="H798" s="63"/>
      <c r="I798" s="72"/>
      <c r="J798" s="71"/>
      <c r="O798" s="73"/>
    </row>
    <row r="799" spans="1:15" x14ac:dyDescent="0.25">
      <c r="A799" s="63" t="str">
        <f>IF(AND(G799="",H799=""),"SUPPR",SAISIE!$B$3)</f>
        <v>SUPPR</v>
      </c>
      <c r="B799" s="63" t="str">
        <f>IF(SAISIE!K59="","",IF(LEN(SAISIE!B59)=1,CONCATENATE("0",SAISIE!B59,"/",SAISIE!$B$4,"/",SAISIE!$B$5),CONCATENATE(SAISIE!B59,"/",SAISIE!$B$4,"/",SAISIE!$B$5)))</f>
        <v/>
      </c>
      <c r="C799" s="63" t="str">
        <f>IF(SAISIE!K59="","",SAISIE!$K$8)</f>
        <v/>
      </c>
      <c r="D799" s="63" t="str">
        <f>IF(SAISIE!K59="","",SAISIE!E59)</f>
        <v/>
      </c>
      <c r="E799" s="63" t="str">
        <f>IF(SAISIE!K59="","",SAISIE!F59)</f>
        <v/>
      </c>
      <c r="F799" s="70" t="str">
        <f>IF(SAISIE!$K59="","",IF(SAISIE!$N59="","",SAISIE!$N59))</f>
        <v/>
      </c>
      <c r="G799" s="63" t="str">
        <f>IF(SAISIE!K59="","",SAISIE!K59)</f>
        <v/>
      </c>
      <c r="H799" s="63"/>
      <c r="I799" s="72"/>
      <c r="J799" s="71"/>
    </row>
    <row r="800" spans="1:15" x14ac:dyDescent="0.25">
      <c r="A800" s="63" t="str">
        <f>IF(AND(G800="",H800=""),"SUPPR",SAISIE!$B$3)</f>
        <v>SUPPR</v>
      </c>
      <c r="B800" s="63" t="str">
        <f>IF(SAISIE!L59="","",IF(LEN(SAISIE!B59)=1,CONCATENATE("0",SAISIE!B59,"/",SAISIE!$B$4,"/",SAISIE!$B$5),CONCATENATE(SAISIE!B59,"/",SAISIE!$B$4,"/",SAISIE!$B$5)))</f>
        <v/>
      </c>
      <c r="C800" s="63" t="str">
        <f>IF(SAISIE!L59="","",SAISIE!$L$8)</f>
        <v/>
      </c>
      <c r="D800" s="63" t="str">
        <f>IF(SAISIE!L59="","",SAISIE!E59)</f>
        <v/>
      </c>
      <c r="E800" s="63" t="str">
        <f>IF(SAISIE!L59="","",SAISIE!F59)</f>
        <v/>
      </c>
      <c r="F800" s="70" t="str">
        <f>IF(SAISIE!$L59="","",IF(SAISIE!$N59="","",SAISIE!$N59))</f>
        <v/>
      </c>
      <c r="G800" s="63" t="str">
        <f>IF(SAISIE!L59="","",SAISIE!L59)</f>
        <v/>
      </c>
      <c r="H800" s="63"/>
      <c r="I800" s="72"/>
      <c r="J800" s="71"/>
    </row>
    <row r="801" spans="1:15" x14ac:dyDescent="0.25">
      <c r="A801" s="63" t="str">
        <f>IF(AND(G801="",H801=""),"SUPPR",SAISIE!$B$3)</f>
        <v>SUPPR</v>
      </c>
      <c r="B801" s="63" t="str">
        <f>IF(SAISIE!M59="","",IF(LEN(SAISIE!B59)=1,CONCATENATE("0",SAISIE!B59,"/",SAISIE!$B$4,"/",SAISIE!$B$5),CONCATENATE(SAISIE!B59,"/",SAISIE!$B$4,"/",SAISIE!$B$5)))</f>
        <v/>
      </c>
      <c r="C801" s="74" t="str">
        <f>IF(SAISIE!M59="","",SAISIE!$M$8)</f>
        <v/>
      </c>
      <c r="D801" s="74" t="str">
        <f>IF(SAISIE!M59="","",SAISIE!E59)</f>
        <v/>
      </c>
      <c r="E801" s="74" t="str">
        <f>IF(SAISIE!M59="","",SAISIE!F59)</f>
        <v/>
      </c>
      <c r="F801" s="75" t="str">
        <f>IF(SAISIE!$M59="","",IF(SAISIE!$N59="","",SAISIE!$N59))</f>
        <v/>
      </c>
      <c r="G801" s="74" t="str">
        <f>IF(SAISIE!M59="","",SAISIE!M59)</f>
        <v/>
      </c>
      <c r="H801" s="76"/>
      <c r="I801" s="77"/>
      <c r="J801" s="78"/>
    </row>
    <row r="802" spans="1:15" x14ac:dyDescent="0.25">
      <c r="A802" s="63" t="str">
        <f>IF(AND(G802="",H802=""),"SUPPR",SAISIE!$B$3)</f>
        <v>SUPPR</v>
      </c>
      <c r="B802" s="64" t="str">
        <f>IF(SAISIE!B60="","",IF(LEN(SAISIE!B60)=1,CONCATENATE("0",SAISIE!B60,"/",SAISIE!$B$4,"/",SAISIE!$B$5),CONCATENATE(SAISIE!B60,"/",SAISIE!$B$4,"/",SAISIE!$B$5)))</f>
        <v/>
      </c>
      <c r="C802" s="64" t="str">
        <f>IF(SAISIE!B60="","",CONCATENATE($M$2,SAISIE!C60))</f>
        <v/>
      </c>
      <c r="D802" s="64" t="str">
        <f>IF(SAISIE!B60="","",SAISIE!E60)</f>
        <v/>
      </c>
      <c r="E802" s="64" t="str">
        <f>IF(SAISIE!B60="","",SAISIE!F60)</f>
        <v/>
      </c>
      <c r="F802" s="65" t="str">
        <f>IF(A802="SUPPR","",IF(SAISIE!$N60="","",SAISIE!$N60))</f>
        <v/>
      </c>
      <c r="G802" s="64"/>
      <c r="H802" s="64" t="str">
        <f>IF(SAISIE!B60="","",SAISIE!D60)</f>
        <v/>
      </c>
      <c r="I802" s="66"/>
      <c r="J802" s="67" t="str">
        <f>IF(AZ60="","","")</f>
        <v/>
      </c>
      <c r="O802" s="69">
        <f>O786+1</f>
        <v>60</v>
      </c>
    </row>
    <row r="803" spans="1:15" x14ac:dyDescent="0.25">
      <c r="A803" s="63" t="str">
        <f>IF(AND(G803="",H803=""),"SUPPR",SAISIE!$B$3)</f>
        <v>SUPPR</v>
      </c>
      <c r="B803" s="63" t="str">
        <f>IF(SAISIE!P60="","",IF(LEN(SAISIE!B60)=1,CONCATENATE("0",SAISIE!B60,"/",SAISIE!$B$4,"/",SAISIE!$B$5),CONCATENATE(SAISIE!B60,"/",SAISIE!$B$4,"/",SAISIE!$B$5)))</f>
        <v/>
      </c>
      <c r="C803" s="63" t="str">
        <f>IF(SAISIE!P60="","",SAISIE!O60)</f>
        <v/>
      </c>
      <c r="D803" s="63" t="str">
        <f>IF(SAISIE!P60="","",SAISIE!E60)</f>
        <v/>
      </c>
      <c r="E803" s="63" t="str">
        <f>IF(SAISIE!P60="","",SAISIE!F60)</f>
        <v/>
      </c>
      <c r="F803" s="70" t="str">
        <f>IF(SAISIE!$P60="","",IF(SAISIE!$N60="","",SAISIE!$N60))</f>
        <v/>
      </c>
      <c r="G803" s="63" t="str">
        <f>IF(SAISIE!P60="","",SAISIE!P60)</f>
        <v/>
      </c>
      <c r="H803" s="63"/>
      <c r="I803" s="63" t="str">
        <f>IF(SAISIE!$P60="","",SAISIE!$Q60)</f>
        <v/>
      </c>
      <c r="J803" s="71" t="str">
        <f>IF(COUNTBLANK(SAISIE!$J$6:$M$6)=4,"",IF(SAISIE!P60="","",IF(SAISIE!J60&gt;0,SAISIE!$J$6,IF(SAISIE!K60&gt;0,SAISIE!$K$6,IF(SAISIE!L60&gt;0,SAISIE!$L$6,IF(SAISIE!M60&gt;0,SAISIE!$M$6,""))))))</f>
        <v/>
      </c>
      <c r="O803" s="59" t="s">
        <v>50</v>
      </c>
    </row>
    <row r="804" spans="1:15" x14ac:dyDescent="0.25">
      <c r="A804" s="63" t="str">
        <f>IF(AND(G804="",H804=""),"SUPPR",SAISIE!$B$3)</f>
        <v>SUPPR</v>
      </c>
      <c r="B804" s="63" t="str">
        <f>IF(SAISIE!G60="","",IF(LEN(SAISIE!B60)=1,CONCATENATE("0",SAISIE!B60,"/",SAISIE!$B$4,"/",SAISIE!$B$5),CONCATENATE(SAISIE!B60,"/",SAISIE!$B$4,"/",SAISIE!$B$5)))</f>
        <v/>
      </c>
      <c r="C804" s="63" t="str">
        <f>IF(SAISIE!G60="","",SAISIE!$G$8)</f>
        <v/>
      </c>
      <c r="D804" s="63" t="str">
        <f>IF(SAISIE!G60="","",SAISIE!E60)</f>
        <v/>
      </c>
      <c r="E804" s="63" t="str">
        <f>IF(SAISIE!G60="","",SAISIE!F60)</f>
        <v/>
      </c>
      <c r="F804" s="70" t="str">
        <f>IF(SAISIE!$G60="","",IF(SAISIE!$N60="","",SAISIE!$N60))</f>
        <v/>
      </c>
      <c r="G804" s="63" t="str">
        <f>IF(SAISIE!G60="","",SAISIE!G60)</f>
        <v/>
      </c>
      <c r="H804" s="63"/>
      <c r="I804" s="63" t="str">
        <f>IF(SAISIE!$G60="","",SAISIE!$Q60)</f>
        <v/>
      </c>
      <c r="J804" s="71" t="str">
        <f>IF(COUNTBLANK(SAISIE!$J$6:$M$6)=4,"",IF(SAISIE!G60="","",IF(SAISIE!J60&gt;0,SAISIE!$J$6,IF(SAISIE!K60&gt;0,SAISIE!$K$6,IF(SAISIE!L60&gt;0,SAISIE!$L$6,IF(SAISIE!M60&gt;0,SAISIE!$M$6,""))))))</f>
        <v/>
      </c>
      <c r="O804" s="59" t="s">
        <v>51</v>
      </c>
    </row>
    <row r="805" spans="1:15" x14ac:dyDescent="0.25">
      <c r="A805" s="63" t="str">
        <f>IF(AND(G805="",H805=""),"SUPPR",SAISIE!$B$3)</f>
        <v>SUPPR</v>
      </c>
      <c r="B805" s="63" t="str">
        <f>IF(SAISIE!H60="","",IF(LEN(SAISIE!B60)=1,CONCATENATE("0",SAISIE!B60,"/",SAISIE!$B$4,"/",SAISIE!$B$5),CONCATENATE(SAISIE!B60,"/",SAISIE!$B$4,"/",SAISIE!$B$5)))</f>
        <v/>
      </c>
      <c r="C805" s="63" t="str">
        <f>IF(SAISIE!H60="","",SAISIE!$H$8)</f>
        <v/>
      </c>
      <c r="D805" s="63" t="str">
        <f>IF(SAISIE!H60="","",SAISIE!E60)</f>
        <v/>
      </c>
      <c r="E805" s="63" t="str">
        <f>IF(SAISIE!H60="","",SAISIE!F60)</f>
        <v/>
      </c>
      <c r="F805" s="70" t="str">
        <f>IF(SAISIE!$H60="","",IF(SAISIE!$N60="","",SAISIE!$N60))</f>
        <v/>
      </c>
      <c r="G805" s="63" t="str">
        <f>IF(SAISIE!H60="","",SAISIE!H60)</f>
        <v/>
      </c>
      <c r="H805" s="63"/>
      <c r="I805" s="63" t="str">
        <f>IF(SAISIE!$H60="","",SAISIE!$Q60)</f>
        <v/>
      </c>
      <c r="J805" s="71" t="str">
        <f>IF(COUNTBLANK(SAISIE!$J$6:$M$6)=4,"",IF(SAISIE!H60="","",IF(SAISIE!J60&gt;0,SAISIE!$J$6,IF(SAISIE!K60&gt;0,SAISIE!$K$6,IF(SAISIE!L60&gt;0,SAISIE!$L$6,IF(SAISIE!M60&gt;0,SAISIE!$M$6,""))))))</f>
        <v/>
      </c>
      <c r="O805" s="59" t="s">
        <v>52</v>
      </c>
    </row>
    <row r="806" spans="1:15" x14ac:dyDescent="0.25">
      <c r="A806" s="63" t="str">
        <f>IF(AND(G806="",H806=""),"SUPPR",SAISIE!$B$3)</f>
        <v>SUPPR</v>
      </c>
      <c r="B806" s="63" t="str">
        <f>IF(SAISIE!I60="","",IF(LEN(SAISIE!B60)=1,CONCATENATE("0",SAISIE!B60,"/",SAISIE!$B$4,"/",SAISIE!$B$5),CONCATENATE(SAISIE!B60,"/",SAISIE!$B$4,"/",SAISIE!$B$5)))</f>
        <v/>
      </c>
      <c r="C806" s="63" t="str">
        <f>IF(SAISIE!I60="","",SAISIE!$I$8)</f>
        <v/>
      </c>
      <c r="D806" s="63" t="str">
        <f>IF(SAISIE!I60="","",SAISIE!E60)</f>
        <v/>
      </c>
      <c r="E806" s="63" t="str">
        <f>IF(SAISIE!I60="","",SAISIE!F60)</f>
        <v/>
      </c>
      <c r="F806" s="70" t="str">
        <f>IF(SAISIE!$I60="","",IF(SAISIE!$N60="","",SAISIE!$N60))</f>
        <v/>
      </c>
      <c r="G806" s="63" t="str">
        <f>IF(SAISIE!I60="","",SAISIE!I60)</f>
        <v/>
      </c>
      <c r="H806" s="63"/>
      <c r="I806" s="63" t="str">
        <f>IF(SAISIE!$I60="","",SAISIE!$Q60)</f>
        <v/>
      </c>
      <c r="J806" s="71" t="str">
        <f>IF(COUNTBLANK(SAISIE!$J$6:$M$6)=4,"",IF(SAISIE!I60="","",IF(SAISIE!J60&gt;0,SAISIE!$J$6,IF(SAISIE!K60&gt;0,SAISIE!$K$6,IF(SAISIE!L60&gt;0,SAISIE!$L$6,IF(SAISIE!M60&gt;0,SAISIE!$M$6,""))))))</f>
        <v/>
      </c>
      <c r="O806" s="59" t="s">
        <v>53</v>
      </c>
    </row>
    <row r="807" spans="1:15" x14ac:dyDescent="0.25">
      <c r="A807" s="63" t="e">
        <f>IF(AND(G807="",H807=""),"SUPPR",SAISIE!$B$3)</f>
        <v>#REF!</v>
      </c>
      <c r="B807" s="63" t="e">
        <f>IF(SAISIE!#REF!="","",IF(LEN(SAISIE!B60)=1,CONCATENATE("0",SAISIE!B60,"/",SAISIE!$B$4,"/",SAISIE!$B$5),CONCATENATE(SAISIE!B60,"/",SAISIE!$B$4,"/",SAISIE!$B$5)))</f>
        <v>#REF!</v>
      </c>
      <c r="C807" s="63" t="e">
        <f>IF(SAISIE!#REF!="","",SAISIE!#REF!)</f>
        <v>#REF!</v>
      </c>
      <c r="D807" s="63" t="e">
        <f>IF(SAISIE!#REF!="","",SAISIE!E60)</f>
        <v>#REF!</v>
      </c>
      <c r="E807" s="63" t="e">
        <f>IF(SAISIE!#REF!="","",SAISIE!F60)</f>
        <v>#REF!</v>
      </c>
      <c r="F807" s="70" t="e">
        <f>IF(SAISIE!#REF!="","",IF(SAISIE!$N60="","",SAISIE!$N60))</f>
        <v>#REF!</v>
      </c>
      <c r="G807" s="63" t="e">
        <f>IF(SAISIE!#REF!="","",SAISIE!#REF!)</f>
        <v>#REF!</v>
      </c>
      <c r="H807" s="63"/>
      <c r="I807" s="63" t="e">
        <f>IF(SAISIE!#REF!="","",SAISIE!$Q60)</f>
        <v>#REF!</v>
      </c>
      <c r="J807" s="71" t="str">
        <f>IF(COUNTBLANK(SAISIE!$J$6:$M$6)=4,"",IF(SAISIE!#REF!="","",IF(SAISIE!J60&gt;0,SAISIE!$J$6,IF(SAISIE!K60&gt;0,SAISIE!$K$6,IF(SAISIE!L60&gt;0,SAISIE!$L$6,IF(SAISIE!M60&gt;0,SAISIE!$M$6,""))))))</f>
        <v/>
      </c>
      <c r="O807" s="59" t="s">
        <v>54</v>
      </c>
    </row>
    <row r="808" spans="1:15" x14ac:dyDescent="0.25">
      <c r="A808" s="63" t="e">
        <f>IF(AND(G808="",H808=""),"SUPPR",SAISIE!$B$3)</f>
        <v>#REF!</v>
      </c>
      <c r="B808" s="63" t="e">
        <f>IF(SAISIE!#REF!="","",IF(LEN(SAISIE!B60)=1,CONCATENATE("0",SAISIE!B60,"/",SAISIE!$B$4,"/",SAISIE!$B$5),CONCATENATE(SAISIE!B60,"/",SAISIE!$B$4,"/",SAISIE!$B$5)))</f>
        <v>#REF!</v>
      </c>
      <c r="C808" s="63" t="e">
        <f>IF(SAISIE!#REF!="","",SAISIE!#REF!)</f>
        <v>#REF!</v>
      </c>
      <c r="D808" s="63" t="e">
        <f>IF(SAISIE!#REF!="","",SAISIE!E60)</f>
        <v>#REF!</v>
      </c>
      <c r="E808" s="63" t="e">
        <f>IF(SAISIE!#REF!="","",SAISIE!F60)</f>
        <v>#REF!</v>
      </c>
      <c r="F808" s="70" t="e">
        <f>IF(SAISIE!#REF!="","",IF(SAISIE!$N60="","",SAISIE!$N60))</f>
        <v>#REF!</v>
      </c>
      <c r="G808" s="63" t="e">
        <f>IF(SAISIE!#REF!="","",SAISIE!#REF!)</f>
        <v>#REF!</v>
      </c>
      <c r="H808" s="63"/>
      <c r="I808" s="63" t="e">
        <f>IF(SAISIE!#REF!="","",SAISIE!$Q60)</f>
        <v>#REF!</v>
      </c>
      <c r="J808" s="71" t="str">
        <f>IF(COUNTBLANK(SAISIE!$J$6:$M$6)=4,"",IF(SAISIE!#REF!="","",IF(SAISIE!J60&gt;0,SAISIE!$J$6,IF(SAISIE!K60&gt;0,SAISIE!$K$6,IF(SAISIE!L60&gt;0,SAISIE!$L$6,IF(SAISIE!M60&gt;0,SAISIE!$M$6,""))))))</f>
        <v/>
      </c>
      <c r="O808" s="59" t="s">
        <v>55</v>
      </c>
    </row>
    <row r="809" spans="1:15" x14ac:dyDescent="0.25">
      <c r="A809" s="63" t="e">
        <f>IF(AND(G809="",H809=""),"SUPPR",SAISIE!$B$3)</f>
        <v>#REF!</v>
      </c>
      <c r="B809" s="63" t="e">
        <f>IF(SAISIE!#REF!="","",IF(LEN(SAISIE!B60)=1,CONCATENATE("0",SAISIE!B60,"/",SAISIE!$B$4,"/",SAISIE!$B$5),CONCATENATE(SAISIE!B60,"/",SAISIE!$B$4,"/",SAISIE!$B$5)))</f>
        <v>#REF!</v>
      </c>
      <c r="C809" s="63" t="e">
        <f>IF(SAISIE!#REF!="","",SAISIE!#REF!)</f>
        <v>#REF!</v>
      </c>
      <c r="D809" s="63" t="e">
        <f>IF(SAISIE!#REF!="","",SAISIE!E60)</f>
        <v>#REF!</v>
      </c>
      <c r="E809" s="63" t="e">
        <f>IF(SAISIE!#REF!="","",SAISIE!F60)</f>
        <v>#REF!</v>
      </c>
      <c r="F809" s="70" t="e">
        <f>IF(SAISIE!#REF!="","",IF(SAISIE!$N60="","",SAISIE!$N60))</f>
        <v>#REF!</v>
      </c>
      <c r="G809" s="63" t="e">
        <f>IF(SAISIE!#REF!="","",SAISIE!#REF!)</f>
        <v>#REF!</v>
      </c>
      <c r="H809" s="63"/>
      <c r="I809" s="63" t="e">
        <f>IF(SAISIE!#REF!="","",SAISIE!$Q60)</f>
        <v>#REF!</v>
      </c>
      <c r="J809" s="71" t="str">
        <f>IF(COUNTBLANK(SAISIE!$J$6:$M$6)=4,"",IF(SAISIE!#REF!="","",IF(SAISIE!J60&gt;0,SAISIE!$J$6,IF(SAISIE!K60&gt;0,SAISIE!$K$6,IF(SAISIE!L60&gt;0,SAISIE!$L$6,IF(SAISIE!M60&gt;0,SAISIE!$M$6,""))))))</f>
        <v/>
      </c>
      <c r="O809" s="59" t="s">
        <v>56</v>
      </c>
    </row>
    <row r="810" spans="1:15" x14ac:dyDescent="0.25">
      <c r="A810" s="63" t="e">
        <f>IF(AND(G810="",H810=""),"SUPPR",SAISIE!$B$3)</f>
        <v>#REF!</v>
      </c>
      <c r="B810" s="63" t="e">
        <f>IF(SAISIE!#REF!="","",IF(LEN(SAISIE!B60)=1,CONCATENATE("0",SAISIE!B60,"/",SAISIE!$B$4,"/",SAISIE!$B$5),CONCATENATE(SAISIE!B60,"/",SAISIE!$B$4,"/",SAISIE!$B$5)))</f>
        <v>#REF!</v>
      </c>
      <c r="C810" s="63" t="e">
        <f>IF(SAISIE!#REF!="","",SAISIE!#REF!)</f>
        <v>#REF!</v>
      </c>
      <c r="D810" s="63" t="e">
        <f>IF(SAISIE!#REF!="","",SAISIE!E60)</f>
        <v>#REF!</v>
      </c>
      <c r="E810" s="63" t="e">
        <f>IF(SAISIE!#REF!="","",SAISIE!F60)</f>
        <v>#REF!</v>
      </c>
      <c r="F810" s="70" t="e">
        <f>IF(SAISIE!#REF!="","",IF(SAISIE!$N60="","",SAISIE!$N60))</f>
        <v>#REF!</v>
      </c>
      <c r="G810" s="63" t="e">
        <f>IF(SAISIE!#REF!="","",SAISIE!#REF!)</f>
        <v>#REF!</v>
      </c>
      <c r="H810" s="63"/>
      <c r="I810" s="63" t="e">
        <f>IF(SAISIE!#REF!="","",SAISIE!$Q60)</f>
        <v>#REF!</v>
      </c>
      <c r="J810" s="71" t="str">
        <f>IF(COUNTBLANK(SAISIE!$J$6:$M$6)=4,"",IF(SAISIE!#REF!="","",IF(SAISIE!J60&gt;0,SAISIE!$J$6,IF(SAISIE!K60&gt;0,SAISIE!$K$6,IF(SAISIE!L60&gt;0,SAISIE!$L$6,IF(SAISIE!M60&gt;0,SAISIE!$M$6,""))))))</f>
        <v/>
      </c>
      <c r="O810" s="59" t="s">
        <v>57</v>
      </c>
    </row>
    <row r="811" spans="1:15" x14ac:dyDescent="0.25">
      <c r="A811" s="63" t="e">
        <f>IF(AND(G811="",H811=""),"SUPPR",SAISIE!$B$3)</f>
        <v>#REF!</v>
      </c>
      <c r="B811" s="63" t="e">
        <f>IF(SAISIE!#REF!="","",IF(LEN(SAISIE!B60)=1,CONCATENATE("0",SAISIE!B60,"/",SAISIE!$B$4,"/",SAISIE!$B$5),CONCATENATE(SAISIE!B60,"/",SAISIE!$B$4,"/",SAISIE!$B$5)))</f>
        <v>#REF!</v>
      </c>
      <c r="C811" s="63" t="e">
        <f>IF(SAISIE!#REF!="","",SAISIE!#REF!)</f>
        <v>#REF!</v>
      </c>
      <c r="D811" s="63" t="e">
        <f>IF(SAISIE!#REF!="","",SAISIE!E60)</f>
        <v>#REF!</v>
      </c>
      <c r="E811" s="63" t="e">
        <f>IF(SAISIE!#REF!="","",SAISIE!F60)</f>
        <v>#REF!</v>
      </c>
      <c r="F811" s="70" t="e">
        <f>IF(SAISIE!#REF!="","",IF(SAISIE!$N60="","",SAISIE!$N60))</f>
        <v>#REF!</v>
      </c>
      <c r="G811" s="63" t="e">
        <f>IF(SAISIE!#REF!="","",SAISIE!#REF!)</f>
        <v>#REF!</v>
      </c>
      <c r="H811" s="63"/>
      <c r="I811" s="63" t="e">
        <f>IF(SAISIE!#REF!="","",SAISIE!$Q60)</f>
        <v>#REF!</v>
      </c>
      <c r="J811" s="71" t="str">
        <f>IF(COUNTBLANK(SAISIE!$J$6:$M$6)=4,"",IF(SAISIE!#REF!="","",IF(SAISIE!J60&gt;0,SAISIE!$J$6,IF(SAISIE!K60&gt;0,SAISIE!$K$6,IF(SAISIE!L60&gt;0,SAISIE!$L$6,IF(SAISIE!M60&gt;0,SAISIE!$M$6,""))))))</f>
        <v/>
      </c>
      <c r="O811" s="59" t="s">
        <v>58</v>
      </c>
    </row>
    <row r="812" spans="1:15" x14ac:dyDescent="0.25">
      <c r="A812" s="63" t="e">
        <f>IF(AND(G812="",H812=""),"SUPPR",SAISIE!$B$3)</f>
        <v>#REF!</v>
      </c>
      <c r="B812" s="63" t="e">
        <f>IF(SAISIE!#REF!="","",IF(LEN(SAISIE!B60)=1,CONCATENATE("0",SAISIE!B60,"/",SAISIE!$B$4,"/",SAISIE!$B$5),CONCATENATE(SAISIE!B60,"/",SAISIE!$B$4,"/",SAISIE!$B$5)))</f>
        <v>#REF!</v>
      </c>
      <c r="C812" s="63" t="e">
        <f>IF(SAISIE!#REF!="","",SAISIE!#REF!)</f>
        <v>#REF!</v>
      </c>
      <c r="D812" s="63" t="e">
        <f>IF(SAISIE!#REF!="","",SAISIE!E60)</f>
        <v>#REF!</v>
      </c>
      <c r="E812" s="63" t="e">
        <f>IF(SAISIE!#REF!="","",SAISIE!F60)</f>
        <v>#REF!</v>
      </c>
      <c r="F812" s="70" t="e">
        <f>IF(SAISIE!#REF!="","",IF(SAISIE!$N60="","",SAISIE!$N60))</f>
        <v>#REF!</v>
      </c>
      <c r="G812" s="63" t="e">
        <f>IF(SAISIE!#REF!="","",SAISIE!#REF!)</f>
        <v>#REF!</v>
      </c>
      <c r="H812" s="63"/>
      <c r="I812" s="63" t="e">
        <f>IF(SAISIE!#REF!="","",SAISIE!$Q60)</f>
        <v>#REF!</v>
      </c>
      <c r="J812" s="71" t="str">
        <f>IF(COUNTBLANK(SAISIE!$J$6:$M$6)=4,"",IF(SAISIE!#REF!="","",IF(SAISIE!J60&gt;0,SAISIE!$J$6,IF(SAISIE!K60&gt;0,SAISIE!$K$6,IF(SAISIE!L60&gt;0,SAISIE!$L$6,IF(SAISIE!M60&gt;0,SAISIE!$M$6,""))))))</f>
        <v/>
      </c>
      <c r="O812" s="59" t="s">
        <v>59</v>
      </c>
    </row>
    <row r="813" spans="1:15" x14ac:dyDescent="0.25">
      <c r="A813" s="63" t="e">
        <f>IF(AND(G813="",H813=""),"SUPPR",SAISIE!$B$3)</f>
        <v>#REF!</v>
      </c>
      <c r="B813" s="63" t="e">
        <f>IF(SAISIE!#REF!="","",IF(LEN(SAISIE!B60)=1,CONCATENATE("0",SAISIE!B60,"/",SAISIE!$B$4,"/",SAISIE!$B$5),CONCATENATE(SAISIE!B60,"/",SAISIE!$B$4,"/",SAISIE!$B$5)))</f>
        <v>#REF!</v>
      </c>
      <c r="C813" s="63" t="e">
        <f>IF(SAISIE!#REF!="","",SAISIE!#REF!)</f>
        <v>#REF!</v>
      </c>
      <c r="D813" s="63" t="e">
        <f>IF(SAISIE!#REF!="","",SAISIE!E60)</f>
        <v>#REF!</v>
      </c>
      <c r="E813" s="63" t="e">
        <f>IF(SAISIE!#REF!="","",SAISIE!F60)</f>
        <v>#REF!</v>
      </c>
      <c r="F813" s="70" t="e">
        <f>IF(SAISIE!#REF!="","",IF(SAISIE!$N60="","",SAISIE!$N60))</f>
        <v>#REF!</v>
      </c>
      <c r="G813" s="63" t="e">
        <f>IF(SAISIE!#REF!="","",SAISIE!#REF!)</f>
        <v>#REF!</v>
      </c>
      <c r="H813" s="63"/>
      <c r="I813" s="63" t="e">
        <f>IF(SAISIE!#REF!="","",SAISIE!$Q60)</f>
        <v>#REF!</v>
      </c>
      <c r="J813" s="71" t="str">
        <f>IF(COUNTBLANK(SAISIE!$J$6:$M$6)=4,"",IF(SAISIE!#REF!="","",IF(SAISIE!J60&gt;0,SAISIE!$J$6,IF(SAISIE!K60&gt;0,SAISIE!$K$6,IF(SAISIE!L60&gt;0,SAISIE!$L$6,IF(SAISIE!M60&gt;0,SAISIE!$M$6,""))))))</f>
        <v/>
      </c>
      <c r="O813" s="59" t="s">
        <v>60</v>
      </c>
    </row>
    <row r="814" spans="1:15" x14ac:dyDescent="0.25">
      <c r="A814" s="63" t="str">
        <f>IF(AND(G814="",H814=""),"SUPPR",SAISIE!$B$3)</f>
        <v>SUPPR</v>
      </c>
      <c r="B814" s="63" t="str">
        <f>IF(SAISIE!J60="","",IF(LEN(SAISIE!B60)=1,CONCATENATE("0",SAISIE!B60,"/",SAISIE!$B$4,"/",SAISIE!$B$5),CONCATENATE(SAISIE!B60,"/",SAISIE!$B$4,"/",SAISIE!$B$5)))</f>
        <v/>
      </c>
      <c r="C814" s="63" t="str">
        <f>IF(SAISIE!J60="","",SAISIE!$J$8)</f>
        <v/>
      </c>
      <c r="D814" s="63" t="str">
        <f>IF(SAISIE!J60="","",SAISIE!E60)</f>
        <v/>
      </c>
      <c r="E814" s="63" t="str">
        <f>IF(SAISIE!J60="","",SAISIE!F60)</f>
        <v/>
      </c>
      <c r="F814" s="70" t="str">
        <f>IF(SAISIE!$J60="","",IF(SAISIE!$N60="","",SAISIE!$N60))</f>
        <v/>
      </c>
      <c r="G814" s="63" t="str">
        <f>IF(SAISIE!J60="","",SAISIE!J60)</f>
        <v/>
      </c>
      <c r="H814" s="63"/>
      <c r="I814" s="72"/>
      <c r="J814" s="71"/>
      <c r="O814" s="73"/>
    </row>
    <row r="815" spans="1:15" x14ac:dyDescent="0.25">
      <c r="A815" s="63" t="str">
        <f>IF(AND(G815="",H815=""),"SUPPR",SAISIE!$B$3)</f>
        <v>SUPPR</v>
      </c>
      <c r="B815" s="63" t="str">
        <f>IF(SAISIE!K60="","",IF(LEN(SAISIE!B60)=1,CONCATENATE("0",SAISIE!B60,"/",SAISIE!$B$4,"/",SAISIE!$B$5),CONCATENATE(SAISIE!B60,"/",SAISIE!$B$4,"/",SAISIE!$B$5)))</f>
        <v/>
      </c>
      <c r="C815" s="63" t="str">
        <f>IF(SAISIE!K60="","",SAISIE!$K$8)</f>
        <v/>
      </c>
      <c r="D815" s="63" t="str">
        <f>IF(SAISIE!K60="","",SAISIE!E60)</f>
        <v/>
      </c>
      <c r="E815" s="63" t="str">
        <f>IF(SAISIE!K60="","",SAISIE!F60)</f>
        <v/>
      </c>
      <c r="F815" s="70" t="str">
        <f>IF(SAISIE!$K60="","",IF(SAISIE!$N60="","",SAISIE!$N60))</f>
        <v/>
      </c>
      <c r="G815" s="63" t="str">
        <f>IF(SAISIE!K60="","",SAISIE!K60)</f>
        <v/>
      </c>
      <c r="H815" s="63"/>
      <c r="I815" s="72"/>
      <c r="J815" s="71"/>
    </row>
    <row r="816" spans="1:15" x14ac:dyDescent="0.25">
      <c r="A816" s="63" t="str">
        <f>IF(AND(G816="",H816=""),"SUPPR",SAISIE!$B$3)</f>
        <v>SUPPR</v>
      </c>
      <c r="B816" s="63" t="str">
        <f>IF(SAISIE!L60="","",IF(LEN(SAISIE!B60)=1,CONCATENATE("0",SAISIE!B60,"/",SAISIE!$B$4,"/",SAISIE!$B$5),CONCATENATE(SAISIE!B60,"/",SAISIE!$B$4,"/",SAISIE!$B$5)))</f>
        <v/>
      </c>
      <c r="C816" s="63" t="str">
        <f>IF(SAISIE!L60="","",SAISIE!$L$8)</f>
        <v/>
      </c>
      <c r="D816" s="63" t="str">
        <f>IF(SAISIE!L60="","",SAISIE!E60)</f>
        <v/>
      </c>
      <c r="E816" s="63" t="str">
        <f>IF(SAISIE!L60="","",SAISIE!F60)</f>
        <v/>
      </c>
      <c r="F816" s="70" t="str">
        <f>IF(SAISIE!$L60="","",IF(SAISIE!$N60="","",SAISIE!$N60))</f>
        <v/>
      </c>
      <c r="G816" s="63" t="str">
        <f>IF(SAISIE!L60="","",SAISIE!L60)</f>
        <v/>
      </c>
      <c r="H816" s="63"/>
      <c r="I816" s="72"/>
      <c r="J816" s="71"/>
    </row>
    <row r="817" spans="1:15" x14ac:dyDescent="0.25">
      <c r="A817" s="63" t="str">
        <f>IF(AND(G817="",H817=""),"SUPPR",SAISIE!$B$3)</f>
        <v>SUPPR</v>
      </c>
      <c r="B817" s="63" t="str">
        <f>IF(SAISIE!M60="","",IF(LEN(SAISIE!B60)=1,CONCATENATE("0",SAISIE!B60,"/",SAISIE!$B$4,"/",SAISIE!$B$5),CONCATENATE(SAISIE!B60,"/",SAISIE!$B$4,"/",SAISIE!$B$5)))</f>
        <v/>
      </c>
      <c r="C817" s="74" t="str">
        <f>IF(SAISIE!M60="","",SAISIE!$M$8)</f>
        <v/>
      </c>
      <c r="D817" s="74" t="str">
        <f>IF(SAISIE!M60="","",SAISIE!E60)</f>
        <v/>
      </c>
      <c r="E817" s="74" t="str">
        <f>IF(SAISIE!M60="","",SAISIE!F60)</f>
        <v/>
      </c>
      <c r="F817" s="75" t="str">
        <f>IF(SAISIE!$M60="","",IF(SAISIE!$N60="","",SAISIE!$N60))</f>
        <v/>
      </c>
      <c r="G817" s="74" t="str">
        <f>IF(SAISIE!M60="","",SAISIE!M60)</f>
        <v/>
      </c>
      <c r="H817" s="76"/>
      <c r="I817" s="77"/>
      <c r="J817" s="78"/>
    </row>
    <row r="818" spans="1:15" x14ac:dyDescent="0.25">
      <c r="A818" s="63" t="str">
        <f>IF(AND(G818="",H818=""),"SUPPR",SAISIE!$B$3)</f>
        <v>SUPPR</v>
      </c>
      <c r="B818" s="64" t="str">
        <f>IF(SAISIE!B61="","",IF(LEN(SAISIE!B61)=1,CONCATENATE("0",SAISIE!B61,"/",SAISIE!$B$4,"/",SAISIE!$B$5),CONCATENATE(SAISIE!B61,"/",SAISIE!$B$4,"/",SAISIE!$B$5)))</f>
        <v/>
      </c>
      <c r="C818" s="64" t="str">
        <f>IF(SAISIE!B61="","",CONCATENATE($M$2,SAISIE!C61))</f>
        <v/>
      </c>
      <c r="D818" s="64" t="str">
        <f>IF(SAISIE!B61="","",SAISIE!E61)</f>
        <v/>
      </c>
      <c r="E818" s="64" t="str">
        <f>IF(SAISIE!B61="","",SAISIE!F61)</f>
        <v/>
      </c>
      <c r="F818" s="65" t="str">
        <f>IF(A818="SUPPR","",IF(SAISIE!$N61="","",SAISIE!$N61))</f>
        <v/>
      </c>
      <c r="G818" s="64"/>
      <c r="H818" s="64" t="str">
        <f>IF(SAISIE!B61="","",SAISIE!D61)</f>
        <v/>
      </c>
      <c r="I818" s="66"/>
      <c r="J818" s="67" t="str">
        <f>IF(AZ61="","","")</f>
        <v/>
      </c>
      <c r="O818" s="69">
        <f>O802+1</f>
        <v>61</v>
      </c>
    </row>
    <row r="819" spans="1:15" x14ac:dyDescent="0.25">
      <c r="A819" s="63" t="str">
        <f>IF(AND(G819="",H819=""),"SUPPR",SAISIE!$B$3)</f>
        <v>SUPPR</v>
      </c>
      <c r="B819" s="63" t="str">
        <f>IF(SAISIE!P61="","",IF(LEN(SAISIE!B61)=1,CONCATENATE("0",SAISIE!B61,"/",SAISIE!$B$4,"/",SAISIE!$B$5),CONCATENATE(SAISIE!B61,"/",SAISIE!$B$4,"/",SAISIE!$B$5)))</f>
        <v/>
      </c>
      <c r="C819" s="63" t="str">
        <f>IF(SAISIE!P61="","",SAISIE!O61)</f>
        <v/>
      </c>
      <c r="D819" s="63" t="str">
        <f>IF(SAISIE!P61="","",SAISIE!E61)</f>
        <v/>
      </c>
      <c r="E819" s="63" t="str">
        <f>IF(SAISIE!P61="","",SAISIE!F61)</f>
        <v/>
      </c>
      <c r="F819" s="70" t="str">
        <f>IF(SAISIE!$P61="","",IF(SAISIE!$N61="","",SAISIE!$N61))</f>
        <v/>
      </c>
      <c r="G819" s="63" t="str">
        <f>IF(SAISIE!P61="","",SAISIE!P61)</f>
        <v/>
      </c>
      <c r="H819" s="63"/>
      <c r="I819" s="63" t="str">
        <f>IF(SAISIE!$P61="","",SAISIE!$Q61)</f>
        <v/>
      </c>
      <c r="J819" s="71" t="str">
        <f>IF(COUNTBLANK(SAISIE!$J$6:$M$6)=4,"",IF(SAISIE!P61="","",IF(SAISIE!J61&gt;0,SAISIE!$J$6,IF(SAISIE!K61&gt;0,SAISIE!$K$6,IF(SAISIE!L61&gt;0,SAISIE!$L$6,IF(SAISIE!M61&gt;0,SAISIE!$M$6,""))))))</f>
        <v/>
      </c>
      <c r="O819" s="59" t="s">
        <v>50</v>
      </c>
    </row>
    <row r="820" spans="1:15" x14ac:dyDescent="0.25">
      <c r="A820" s="63" t="str">
        <f>IF(AND(G820="",H820=""),"SUPPR",SAISIE!$B$3)</f>
        <v>SUPPR</v>
      </c>
      <c r="B820" s="63" t="str">
        <f>IF(SAISIE!G61="","",IF(LEN(SAISIE!B61)=1,CONCATENATE("0",SAISIE!B61,"/",SAISIE!$B$4,"/",SAISIE!$B$5),CONCATENATE(SAISIE!B61,"/",SAISIE!$B$4,"/",SAISIE!$B$5)))</f>
        <v/>
      </c>
      <c r="C820" s="63" t="str">
        <f>IF(SAISIE!G61="","",SAISIE!$G$8)</f>
        <v/>
      </c>
      <c r="D820" s="63" t="str">
        <f>IF(SAISIE!G61="","",SAISIE!E61)</f>
        <v/>
      </c>
      <c r="E820" s="63" t="str">
        <f>IF(SAISIE!G61="","",SAISIE!F61)</f>
        <v/>
      </c>
      <c r="F820" s="70" t="str">
        <f>IF(SAISIE!$G61="","",IF(SAISIE!$N61="","",SAISIE!$N61))</f>
        <v/>
      </c>
      <c r="G820" s="63" t="str">
        <f>IF(SAISIE!G61="","",SAISIE!G61)</f>
        <v/>
      </c>
      <c r="H820" s="63"/>
      <c r="I820" s="63" t="str">
        <f>IF(SAISIE!$G61="","",SAISIE!$Q61)</f>
        <v/>
      </c>
      <c r="J820" s="71" t="str">
        <f>IF(COUNTBLANK(SAISIE!$J$6:$M$6)=4,"",IF(SAISIE!G61="","",IF(SAISIE!J61&gt;0,SAISIE!$J$6,IF(SAISIE!K61&gt;0,SAISIE!$K$6,IF(SAISIE!L61&gt;0,SAISIE!$L$6,IF(SAISIE!M61&gt;0,SAISIE!$M$6,""))))))</f>
        <v/>
      </c>
      <c r="O820" s="59" t="s">
        <v>51</v>
      </c>
    </row>
    <row r="821" spans="1:15" x14ac:dyDescent="0.25">
      <c r="A821" s="63" t="str">
        <f>IF(AND(G821="",H821=""),"SUPPR",SAISIE!$B$3)</f>
        <v>SUPPR</v>
      </c>
      <c r="B821" s="63" t="str">
        <f>IF(SAISIE!H61="","",IF(LEN(SAISIE!B61)=1,CONCATENATE("0",SAISIE!B61,"/",SAISIE!$B$4,"/",SAISIE!$B$5),CONCATENATE(SAISIE!B61,"/",SAISIE!$B$4,"/",SAISIE!$B$5)))</f>
        <v/>
      </c>
      <c r="C821" s="63" t="str">
        <f>IF(SAISIE!H61="","",SAISIE!$H$8)</f>
        <v/>
      </c>
      <c r="D821" s="63" t="str">
        <f>IF(SAISIE!H61="","",SAISIE!E61)</f>
        <v/>
      </c>
      <c r="E821" s="63" t="str">
        <f>IF(SAISIE!H61="","",SAISIE!F61)</f>
        <v/>
      </c>
      <c r="F821" s="70" t="str">
        <f>IF(SAISIE!$H61="","",IF(SAISIE!$N61="","",SAISIE!$N61))</f>
        <v/>
      </c>
      <c r="G821" s="63" t="str">
        <f>IF(SAISIE!H61="","",SAISIE!H61)</f>
        <v/>
      </c>
      <c r="H821" s="63"/>
      <c r="I821" s="63" t="str">
        <f>IF(SAISIE!$H61="","",SAISIE!$Q61)</f>
        <v/>
      </c>
      <c r="J821" s="71" t="str">
        <f>IF(COUNTBLANK(SAISIE!$J$6:$M$6)=4,"",IF(SAISIE!H61="","",IF(SAISIE!J61&gt;0,SAISIE!$J$6,IF(SAISIE!K61&gt;0,SAISIE!$K$6,IF(SAISIE!L61&gt;0,SAISIE!$L$6,IF(SAISIE!M61&gt;0,SAISIE!$M$6,""))))))</f>
        <v/>
      </c>
      <c r="O821" s="59" t="s">
        <v>52</v>
      </c>
    </row>
    <row r="822" spans="1:15" x14ac:dyDescent="0.25">
      <c r="A822" s="63" t="str">
        <f>IF(AND(G822="",H822=""),"SUPPR",SAISIE!$B$3)</f>
        <v>SUPPR</v>
      </c>
      <c r="B822" s="63" t="str">
        <f>IF(SAISIE!I61="","",IF(LEN(SAISIE!B61)=1,CONCATENATE("0",SAISIE!B61,"/",SAISIE!$B$4,"/",SAISIE!$B$5),CONCATENATE(SAISIE!B61,"/",SAISIE!$B$4,"/",SAISIE!$B$5)))</f>
        <v/>
      </c>
      <c r="C822" s="63" t="str">
        <f>IF(SAISIE!I61="","",SAISIE!$I$8)</f>
        <v/>
      </c>
      <c r="D822" s="63" t="str">
        <f>IF(SAISIE!I61="","",SAISIE!E61)</f>
        <v/>
      </c>
      <c r="E822" s="63" t="str">
        <f>IF(SAISIE!I61="","",SAISIE!F61)</f>
        <v/>
      </c>
      <c r="F822" s="70" t="str">
        <f>IF(SAISIE!$I61="","",IF(SAISIE!$N61="","",SAISIE!$N61))</f>
        <v/>
      </c>
      <c r="G822" s="63" t="str">
        <f>IF(SAISIE!I61="","",SAISIE!I61)</f>
        <v/>
      </c>
      <c r="H822" s="63"/>
      <c r="I822" s="63" t="str">
        <f>IF(SAISIE!$I61="","",SAISIE!$Q61)</f>
        <v/>
      </c>
      <c r="J822" s="71" t="str">
        <f>IF(COUNTBLANK(SAISIE!$J$6:$M$6)=4,"",IF(SAISIE!I61="","",IF(SAISIE!J61&gt;0,SAISIE!$J$6,IF(SAISIE!K61&gt;0,SAISIE!$K$6,IF(SAISIE!L61&gt;0,SAISIE!$L$6,IF(SAISIE!M61&gt;0,SAISIE!$M$6,""))))))</f>
        <v/>
      </c>
      <c r="O822" s="59" t="s">
        <v>53</v>
      </c>
    </row>
    <row r="823" spans="1:15" x14ac:dyDescent="0.25">
      <c r="A823" s="63" t="e">
        <f>IF(AND(G823="",H823=""),"SUPPR",SAISIE!$B$3)</f>
        <v>#REF!</v>
      </c>
      <c r="B823" s="63" t="e">
        <f>IF(SAISIE!#REF!="","",IF(LEN(SAISIE!B61)=1,CONCATENATE("0",SAISIE!B61,"/",SAISIE!$B$4,"/",SAISIE!$B$5),CONCATENATE(SAISIE!B61,"/",SAISIE!$B$4,"/",SAISIE!$B$5)))</f>
        <v>#REF!</v>
      </c>
      <c r="C823" s="63" t="e">
        <f>IF(SAISIE!#REF!="","",SAISIE!#REF!)</f>
        <v>#REF!</v>
      </c>
      <c r="D823" s="63" t="e">
        <f>IF(SAISIE!#REF!="","",SAISIE!E61)</f>
        <v>#REF!</v>
      </c>
      <c r="E823" s="63" t="e">
        <f>IF(SAISIE!#REF!="","",SAISIE!F61)</f>
        <v>#REF!</v>
      </c>
      <c r="F823" s="70" t="e">
        <f>IF(SAISIE!#REF!="","",IF(SAISIE!$N61="","",SAISIE!$N61))</f>
        <v>#REF!</v>
      </c>
      <c r="G823" s="63" t="e">
        <f>IF(SAISIE!#REF!="","",SAISIE!#REF!)</f>
        <v>#REF!</v>
      </c>
      <c r="H823" s="63"/>
      <c r="I823" s="63" t="e">
        <f>IF(SAISIE!#REF!="","",SAISIE!$Q61)</f>
        <v>#REF!</v>
      </c>
      <c r="J823" s="71" t="str">
        <f>IF(COUNTBLANK(SAISIE!$J$6:$M$6)=4,"",IF(SAISIE!#REF!="","",IF(SAISIE!J61&gt;0,SAISIE!$J$6,IF(SAISIE!K61&gt;0,SAISIE!$K$6,IF(SAISIE!L61&gt;0,SAISIE!$L$6,IF(SAISIE!M61&gt;0,SAISIE!$M$6,""))))))</f>
        <v/>
      </c>
      <c r="O823" s="59" t="s">
        <v>54</v>
      </c>
    </row>
    <row r="824" spans="1:15" x14ac:dyDescent="0.25">
      <c r="A824" s="63" t="e">
        <f>IF(AND(G824="",H824=""),"SUPPR",SAISIE!$B$3)</f>
        <v>#REF!</v>
      </c>
      <c r="B824" s="63" t="e">
        <f>IF(SAISIE!#REF!="","",IF(LEN(SAISIE!B61)=1,CONCATENATE("0",SAISIE!B61,"/",SAISIE!$B$4,"/",SAISIE!$B$5),CONCATENATE(SAISIE!B61,"/",SAISIE!$B$4,"/",SAISIE!$B$5)))</f>
        <v>#REF!</v>
      </c>
      <c r="C824" s="63" t="e">
        <f>IF(SAISIE!#REF!="","",SAISIE!#REF!)</f>
        <v>#REF!</v>
      </c>
      <c r="D824" s="63" t="e">
        <f>IF(SAISIE!#REF!="","",SAISIE!E61)</f>
        <v>#REF!</v>
      </c>
      <c r="E824" s="63" t="e">
        <f>IF(SAISIE!#REF!="","",SAISIE!F61)</f>
        <v>#REF!</v>
      </c>
      <c r="F824" s="70" t="e">
        <f>IF(SAISIE!#REF!="","",IF(SAISIE!$N61="","",SAISIE!$N61))</f>
        <v>#REF!</v>
      </c>
      <c r="G824" s="63" t="e">
        <f>IF(SAISIE!#REF!="","",SAISIE!#REF!)</f>
        <v>#REF!</v>
      </c>
      <c r="H824" s="63"/>
      <c r="I824" s="63" t="e">
        <f>IF(SAISIE!#REF!="","",SAISIE!$Q61)</f>
        <v>#REF!</v>
      </c>
      <c r="J824" s="71" t="str">
        <f>IF(COUNTBLANK(SAISIE!$J$6:$M$6)=4,"",IF(SAISIE!#REF!="","",IF(SAISIE!J61&gt;0,SAISIE!$J$6,IF(SAISIE!K61&gt;0,SAISIE!$K$6,IF(SAISIE!L61&gt;0,SAISIE!$L$6,IF(SAISIE!M61&gt;0,SAISIE!$M$6,""))))))</f>
        <v/>
      </c>
      <c r="O824" s="59" t="s">
        <v>55</v>
      </c>
    </row>
    <row r="825" spans="1:15" x14ac:dyDescent="0.25">
      <c r="A825" s="63" t="e">
        <f>IF(AND(G825="",H825=""),"SUPPR",SAISIE!$B$3)</f>
        <v>#REF!</v>
      </c>
      <c r="B825" s="63" t="e">
        <f>IF(SAISIE!#REF!="","",IF(LEN(SAISIE!B61)=1,CONCATENATE("0",SAISIE!B61,"/",SAISIE!$B$4,"/",SAISIE!$B$5),CONCATENATE(SAISIE!B61,"/",SAISIE!$B$4,"/",SAISIE!$B$5)))</f>
        <v>#REF!</v>
      </c>
      <c r="C825" s="63" t="e">
        <f>IF(SAISIE!#REF!="","",SAISIE!#REF!)</f>
        <v>#REF!</v>
      </c>
      <c r="D825" s="63" t="e">
        <f>IF(SAISIE!#REF!="","",SAISIE!E61)</f>
        <v>#REF!</v>
      </c>
      <c r="E825" s="63" t="e">
        <f>IF(SAISIE!#REF!="","",SAISIE!F61)</f>
        <v>#REF!</v>
      </c>
      <c r="F825" s="70" t="e">
        <f>IF(SAISIE!#REF!="","",IF(SAISIE!$N61="","",SAISIE!$N61))</f>
        <v>#REF!</v>
      </c>
      <c r="G825" s="63" t="e">
        <f>IF(SAISIE!#REF!="","",SAISIE!#REF!)</f>
        <v>#REF!</v>
      </c>
      <c r="H825" s="63"/>
      <c r="I825" s="63" t="e">
        <f>IF(SAISIE!#REF!="","",SAISIE!$Q61)</f>
        <v>#REF!</v>
      </c>
      <c r="J825" s="71" t="str">
        <f>IF(COUNTBLANK(SAISIE!$J$6:$M$6)=4,"",IF(SAISIE!#REF!="","",IF(SAISIE!J61&gt;0,SAISIE!$J$6,IF(SAISIE!K61&gt;0,SAISIE!$K$6,IF(SAISIE!L61&gt;0,SAISIE!$L$6,IF(SAISIE!M61&gt;0,SAISIE!$M$6,""))))))</f>
        <v/>
      </c>
      <c r="O825" s="59" t="s">
        <v>56</v>
      </c>
    </row>
    <row r="826" spans="1:15" x14ac:dyDescent="0.25">
      <c r="A826" s="63" t="e">
        <f>IF(AND(G826="",H826=""),"SUPPR",SAISIE!$B$3)</f>
        <v>#REF!</v>
      </c>
      <c r="B826" s="63" t="e">
        <f>IF(SAISIE!#REF!="","",IF(LEN(SAISIE!B61)=1,CONCATENATE("0",SAISIE!B61,"/",SAISIE!$B$4,"/",SAISIE!$B$5),CONCATENATE(SAISIE!B61,"/",SAISIE!$B$4,"/",SAISIE!$B$5)))</f>
        <v>#REF!</v>
      </c>
      <c r="C826" s="63" t="e">
        <f>IF(SAISIE!#REF!="","",SAISIE!#REF!)</f>
        <v>#REF!</v>
      </c>
      <c r="D826" s="63" t="e">
        <f>IF(SAISIE!#REF!="","",SAISIE!E61)</f>
        <v>#REF!</v>
      </c>
      <c r="E826" s="63" t="e">
        <f>IF(SAISIE!#REF!="","",SAISIE!F61)</f>
        <v>#REF!</v>
      </c>
      <c r="F826" s="70" t="e">
        <f>IF(SAISIE!#REF!="","",IF(SAISIE!$N61="","",SAISIE!$N61))</f>
        <v>#REF!</v>
      </c>
      <c r="G826" s="63" t="e">
        <f>IF(SAISIE!#REF!="","",SAISIE!#REF!)</f>
        <v>#REF!</v>
      </c>
      <c r="H826" s="63"/>
      <c r="I826" s="63" t="e">
        <f>IF(SAISIE!#REF!="","",SAISIE!$Q61)</f>
        <v>#REF!</v>
      </c>
      <c r="J826" s="71" t="str">
        <f>IF(COUNTBLANK(SAISIE!$J$6:$M$6)=4,"",IF(SAISIE!#REF!="","",IF(SAISIE!J61&gt;0,SAISIE!$J$6,IF(SAISIE!K61&gt;0,SAISIE!$K$6,IF(SAISIE!L61&gt;0,SAISIE!$L$6,IF(SAISIE!M61&gt;0,SAISIE!$M$6,""))))))</f>
        <v/>
      </c>
      <c r="O826" s="59" t="s">
        <v>57</v>
      </c>
    </row>
    <row r="827" spans="1:15" x14ac:dyDescent="0.25">
      <c r="A827" s="63" t="e">
        <f>IF(AND(G827="",H827=""),"SUPPR",SAISIE!$B$3)</f>
        <v>#REF!</v>
      </c>
      <c r="B827" s="63" t="e">
        <f>IF(SAISIE!#REF!="","",IF(LEN(SAISIE!B61)=1,CONCATENATE("0",SAISIE!B61,"/",SAISIE!$B$4,"/",SAISIE!$B$5),CONCATENATE(SAISIE!B61,"/",SAISIE!$B$4,"/",SAISIE!$B$5)))</f>
        <v>#REF!</v>
      </c>
      <c r="C827" s="63" t="e">
        <f>IF(SAISIE!#REF!="","",SAISIE!#REF!)</f>
        <v>#REF!</v>
      </c>
      <c r="D827" s="63" t="e">
        <f>IF(SAISIE!#REF!="","",SAISIE!E61)</f>
        <v>#REF!</v>
      </c>
      <c r="E827" s="63" t="e">
        <f>IF(SAISIE!#REF!="","",SAISIE!F61)</f>
        <v>#REF!</v>
      </c>
      <c r="F827" s="70" t="e">
        <f>IF(SAISIE!#REF!="","",IF(SAISIE!$N61="","",SAISIE!$N61))</f>
        <v>#REF!</v>
      </c>
      <c r="G827" s="63" t="e">
        <f>IF(SAISIE!#REF!="","",SAISIE!#REF!)</f>
        <v>#REF!</v>
      </c>
      <c r="H827" s="63"/>
      <c r="I827" s="63" t="e">
        <f>IF(SAISIE!#REF!="","",SAISIE!$Q61)</f>
        <v>#REF!</v>
      </c>
      <c r="J827" s="71" t="str">
        <f>IF(COUNTBLANK(SAISIE!$J$6:$M$6)=4,"",IF(SAISIE!#REF!="","",IF(SAISIE!J61&gt;0,SAISIE!$J$6,IF(SAISIE!K61&gt;0,SAISIE!$K$6,IF(SAISIE!L61&gt;0,SAISIE!$L$6,IF(SAISIE!M61&gt;0,SAISIE!$M$6,""))))))</f>
        <v/>
      </c>
      <c r="O827" s="59" t="s">
        <v>58</v>
      </c>
    </row>
    <row r="828" spans="1:15" x14ac:dyDescent="0.25">
      <c r="A828" s="63" t="e">
        <f>IF(AND(G828="",H828=""),"SUPPR",SAISIE!$B$3)</f>
        <v>#REF!</v>
      </c>
      <c r="B828" s="63" t="e">
        <f>IF(SAISIE!#REF!="","",IF(LEN(SAISIE!B61)=1,CONCATENATE("0",SAISIE!B61,"/",SAISIE!$B$4,"/",SAISIE!$B$5),CONCATENATE(SAISIE!B61,"/",SAISIE!$B$4,"/",SAISIE!$B$5)))</f>
        <v>#REF!</v>
      </c>
      <c r="C828" s="63" t="e">
        <f>IF(SAISIE!#REF!="","",SAISIE!#REF!)</f>
        <v>#REF!</v>
      </c>
      <c r="D828" s="63" t="e">
        <f>IF(SAISIE!#REF!="","",SAISIE!E61)</f>
        <v>#REF!</v>
      </c>
      <c r="E828" s="63" t="e">
        <f>IF(SAISIE!#REF!="","",SAISIE!F61)</f>
        <v>#REF!</v>
      </c>
      <c r="F828" s="70" t="e">
        <f>IF(SAISIE!#REF!="","",IF(SAISIE!$N61="","",SAISIE!$N61))</f>
        <v>#REF!</v>
      </c>
      <c r="G828" s="63" t="e">
        <f>IF(SAISIE!#REF!="","",SAISIE!#REF!)</f>
        <v>#REF!</v>
      </c>
      <c r="H828" s="63"/>
      <c r="I828" s="63" t="e">
        <f>IF(SAISIE!#REF!="","",SAISIE!$Q61)</f>
        <v>#REF!</v>
      </c>
      <c r="J828" s="71" t="str">
        <f>IF(COUNTBLANK(SAISIE!$J$6:$M$6)=4,"",IF(SAISIE!#REF!="","",IF(SAISIE!J61&gt;0,SAISIE!$J$6,IF(SAISIE!K61&gt;0,SAISIE!$K$6,IF(SAISIE!L61&gt;0,SAISIE!$L$6,IF(SAISIE!M61&gt;0,SAISIE!$M$6,""))))))</f>
        <v/>
      </c>
      <c r="O828" s="59" t="s">
        <v>59</v>
      </c>
    </row>
    <row r="829" spans="1:15" x14ac:dyDescent="0.25">
      <c r="A829" s="63" t="e">
        <f>IF(AND(G829="",H829=""),"SUPPR",SAISIE!$B$3)</f>
        <v>#REF!</v>
      </c>
      <c r="B829" s="63" t="e">
        <f>IF(SAISIE!#REF!="","",IF(LEN(SAISIE!B61)=1,CONCATENATE("0",SAISIE!B61,"/",SAISIE!$B$4,"/",SAISIE!$B$5),CONCATENATE(SAISIE!B61,"/",SAISIE!$B$4,"/",SAISIE!$B$5)))</f>
        <v>#REF!</v>
      </c>
      <c r="C829" s="63" t="e">
        <f>IF(SAISIE!#REF!="","",SAISIE!#REF!)</f>
        <v>#REF!</v>
      </c>
      <c r="D829" s="63" t="e">
        <f>IF(SAISIE!#REF!="","",SAISIE!E61)</f>
        <v>#REF!</v>
      </c>
      <c r="E829" s="63" t="e">
        <f>IF(SAISIE!#REF!="","",SAISIE!F61)</f>
        <v>#REF!</v>
      </c>
      <c r="F829" s="70" t="e">
        <f>IF(SAISIE!#REF!="","",IF(SAISIE!$N61="","",SAISIE!$N61))</f>
        <v>#REF!</v>
      </c>
      <c r="G829" s="63" t="e">
        <f>IF(SAISIE!#REF!="","",SAISIE!#REF!)</f>
        <v>#REF!</v>
      </c>
      <c r="H829" s="63"/>
      <c r="I829" s="63" t="e">
        <f>IF(SAISIE!#REF!="","",SAISIE!$Q61)</f>
        <v>#REF!</v>
      </c>
      <c r="J829" s="71" t="str">
        <f>IF(COUNTBLANK(SAISIE!$J$6:$M$6)=4,"",IF(SAISIE!#REF!="","",IF(SAISIE!J61&gt;0,SAISIE!$J$6,IF(SAISIE!K61&gt;0,SAISIE!$K$6,IF(SAISIE!L61&gt;0,SAISIE!$L$6,IF(SAISIE!M61&gt;0,SAISIE!$M$6,""))))))</f>
        <v/>
      </c>
      <c r="O829" s="59" t="s">
        <v>60</v>
      </c>
    </row>
    <row r="830" spans="1:15" x14ac:dyDescent="0.25">
      <c r="A830" s="63" t="str">
        <f>IF(AND(G830="",H830=""),"SUPPR",SAISIE!$B$3)</f>
        <v>SUPPR</v>
      </c>
      <c r="B830" s="63" t="str">
        <f>IF(SAISIE!J61="","",IF(LEN(SAISIE!B61)=1,CONCATENATE("0",SAISIE!B61,"/",SAISIE!$B$4,"/",SAISIE!$B$5),CONCATENATE(SAISIE!B61,"/",SAISIE!$B$4,"/",SAISIE!$B$5)))</f>
        <v/>
      </c>
      <c r="C830" s="63" t="str">
        <f>IF(SAISIE!J61="","",SAISIE!$J$8)</f>
        <v/>
      </c>
      <c r="D830" s="63" t="str">
        <f>IF(SAISIE!J61="","",SAISIE!E61)</f>
        <v/>
      </c>
      <c r="E830" s="63" t="str">
        <f>IF(SAISIE!J61="","",SAISIE!F61)</f>
        <v/>
      </c>
      <c r="F830" s="70" t="str">
        <f>IF(SAISIE!$J61="","",IF(SAISIE!$N61="","",SAISIE!$N61))</f>
        <v/>
      </c>
      <c r="G830" s="63" t="str">
        <f>IF(SAISIE!J61="","",SAISIE!J61)</f>
        <v/>
      </c>
      <c r="H830" s="63"/>
      <c r="I830" s="72"/>
      <c r="J830" s="71"/>
      <c r="O830" s="73"/>
    </row>
    <row r="831" spans="1:15" x14ac:dyDescent="0.25">
      <c r="A831" s="63" t="str">
        <f>IF(AND(G831="",H831=""),"SUPPR",SAISIE!$B$3)</f>
        <v>SUPPR</v>
      </c>
      <c r="B831" s="63" t="str">
        <f>IF(SAISIE!K61="","",IF(LEN(SAISIE!B61)=1,CONCATENATE("0",SAISIE!B61,"/",SAISIE!$B$4,"/",SAISIE!$B$5),CONCATENATE(SAISIE!B61,"/",SAISIE!$B$4,"/",SAISIE!$B$5)))</f>
        <v/>
      </c>
      <c r="C831" s="63" t="str">
        <f>IF(SAISIE!K61="","",SAISIE!$K$8)</f>
        <v/>
      </c>
      <c r="D831" s="63" t="str">
        <f>IF(SAISIE!K61="","",SAISIE!E61)</f>
        <v/>
      </c>
      <c r="E831" s="63" t="str">
        <f>IF(SAISIE!K61="","",SAISIE!F61)</f>
        <v/>
      </c>
      <c r="F831" s="70" t="str">
        <f>IF(SAISIE!$K61="","",IF(SAISIE!$N61="","",SAISIE!$N61))</f>
        <v/>
      </c>
      <c r="G831" s="63" t="str">
        <f>IF(SAISIE!K61="","",SAISIE!K61)</f>
        <v/>
      </c>
      <c r="H831" s="63"/>
      <c r="I831" s="72"/>
      <c r="J831" s="71"/>
    </row>
    <row r="832" spans="1:15" x14ac:dyDescent="0.25">
      <c r="A832" s="63" t="str">
        <f>IF(AND(G832="",H832=""),"SUPPR",SAISIE!$B$3)</f>
        <v>SUPPR</v>
      </c>
      <c r="B832" s="63" t="str">
        <f>IF(SAISIE!L61="","",IF(LEN(SAISIE!B61)=1,CONCATENATE("0",SAISIE!B61,"/",SAISIE!$B$4,"/",SAISIE!$B$5),CONCATENATE(SAISIE!B61,"/",SAISIE!$B$4,"/",SAISIE!$B$5)))</f>
        <v/>
      </c>
      <c r="C832" s="63" t="str">
        <f>IF(SAISIE!L61="","",SAISIE!$L$8)</f>
        <v/>
      </c>
      <c r="D832" s="63" t="str">
        <f>IF(SAISIE!L61="","",SAISIE!E61)</f>
        <v/>
      </c>
      <c r="E832" s="63" t="str">
        <f>IF(SAISIE!L61="","",SAISIE!F61)</f>
        <v/>
      </c>
      <c r="F832" s="70" t="str">
        <f>IF(SAISIE!$L61="","",IF(SAISIE!$N61="","",SAISIE!$N61))</f>
        <v/>
      </c>
      <c r="G832" s="63" t="str">
        <f>IF(SAISIE!L61="","",SAISIE!L61)</f>
        <v/>
      </c>
      <c r="H832" s="63"/>
      <c r="I832" s="72"/>
      <c r="J832" s="71"/>
    </row>
    <row r="833" spans="1:15" x14ac:dyDescent="0.25">
      <c r="A833" s="63" t="str">
        <f>IF(AND(G833="",H833=""),"SUPPR",SAISIE!$B$3)</f>
        <v>SUPPR</v>
      </c>
      <c r="B833" s="63" t="str">
        <f>IF(SAISIE!M61="","",IF(LEN(SAISIE!B61)=1,CONCATENATE("0",SAISIE!B61,"/",SAISIE!$B$4,"/",SAISIE!$B$5),CONCATENATE(SAISIE!B61,"/",SAISIE!$B$4,"/",SAISIE!$B$5)))</f>
        <v/>
      </c>
      <c r="C833" s="74" t="str">
        <f>IF(SAISIE!M61="","",SAISIE!$M$8)</f>
        <v/>
      </c>
      <c r="D833" s="74" t="str">
        <f>IF(SAISIE!M61="","",SAISIE!E61)</f>
        <v/>
      </c>
      <c r="E833" s="74" t="str">
        <f>IF(SAISIE!M61="","",SAISIE!F61)</f>
        <v/>
      </c>
      <c r="F833" s="75" t="str">
        <f>IF(SAISIE!$M61="","",IF(SAISIE!$N61="","",SAISIE!$N61))</f>
        <v/>
      </c>
      <c r="G833" s="74" t="str">
        <f>IF(SAISIE!M61="","",SAISIE!M61)</f>
        <v/>
      </c>
      <c r="H833" s="76"/>
      <c r="I833" s="77"/>
      <c r="J833" s="78"/>
    </row>
    <row r="834" spans="1:15" x14ac:dyDescent="0.25">
      <c r="A834" s="63" t="str">
        <f>IF(AND(G834="",H834=""),"SUPPR",SAISIE!$B$3)</f>
        <v>SUPPR</v>
      </c>
      <c r="B834" s="64" t="str">
        <f>IF(SAISIE!B62="","",IF(LEN(SAISIE!B62)=1,CONCATENATE("0",SAISIE!B62,"/",SAISIE!$B$4,"/",SAISIE!$B$5),CONCATENATE(SAISIE!B62,"/",SAISIE!$B$4,"/",SAISIE!$B$5)))</f>
        <v/>
      </c>
      <c r="C834" s="64" t="str">
        <f>IF(SAISIE!B62="","",CONCATENATE($M$2,SAISIE!C62))</f>
        <v/>
      </c>
      <c r="D834" s="64" t="str">
        <f>IF(SAISIE!B62="","",SAISIE!E62)</f>
        <v/>
      </c>
      <c r="E834" s="64" t="str">
        <f>IF(SAISIE!B62="","",SAISIE!F62)</f>
        <v/>
      </c>
      <c r="F834" s="65" t="str">
        <f>IF(A834="SUPPR","",IF(SAISIE!$N62="","",SAISIE!$N62))</f>
        <v/>
      </c>
      <c r="G834" s="64"/>
      <c r="H834" s="64" t="str">
        <f>IF(SAISIE!B62="","",SAISIE!D62)</f>
        <v/>
      </c>
      <c r="I834" s="66"/>
      <c r="J834" s="67" t="str">
        <f>IF(AZ62="","","")</f>
        <v/>
      </c>
      <c r="O834" s="69">
        <f>O818+1</f>
        <v>62</v>
      </c>
    </row>
    <row r="835" spans="1:15" x14ac:dyDescent="0.25">
      <c r="A835" s="63" t="str">
        <f>IF(AND(G835="",H835=""),"SUPPR",SAISIE!$B$3)</f>
        <v>SUPPR</v>
      </c>
      <c r="B835" s="63" t="str">
        <f>IF(SAISIE!P62="","",IF(LEN(SAISIE!B62)=1,CONCATENATE("0",SAISIE!B62,"/",SAISIE!$B$4,"/",SAISIE!$B$5),CONCATENATE(SAISIE!B62,"/",SAISIE!$B$4,"/",SAISIE!$B$5)))</f>
        <v/>
      </c>
      <c r="C835" s="63" t="str">
        <f>IF(SAISIE!P62="","",SAISIE!O62)</f>
        <v/>
      </c>
      <c r="D835" s="63" t="str">
        <f>IF(SAISIE!P62="","",SAISIE!E62)</f>
        <v/>
      </c>
      <c r="E835" s="63" t="str">
        <f>IF(SAISIE!P62="","",SAISIE!F62)</f>
        <v/>
      </c>
      <c r="F835" s="70" t="str">
        <f>IF(SAISIE!$P62="","",IF(SAISIE!$N62="","",SAISIE!$N62))</f>
        <v/>
      </c>
      <c r="G835" s="63" t="str">
        <f>IF(SAISIE!P62="","",SAISIE!P62)</f>
        <v/>
      </c>
      <c r="H835" s="63"/>
      <c r="I835" s="63" t="str">
        <f>IF(SAISIE!$P62="","",SAISIE!$Q62)</f>
        <v/>
      </c>
      <c r="J835" s="71" t="str">
        <f>IF(COUNTBLANK(SAISIE!$J$6:$M$6)=4,"",IF(SAISIE!P62="","",IF(SAISIE!J62&gt;0,SAISIE!$J$6,IF(SAISIE!K62&gt;0,SAISIE!$K$6,IF(SAISIE!L62&gt;0,SAISIE!$L$6,IF(SAISIE!M62&gt;0,SAISIE!$M$6,""))))))</f>
        <v/>
      </c>
      <c r="O835" s="59" t="s">
        <v>50</v>
      </c>
    </row>
    <row r="836" spans="1:15" x14ac:dyDescent="0.25">
      <c r="A836" s="63" t="str">
        <f>IF(AND(G836="",H836=""),"SUPPR",SAISIE!$B$3)</f>
        <v>SUPPR</v>
      </c>
      <c r="B836" s="63" t="str">
        <f>IF(SAISIE!G62="","",IF(LEN(SAISIE!B62)=1,CONCATENATE("0",SAISIE!B62,"/",SAISIE!$B$4,"/",SAISIE!$B$5),CONCATENATE(SAISIE!B62,"/",SAISIE!$B$4,"/",SAISIE!$B$5)))</f>
        <v/>
      </c>
      <c r="C836" s="63" t="str">
        <f>IF(SAISIE!G62="","",SAISIE!$G$8)</f>
        <v/>
      </c>
      <c r="D836" s="63" t="str">
        <f>IF(SAISIE!G62="","",SAISIE!E62)</f>
        <v/>
      </c>
      <c r="E836" s="63" t="str">
        <f>IF(SAISIE!G62="","",SAISIE!F62)</f>
        <v/>
      </c>
      <c r="F836" s="70" t="str">
        <f>IF(SAISIE!$G62="","",IF(SAISIE!$N62="","",SAISIE!$N62))</f>
        <v/>
      </c>
      <c r="G836" s="63" t="str">
        <f>IF(SAISIE!G62="","",SAISIE!G62)</f>
        <v/>
      </c>
      <c r="H836" s="63"/>
      <c r="I836" s="63" t="str">
        <f>IF(SAISIE!$G62="","",SAISIE!$Q62)</f>
        <v/>
      </c>
      <c r="J836" s="71" t="str">
        <f>IF(COUNTBLANK(SAISIE!$J$6:$M$6)=4,"",IF(SAISIE!G62="","",IF(SAISIE!J62&gt;0,SAISIE!$J$6,IF(SAISIE!K62&gt;0,SAISIE!$K$6,IF(SAISIE!L62&gt;0,SAISIE!$L$6,IF(SAISIE!M62&gt;0,SAISIE!$M$6,""))))))</f>
        <v/>
      </c>
      <c r="O836" s="59" t="s">
        <v>51</v>
      </c>
    </row>
    <row r="837" spans="1:15" x14ac:dyDescent="0.25">
      <c r="A837" s="63" t="str">
        <f>IF(AND(G837="",H837=""),"SUPPR",SAISIE!$B$3)</f>
        <v>SUPPR</v>
      </c>
      <c r="B837" s="63" t="str">
        <f>IF(SAISIE!H62="","",IF(LEN(SAISIE!B62)=1,CONCATENATE("0",SAISIE!B62,"/",SAISIE!$B$4,"/",SAISIE!$B$5),CONCATENATE(SAISIE!B62,"/",SAISIE!$B$4,"/",SAISIE!$B$5)))</f>
        <v/>
      </c>
      <c r="C837" s="63" t="str">
        <f>IF(SAISIE!H62="","",SAISIE!$H$8)</f>
        <v/>
      </c>
      <c r="D837" s="63" t="str">
        <f>IF(SAISIE!H62="","",SAISIE!E62)</f>
        <v/>
      </c>
      <c r="E837" s="63" t="str">
        <f>IF(SAISIE!H62="","",SAISIE!F62)</f>
        <v/>
      </c>
      <c r="F837" s="70" t="str">
        <f>IF(SAISIE!$H62="","",IF(SAISIE!$N62="","",SAISIE!$N62))</f>
        <v/>
      </c>
      <c r="G837" s="63" t="str">
        <f>IF(SAISIE!H62="","",SAISIE!H62)</f>
        <v/>
      </c>
      <c r="H837" s="63"/>
      <c r="I837" s="63" t="str">
        <f>IF(SAISIE!$H62="","",SAISIE!$Q62)</f>
        <v/>
      </c>
      <c r="J837" s="71" t="str">
        <f>IF(COUNTBLANK(SAISIE!$J$6:$M$6)=4,"",IF(SAISIE!H62="","",IF(SAISIE!J62&gt;0,SAISIE!$J$6,IF(SAISIE!K62&gt;0,SAISIE!$K$6,IF(SAISIE!L62&gt;0,SAISIE!$L$6,IF(SAISIE!M62&gt;0,SAISIE!$M$6,""))))))</f>
        <v/>
      </c>
      <c r="O837" s="59" t="s">
        <v>52</v>
      </c>
    </row>
    <row r="838" spans="1:15" x14ac:dyDescent="0.25">
      <c r="A838" s="63" t="str">
        <f>IF(AND(G838="",H838=""),"SUPPR",SAISIE!$B$3)</f>
        <v>SUPPR</v>
      </c>
      <c r="B838" s="63" t="str">
        <f>IF(SAISIE!I62="","",IF(LEN(SAISIE!B62)=1,CONCATENATE("0",SAISIE!B62,"/",SAISIE!$B$4,"/",SAISIE!$B$5),CONCATENATE(SAISIE!B62,"/",SAISIE!$B$4,"/",SAISIE!$B$5)))</f>
        <v/>
      </c>
      <c r="C838" s="63" t="str">
        <f>IF(SAISIE!I62="","",SAISIE!$I$8)</f>
        <v/>
      </c>
      <c r="D838" s="63" t="str">
        <f>IF(SAISIE!I62="","",SAISIE!E62)</f>
        <v/>
      </c>
      <c r="E838" s="63" t="str">
        <f>IF(SAISIE!I62="","",SAISIE!F62)</f>
        <v/>
      </c>
      <c r="F838" s="70" t="str">
        <f>IF(SAISIE!$I62="","",IF(SAISIE!$N62="","",SAISIE!$N62))</f>
        <v/>
      </c>
      <c r="G838" s="63" t="str">
        <f>IF(SAISIE!I62="","",SAISIE!I62)</f>
        <v/>
      </c>
      <c r="H838" s="63"/>
      <c r="I838" s="63" t="str">
        <f>IF(SAISIE!$I62="","",SAISIE!$Q62)</f>
        <v/>
      </c>
      <c r="J838" s="71" t="str">
        <f>IF(COUNTBLANK(SAISIE!$J$6:$M$6)=4,"",IF(SAISIE!I62="","",IF(SAISIE!J62&gt;0,SAISIE!$J$6,IF(SAISIE!K62&gt;0,SAISIE!$K$6,IF(SAISIE!L62&gt;0,SAISIE!$L$6,IF(SAISIE!M62&gt;0,SAISIE!$M$6,""))))))</f>
        <v/>
      </c>
      <c r="O838" s="59" t="s">
        <v>53</v>
      </c>
    </row>
    <row r="839" spans="1:15" x14ac:dyDescent="0.25">
      <c r="A839" s="63" t="e">
        <f>IF(AND(G839="",H839=""),"SUPPR",SAISIE!$B$3)</f>
        <v>#REF!</v>
      </c>
      <c r="B839" s="63" t="e">
        <f>IF(SAISIE!#REF!="","",IF(LEN(SAISIE!B62)=1,CONCATENATE("0",SAISIE!B62,"/",SAISIE!$B$4,"/",SAISIE!$B$5),CONCATENATE(SAISIE!B62,"/",SAISIE!$B$4,"/",SAISIE!$B$5)))</f>
        <v>#REF!</v>
      </c>
      <c r="C839" s="63" t="e">
        <f>IF(SAISIE!#REF!="","",SAISIE!#REF!)</f>
        <v>#REF!</v>
      </c>
      <c r="D839" s="63" t="e">
        <f>IF(SAISIE!#REF!="","",SAISIE!E62)</f>
        <v>#REF!</v>
      </c>
      <c r="E839" s="63" t="e">
        <f>IF(SAISIE!#REF!="","",SAISIE!F62)</f>
        <v>#REF!</v>
      </c>
      <c r="F839" s="70" t="e">
        <f>IF(SAISIE!#REF!="","",IF(SAISIE!$N62="","",SAISIE!$N62))</f>
        <v>#REF!</v>
      </c>
      <c r="G839" s="63" t="e">
        <f>IF(SAISIE!#REF!="","",SAISIE!#REF!)</f>
        <v>#REF!</v>
      </c>
      <c r="H839" s="63"/>
      <c r="I839" s="63" t="e">
        <f>IF(SAISIE!#REF!="","",SAISIE!$Q62)</f>
        <v>#REF!</v>
      </c>
      <c r="J839" s="71" t="str">
        <f>IF(COUNTBLANK(SAISIE!$J$6:$M$6)=4,"",IF(SAISIE!#REF!="","",IF(SAISIE!J62&gt;0,SAISIE!$J$6,IF(SAISIE!K62&gt;0,SAISIE!$K$6,IF(SAISIE!L62&gt;0,SAISIE!$L$6,IF(SAISIE!M62&gt;0,SAISIE!$M$6,""))))))</f>
        <v/>
      </c>
      <c r="O839" s="59" t="s">
        <v>54</v>
      </c>
    </row>
    <row r="840" spans="1:15" x14ac:dyDescent="0.25">
      <c r="A840" s="63" t="e">
        <f>IF(AND(G840="",H840=""),"SUPPR",SAISIE!$B$3)</f>
        <v>#REF!</v>
      </c>
      <c r="B840" s="63" t="e">
        <f>IF(SAISIE!#REF!="","",IF(LEN(SAISIE!B62)=1,CONCATENATE("0",SAISIE!B62,"/",SAISIE!$B$4,"/",SAISIE!$B$5),CONCATENATE(SAISIE!B62,"/",SAISIE!$B$4,"/",SAISIE!$B$5)))</f>
        <v>#REF!</v>
      </c>
      <c r="C840" s="63" t="e">
        <f>IF(SAISIE!#REF!="","",SAISIE!#REF!)</f>
        <v>#REF!</v>
      </c>
      <c r="D840" s="63" t="e">
        <f>IF(SAISIE!#REF!="","",SAISIE!E62)</f>
        <v>#REF!</v>
      </c>
      <c r="E840" s="63" t="e">
        <f>IF(SAISIE!#REF!="","",SAISIE!F62)</f>
        <v>#REF!</v>
      </c>
      <c r="F840" s="70" t="e">
        <f>IF(SAISIE!#REF!="","",IF(SAISIE!$N62="","",SAISIE!$N62))</f>
        <v>#REF!</v>
      </c>
      <c r="G840" s="63" t="e">
        <f>IF(SAISIE!#REF!="","",SAISIE!#REF!)</f>
        <v>#REF!</v>
      </c>
      <c r="H840" s="63"/>
      <c r="I840" s="63" t="e">
        <f>IF(SAISIE!#REF!="","",SAISIE!$Q62)</f>
        <v>#REF!</v>
      </c>
      <c r="J840" s="71" t="str">
        <f>IF(COUNTBLANK(SAISIE!$J$6:$M$6)=4,"",IF(SAISIE!#REF!="","",IF(SAISIE!J62&gt;0,SAISIE!$J$6,IF(SAISIE!K62&gt;0,SAISIE!$K$6,IF(SAISIE!L62&gt;0,SAISIE!$L$6,IF(SAISIE!M62&gt;0,SAISIE!$M$6,""))))))</f>
        <v/>
      </c>
      <c r="O840" s="59" t="s">
        <v>55</v>
      </c>
    </row>
    <row r="841" spans="1:15" x14ac:dyDescent="0.25">
      <c r="A841" s="63" t="e">
        <f>IF(AND(G841="",H841=""),"SUPPR",SAISIE!$B$3)</f>
        <v>#REF!</v>
      </c>
      <c r="B841" s="63" t="e">
        <f>IF(SAISIE!#REF!="","",IF(LEN(SAISIE!B62)=1,CONCATENATE("0",SAISIE!B62,"/",SAISIE!$B$4,"/",SAISIE!$B$5),CONCATENATE(SAISIE!B62,"/",SAISIE!$B$4,"/",SAISIE!$B$5)))</f>
        <v>#REF!</v>
      </c>
      <c r="C841" s="63" t="e">
        <f>IF(SAISIE!#REF!="","",SAISIE!#REF!)</f>
        <v>#REF!</v>
      </c>
      <c r="D841" s="63" t="e">
        <f>IF(SAISIE!#REF!="","",SAISIE!E62)</f>
        <v>#REF!</v>
      </c>
      <c r="E841" s="63" t="e">
        <f>IF(SAISIE!#REF!="","",SAISIE!F62)</f>
        <v>#REF!</v>
      </c>
      <c r="F841" s="70" t="e">
        <f>IF(SAISIE!#REF!="","",IF(SAISIE!$N62="","",SAISIE!$N62))</f>
        <v>#REF!</v>
      </c>
      <c r="G841" s="63" t="e">
        <f>IF(SAISIE!#REF!="","",SAISIE!#REF!)</f>
        <v>#REF!</v>
      </c>
      <c r="H841" s="63"/>
      <c r="I841" s="63" t="e">
        <f>IF(SAISIE!#REF!="","",SAISIE!$Q62)</f>
        <v>#REF!</v>
      </c>
      <c r="J841" s="71" t="str">
        <f>IF(COUNTBLANK(SAISIE!$J$6:$M$6)=4,"",IF(SAISIE!#REF!="","",IF(SAISIE!J62&gt;0,SAISIE!$J$6,IF(SAISIE!K62&gt;0,SAISIE!$K$6,IF(SAISIE!L62&gt;0,SAISIE!$L$6,IF(SAISIE!M62&gt;0,SAISIE!$M$6,""))))))</f>
        <v/>
      </c>
      <c r="O841" s="59" t="s">
        <v>56</v>
      </c>
    </row>
    <row r="842" spans="1:15" x14ac:dyDescent="0.25">
      <c r="A842" s="63" t="e">
        <f>IF(AND(G842="",H842=""),"SUPPR",SAISIE!$B$3)</f>
        <v>#REF!</v>
      </c>
      <c r="B842" s="63" t="e">
        <f>IF(SAISIE!#REF!="","",IF(LEN(SAISIE!B62)=1,CONCATENATE("0",SAISIE!B62,"/",SAISIE!$B$4,"/",SAISIE!$B$5),CONCATENATE(SAISIE!B62,"/",SAISIE!$B$4,"/",SAISIE!$B$5)))</f>
        <v>#REF!</v>
      </c>
      <c r="C842" s="63" t="e">
        <f>IF(SAISIE!#REF!="","",SAISIE!#REF!)</f>
        <v>#REF!</v>
      </c>
      <c r="D842" s="63" t="e">
        <f>IF(SAISIE!#REF!="","",SAISIE!E62)</f>
        <v>#REF!</v>
      </c>
      <c r="E842" s="63" t="e">
        <f>IF(SAISIE!#REF!="","",SAISIE!F62)</f>
        <v>#REF!</v>
      </c>
      <c r="F842" s="70" t="e">
        <f>IF(SAISIE!#REF!="","",IF(SAISIE!$N62="","",SAISIE!$N62))</f>
        <v>#REF!</v>
      </c>
      <c r="G842" s="63" t="e">
        <f>IF(SAISIE!#REF!="","",SAISIE!#REF!)</f>
        <v>#REF!</v>
      </c>
      <c r="H842" s="63"/>
      <c r="I842" s="63" t="e">
        <f>IF(SAISIE!#REF!="","",SAISIE!$Q62)</f>
        <v>#REF!</v>
      </c>
      <c r="J842" s="71" t="str">
        <f>IF(COUNTBLANK(SAISIE!$J$6:$M$6)=4,"",IF(SAISIE!#REF!="","",IF(SAISIE!J62&gt;0,SAISIE!$J$6,IF(SAISIE!K62&gt;0,SAISIE!$K$6,IF(SAISIE!L62&gt;0,SAISIE!$L$6,IF(SAISIE!M62&gt;0,SAISIE!$M$6,""))))))</f>
        <v/>
      </c>
      <c r="O842" s="59" t="s">
        <v>57</v>
      </c>
    </row>
    <row r="843" spans="1:15" x14ac:dyDescent="0.25">
      <c r="A843" s="63" t="e">
        <f>IF(AND(G843="",H843=""),"SUPPR",SAISIE!$B$3)</f>
        <v>#REF!</v>
      </c>
      <c r="B843" s="63" t="e">
        <f>IF(SAISIE!#REF!="","",IF(LEN(SAISIE!B62)=1,CONCATENATE("0",SAISIE!B62,"/",SAISIE!$B$4,"/",SAISIE!$B$5),CONCATENATE(SAISIE!B62,"/",SAISIE!$B$4,"/",SAISIE!$B$5)))</f>
        <v>#REF!</v>
      </c>
      <c r="C843" s="63" t="e">
        <f>IF(SAISIE!#REF!="","",SAISIE!#REF!)</f>
        <v>#REF!</v>
      </c>
      <c r="D843" s="63" t="e">
        <f>IF(SAISIE!#REF!="","",SAISIE!E62)</f>
        <v>#REF!</v>
      </c>
      <c r="E843" s="63" t="e">
        <f>IF(SAISIE!#REF!="","",SAISIE!F62)</f>
        <v>#REF!</v>
      </c>
      <c r="F843" s="70" t="e">
        <f>IF(SAISIE!#REF!="","",IF(SAISIE!$N62="","",SAISIE!$N62))</f>
        <v>#REF!</v>
      </c>
      <c r="G843" s="63" t="e">
        <f>IF(SAISIE!#REF!="","",SAISIE!#REF!)</f>
        <v>#REF!</v>
      </c>
      <c r="H843" s="63"/>
      <c r="I843" s="63" t="e">
        <f>IF(SAISIE!#REF!="","",SAISIE!$Q62)</f>
        <v>#REF!</v>
      </c>
      <c r="J843" s="71" t="str">
        <f>IF(COUNTBLANK(SAISIE!$J$6:$M$6)=4,"",IF(SAISIE!#REF!="","",IF(SAISIE!J62&gt;0,SAISIE!$J$6,IF(SAISIE!K62&gt;0,SAISIE!$K$6,IF(SAISIE!L62&gt;0,SAISIE!$L$6,IF(SAISIE!M62&gt;0,SAISIE!$M$6,""))))))</f>
        <v/>
      </c>
      <c r="O843" s="59" t="s">
        <v>58</v>
      </c>
    </row>
    <row r="844" spans="1:15" x14ac:dyDescent="0.25">
      <c r="A844" s="63" t="e">
        <f>IF(AND(G844="",H844=""),"SUPPR",SAISIE!$B$3)</f>
        <v>#REF!</v>
      </c>
      <c r="B844" s="63" t="e">
        <f>IF(SAISIE!#REF!="","",IF(LEN(SAISIE!B62)=1,CONCATENATE("0",SAISIE!B62,"/",SAISIE!$B$4,"/",SAISIE!$B$5),CONCATENATE(SAISIE!B62,"/",SAISIE!$B$4,"/",SAISIE!$B$5)))</f>
        <v>#REF!</v>
      </c>
      <c r="C844" s="63" t="e">
        <f>IF(SAISIE!#REF!="","",SAISIE!#REF!)</f>
        <v>#REF!</v>
      </c>
      <c r="D844" s="63" t="e">
        <f>IF(SAISIE!#REF!="","",SAISIE!E62)</f>
        <v>#REF!</v>
      </c>
      <c r="E844" s="63" t="e">
        <f>IF(SAISIE!#REF!="","",SAISIE!F62)</f>
        <v>#REF!</v>
      </c>
      <c r="F844" s="70" t="e">
        <f>IF(SAISIE!#REF!="","",IF(SAISIE!$N62="","",SAISIE!$N62))</f>
        <v>#REF!</v>
      </c>
      <c r="G844" s="63" t="e">
        <f>IF(SAISIE!#REF!="","",SAISIE!#REF!)</f>
        <v>#REF!</v>
      </c>
      <c r="H844" s="63"/>
      <c r="I844" s="63" t="e">
        <f>IF(SAISIE!#REF!="","",SAISIE!$Q62)</f>
        <v>#REF!</v>
      </c>
      <c r="J844" s="71" t="str">
        <f>IF(COUNTBLANK(SAISIE!$J$6:$M$6)=4,"",IF(SAISIE!#REF!="","",IF(SAISIE!J62&gt;0,SAISIE!$J$6,IF(SAISIE!K62&gt;0,SAISIE!$K$6,IF(SAISIE!L62&gt;0,SAISIE!$L$6,IF(SAISIE!M62&gt;0,SAISIE!$M$6,""))))))</f>
        <v/>
      </c>
      <c r="O844" s="59" t="s">
        <v>59</v>
      </c>
    </row>
    <row r="845" spans="1:15" x14ac:dyDescent="0.25">
      <c r="A845" s="63" t="e">
        <f>IF(AND(G845="",H845=""),"SUPPR",SAISIE!$B$3)</f>
        <v>#REF!</v>
      </c>
      <c r="B845" s="63" t="e">
        <f>IF(SAISIE!#REF!="","",IF(LEN(SAISIE!B62)=1,CONCATENATE("0",SAISIE!B62,"/",SAISIE!$B$4,"/",SAISIE!$B$5),CONCATENATE(SAISIE!B62,"/",SAISIE!$B$4,"/",SAISIE!$B$5)))</f>
        <v>#REF!</v>
      </c>
      <c r="C845" s="63" t="e">
        <f>IF(SAISIE!#REF!="","",SAISIE!#REF!)</f>
        <v>#REF!</v>
      </c>
      <c r="D845" s="63" t="e">
        <f>IF(SAISIE!#REF!="","",SAISIE!E62)</f>
        <v>#REF!</v>
      </c>
      <c r="E845" s="63" t="e">
        <f>IF(SAISIE!#REF!="","",SAISIE!F62)</f>
        <v>#REF!</v>
      </c>
      <c r="F845" s="70" t="e">
        <f>IF(SAISIE!#REF!="","",IF(SAISIE!$N62="","",SAISIE!$N62))</f>
        <v>#REF!</v>
      </c>
      <c r="G845" s="63" t="e">
        <f>IF(SAISIE!#REF!="","",SAISIE!#REF!)</f>
        <v>#REF!</v>
      </c>
      <c r="H845" s="63"/>
      <c r="I845" s="63" t="e">
        <f>IF(SAISIE!#REF!="","",SAISIE!$Q62)</f>
        <v>#REF!</v>
      </c>
      <c r="J845" s="71" t="str">
        <f>IF(COUNTBLANK(SAISIE!$J$6:$M$6)=4,"",IF(SAISIE!#REF!="","",IF(SAISIE!J62&gt;0,SAISIE!$J$6,IF(SAISIE!K62&gt;0,SAISIE!$K$6,IF(SAISIE!L62&gt;0,SAISIE!$L$6,IF(SAISIE!M62&gt;0,SAISIE!$M$6,""))))))</f>
        <v/>
      </c>
      <c r="O845" s="59" t="s">
        <v>60</v>
      </c>
    </row>
    <row r="846" spans="1:15" x14ac:dyDescent="0.25">
      <c r="A846" s="63" t="str">
        <f>IF(AND(G846="",H846=""),"SUPPR",SAISIE!$B$3)</f>
        <v>SUPPR</v>
      </c>
      <c r="B846" s="63" t="str">
        <f>IF(SAISIE!J62="","",IF(LEN(SAISIE!B62)=1,CONCATENATE("0",SAISIE!B62,"/",SAISIE!$B$4,"/",SAISIE!$B$5),CONCATENATE(SAISIE!B62,"/",SAISIE!$B$4,"/",SAISIE!$B$5)))</f>
        <v/>
      </c>
      <c r="C846" s="63" t="str">
        <f>IF(SAISIE!J62="","",SAISIE!$J$8)</f>
        <v/>
      </c>
      <c r="D846" s="63" t="str">
        <f>IF(SAISIE!J62="","",SAISIE!E62)</f>
        <v/>
      </c>
      <c r="E846" s="63" t="str">
        <f>IF(SAISIE!J62="","",SAISIE!F62)</f>
        <v/>
      </c>
      <c r="F846" s="70" t="str">
        <f>IF(SAISIE!$J62="","",IF(SAISIE!$N62="","",SAISIE!$N62))</f>
        <v/>
      </c>
      <c r="G846" s="63" t="str">
        <f>IF(SAISIE!J62="","",SAISIE!J62)</f>
        <v/>
      </c>
      <c r="H846" s="63"/>
      <c r="I846" s="72"/>
      <c r="J846" s="71"/>
      <c r="O846" s="73"/>
    </row>
    <row r="847" spans="1:15" x14ac:dyDescent="0.25">
      <c r="A847" s="63" t="str">
        <f>IF(AND(G847="",H847=""),"SUPPR",SAISIE!$B$3)</f>
        <v>SUPPR</v>
      </c>
      <c r="B847" s="63" t="str">
        <f>IF(SAISIE!K62="","",IF(LEN(SAISIE!B62)=1,CONCATENATE("0",SAISIE!B62,"/",SAISIE!$B$4,"/",SAISIE!$B$5),CONCATENATE(SAISIE!B62,"/",SAISIE!$B$4,"/",SAISIE!$B$5)))</f>
        <v/>
      </c>
      <c r="C847" s="63" t="str">
        <f>IF(SAISIE!K62="","",SAISIE!$K$8)</f>
        <v/>
      </c>
      <c r="D847" s="63" t="str">
        <f>IF(SAISIE!K62="","",SAISIE!E62)</f>
        <v/>
      </c>
      <c r="E847" s="63" t="str">
        <f>IF(SAISIE!K62="","",SAISIE!F62)</f>
        <v/>
      </c>
      <c r="F847" s="70" t="str">
        <f>IF(SAISIE!$K62="","",IF(SAISIE!$N62="","",SAISIE!$N62))</f>
        <v/>
      </c>
      <c r="G847" s="63" t="str">
        <f>IF(SAISIE!K62="","",SAISIE!K62)</f>
        <v/>
      </c>
      <c r="H847" s="63"/>
      <c r="I847" s="72"/>
      <c r="J847" s="71"/>
    </row>
    <row r="848" spans="1:15" x14ac:dyDescent="0.25">
      <c r="A848" s="63" t="str">
        <f>IF(AND(G848="",H848=""),"SUPPR",SAISIE!$B$3)</f>
        <v>SUPPR</v>
      </c>
      <c r="B848" s="63" t="str">
        <f>IF(SAISIE!L62="","",IF(LEN(SAISIE!B62)=1,CONCATENATE("0",SAISIE!B62,"/",SAISIE!$B$4,"/",SAISIE!$B$5),CONCATENATE(SAISIE!B62,"/",SAISIE!$B$4,"/",SAISIE!$B$5)))</f>
        <v/>
      </c>
      <c r="C848" s="63" t="str">
        <f>IF(SAISIE!L62="","",SAISIE!$L$8)</f>
        <v/>
      </c>
      <c r="D848" s="63" t="str">
        <f>IF(SAISIE!L62="","",SAISIE!E62)</f>
        <v/>
      </c>
      <c r="E848" s="63" t="str">
        <f>IF(SAISIE!L62="","",SAISIE!F62)</f>
        <v/>
      </c>
      <c r="F848" s="70" t="str">
        <f>IF(SAISIE!$L62="","",IF(SAISIE!$N62="","",SAISIE!$N62))</f>
        <v/>
      </c>
      <c r="G848" s="63" t="str">
        <f>IF(SAISIE!L62="","",SAISIE!L62)</f>
        <v/>
      </c>
      <c r="H848" s="63"/>
      <c r="I848" s="72"/>
      <c r="J848" s="71"/>
    </row>
    <row r="849" spans="1:15" x14ac:dyDescent="0.25">
      <c r="A849" s="63" t="str">
        <f>IF(AND(G849="",H849=""),"SUPPR",SAISIE!$B$3)</f>
        <v>SUPPR</v>
      </c>
      <c r="B849" s="63" t="str">
        <f>IF(SAISIE!M62="","",IF(LEN(SAISIE!B62)=1,CONCATENATE("0",SAISIE!B62,"/",SAISIE!$B$4,"/",SAISIE!$B$5),CONCATENATE(SAISIE!B62,"/",SAISIE!$B$4,"/",SAISIE!$B$5)))</f>
        <v/>
      </c>
      <c r="C849" s="74" t="str">
        <f>IF(SAISIE!M62="","",SAISIE!$M$8)</f>
        <v/>
      </c>
      <c r="D849" s="74" t="str">
        <f>IF(SAISIE!M62="","",SAISIE!E62)</f>
        <v/>
      </c>
      <c r="E849" s="74" t="str">
        <f>IF(SAISIE!M62="","",SAISIE!F62)</f>
        <v/>
      </c>
      <c r="F849" s="75" t="str">
        <f>IF(SAISIE!$M62="","",IF(SAISIE!$N62="","",SAISIE!$N62))</f>
        <v/>
      </c>
      <c r="G849" s="74" t="str">
        <f>IF(SAISIE!M62="","",SAISIE!M62)</f>
        <v/>
      </c>
      <c r="H849" s="76"/>
      <c r="I849" s="77"/>
      <c r="J849" s="78"/>
    </row>
    <row r="850" spans="1:15" x14ac:dyDescent="0.25">
      <c r="A850" s="63" t="str">
        <f>IF(AND(G850="",H850=""),"SUPPR",SAISIE!$B$3)</f>
        <v>SUPPR</v>
      </c>
      <c r="B850" s="64" t="str">
        <f>IF(SAISIE!B63="","",IF(LEN(SAISIE!B63)=1,CONCATENATE("0",SAISIE!B63,"/",SAISIE!$B$4,"/",SAISIE!$B$5),CONCATENATE(SAISIE!B63,"/",SAISIE!$B$4,"/",SAISIE!$B$5)))</f>
        <v/>
      </c>
      <c r="C850" s="64" t="str">
        <f>IF(SAISIE!B63="","",CONCATENATE($M$2,SAISIE!C63))</f>
        <v/>
      </c>
      <c r="D850" s="64" t="str">
        <f>IF(SAISIE!B63="","",SAISIE!E63)</f>
        <v/>
      </c>
      <c r="E850" s="64" t="str">
        <f>IF(SAISIE!B63="","",SAISIE!F63)</f>
        <v/>
      </c>
      <c r="F850" s="65" t="str">
        <f>IF(A850="SUPPR","",IF(SAISIE!$N63="","",SAISIE!$N63))</f>
        <v/>
      </c>
      <c r="G850" s="64"/>
      <c r="H850" s="64" t="str">
        <f>IF(SAISIE!B63="","",SAISIE!D63)</f>
        <v/>
      </c>
      <c r="I850" s="66"/>
      <c r="J850" s="67" t="str">
        <f>IF(AZ63="","","")</f>
        <v/>
      </c>
      <c r="O850" s="69">
        <f>O834+1</f>
        <v>63</v>
      </c>
    </row>
    <row r="851" spans="1:15" x14ac:dyDescent="0.25">
      <c r="A851" s="63" t="str">
        <f>IF(AND(G851="",H851=""),"SUPPR",SAISIE!$B$3)</f>
        <v>SUPPR</v>
      </c>
      <c r="B851" s="63" t="str">
        <f>IF(SAISIE!P63="","",IF(LEN(SAISIE!B63)=1,CONCATENATE("0",SAISIE!B63,"/",SAISIE!$B$4,"/",SAISIE!$B$5),CONCATENATE(SAISIE!B63,"/",SAISIE!$B$4,"/",SAISIE!$B$5)))</f>
        <v/>
      </c>
      <c r="C851" s="63" t="str">
        <f>IF(SAISIE!P63="","",SAISIE!O63)</f>
        <v/>
      </c>
      <c r="D851" s="63" t="str">
        <f>IF(SAISIE!P63="","",SAISIE!E63)</f>
        <v/>
      </c>
      <c r="E851" s="63" t="str">
        <f>IF(SAISIE!P63="","",SAISIE!F63)</f>
        <v/>
      </c>
      <c r="F851" s="70" t="str">
        <f>IF(SAISIE!$P63="","",IF(SAISIE!$N63="","",SAISIE!$N63))</f>
        <v/>
      </c>
      <c r="G851" s="63" t="str">
        <f>IF(SAISIE!P63="","",SAISIE!P63)</f>
        <v/>
      </c>
      <c r="H851" s="63"/>
      <c r="I851" s="63" t="str">
        <f>IF(SAISIE!$P63="","",SAISIE!$Q63)</f>
        <v/>
      </c>
      <c r="J851" s="71" t="str">
        <f>IF(COUNTBLANK(SAISIE!$J$6:$M$6)=4,"",IF(SAISIE!P63="","",IF(SAISIE!J63&gt;0,SAISIE!$J$6,IF(SAISIE!K63&gt;0,SAISIE!$K$6,IF(SAISIE!L63&gt;0,SAISIE!$L$6,IF(SAISIE!M63&gt;0,SAISIE!$M$6,""))))))</f>
        <v/>
      </c>
      <c r="O851" s="59" t="s">
        <v>50</v>
      </c>
    </row>
    <row r="852" spans="1:15" x14ac:dyDescent="0.25">
      <c r="A852" s="63" t="str">
        <f>IF(AND(G852="",H852=""),"SUPPR",SAISIE!$B$3)</f>
        <v>SUPPR</v>
      </c>
      <c r="B852" s="63" t="str">
        <f>IF(SAISIE!G63="","",IF(LEN(SAISIE!B63)=1,CONCATENATE("0",SAISIE!B63,"/",SAISIE!$B$4,"/",SAISIE!$B$5),CONCATENATE(SAISIE!B63,"/",SAISIE!$B$4,"/",SAISIE!$B$5)))</f>
        <v/>
      </c>
      <c r="C852" s="63" t="str">
        <f>IF(SAISIE!G63="","",SAISIE!$G$8)</f>
        <v/>
      </c>
      <c r="D852" s="63" t="str">
        <f>IF(SAISIE!G63="","",SAISIE!E63)</f>
        <v/>
      </c>
      <c r="E852" s="63" t="str">
        <f>IF(SAISIE!G63="","",SAISIE!F63)</f>
        <v/>
      </c>
      <c r="F852" s="70" t="str">
        <f>IF(SAISIE!$G63="","",IF(SAISIE!$N63="","",SAISIE!$N63))</f>
        <v/>
      </c>
      <c r="G852" s="63" t="str">
        <f>IF(SAISIE!G63="","",SAISIE!G63)</f>
        <v/>
      </c>
      <c r="H852" s="63"/>
      <c r="I852" s="63" t="str">
        <f>IF(SAISIE!$G63="","",SAISIE!$Q63)</f>
        <v/>
      </c>
      <c r="J852" s="71" t="str">
        <f>IF(COUNTBLANK(SAISIE!$J$6:$M$6)=4,"",IF(SAISIE!G63="","",IF(SAISIE!J63&gt;0,SAISIE!$J$6,IF(SAISIE!K63&gt;0,SAISIE!$K$6,IF(SAISIE!L63&gt;0,SAISIE!$L$6,IF(SAISIE!M63&gt;0,SAISIE!$M$6,""))))))</f>
        <v/>
      </c>
      <c r="O852" s="59" t="s">
        <v>51</v>
      </c>
    </row>
    <row r="853" spans="1:15" x14ac:dyDescent="0.25">
      <c r="A853" s="63" t="str">
        <f>IF(AND(G853="",H853=""),"SUPPR",SAISIE!$B$3)</f>
        <v>SUPPR</v>
      </c>
      <c r="B853" s="63" t="str">
        <f>IF(SAISIE!H63="","",IF(LEN(SAISIE!B63)=1,CONCATENATE("0",SAISIE!B63,"/",SAISIE!$B$4,"/",SAISIE!$B$5),CONCATENATE(SAISIE!B63,"/",SAISIE!$B$4,"/",SAISIE!$B$5)))</f>
        <v/>
      </c>
      <c r="C853" s="63" t="str">
        <f>IF(SAISIE!H63="","",SAISIE!$H$8)</f>
        <v/>
      </c>
      <c r="D853" s="63" t="str">
        <f>IF(SAISIE!H63="","",SAISIE!E63)</f>
        <v/>
      </c>
      <c r="E853" s="63" t="str">
        <f>IF(SAISIE!H63="","",SAISIE!F63)</f>
        <v/>
      </c>
      <c r="F853" s="70" t="str">
        <f>IF(SAISIE!$H63="","",IF(SAISIE!$N63="","",SAISIE!$N63))</f>
        <v/>
      </c>
      <c r="G853" s="63" t="str">
        <f>IF(SAISIE!H63="","",SAISIE!H63)</f>
        <v/>
      </c>
      <c r="H853" s="63"/>
      <c r="I853" s="63" t="str">
        <f>IF(SAISIE!$H63="","",SAISIE!$Q63)</f>
        <v/>
      </c>
      <c r="J853" s="71" t="str">
        <f>IF(COUNTBLANK(SAISIE!$J$6:$M$6)=4,"",IF(SAISIE!H63="","",IF(SAISIE!J63&gt;0,SAISIE!$J$6,IF(SAISIE!K63&gt;0,SAISIE!$K$6,IF(SAISIE!L63&gt;0,SAISIE!$L$6,IF(SAISIE!M63&gt;0,SAISIE!$M$6,""))))))</f>
        <v/>
      </c>
      <c r="O853" s="59" t="s">
        <v>52</v>
      </c>
    </row>
    <row r="854" spans="1:15" x14ac:dyDescent="0.25">
      <c r="A854" s="63" t="str">
        <f>IF(AND(G854="",H854=""),"SUPPR",SAISIE!$B$3)</f>
        <v>SUPPR</v>
      </c>
      <c r="B854" s="63" t="str">
        <f>IF(SAISIE!I63="","",IF(LEN(SAISIE!B63)=1,CONCATENATE("0",SAISIE!B63,"/",SAISIE!$B$4,"/",SAISIE!$B$5),CONCATENATE(SAISIE!B63,"/",SAISIE!$B$4,"/",SAISIE!$B$5)))</f>
        <v/>
      </c>
      <c r="C854" s="63" t="str">
        <f>IF(SAISIE!I63="","",SAISIE!$I$8)</f>
        <v/>
      </c>
      <c r="D854" s="63" t="str">
        <f>IF(SAISIE!I63="","",SAISIE!E63)</f>
        <v/>
      </c>
      <c r="E854" s="63" t="str">
        <f>IF(SAISIE!I63="","",SAISIE!F63)</f>
        <v/>
      </c>
      <c r="F854" s="70" t="str">
        <f>IF(SAISIE!$I63="","",IF(SAISIE!$N63="","",SAISIE!$N63))</f>
        <v/>
      </c>
      <c r="G854" s="63" t="str">
        <f>IF(SAISIE!I63="","",SAISIE!I63)</f>
        <v/>
      </c>
      <c r="H854" s="63"/>
      <c r="I854" s="63" t="str">
        <f>IF(SAISIE!$I63="","",SAISIE!$Q63)</f>
        <v/>
      </c>
      <c r="J854" s="71" t="str">
        <f>IF(COUNTBLANK(SAISIE!$J$6:$M$6)=4,"",IF(SAISIE!I63="","",IF(SAISIE!J63&gt;0,SAISIE!$J$6,IF(SAISIE!K63&gt;0,SAISIE!$K$6,IF(SAISIE!L63&gt;0,SAISIE!$L$6,IF(SAISIE!M63&gt;0,SAISIE!$M$6,""))))))</f>
        <v/>
      </c>
      <c r="O854" s="59" t="s">
        <v>53</v>
      </c>
    </row>
    <row r="855" spans="1:15" x14ac:dyDescent="0.25">
      <c r="A855" s="63" t="e">
        <f>IF(AND(G855="",H855=""),"SUPPR",SAISIE!$B$3)</f>
        <v>#REF!</v>
      </c>
      <c r="B855" s="63" t="e">
        <f>IF(SAISIE!#REF!="","",IF(LEN(SAISIE!B63)=1,CONCATENATE("0",SAISIE!B63,"/",SAISIE!$B$4,"/",SAISIE!$B$5),CONCATENATE(SAISIE!B63,"/",SAISIE!$B$4,"/",SAISIE!$B$5)))</f>
        <v>#REF!</v>
      </c>
      <c r="C855" s="63" t="e">
        <f>IF(SAISIE!#REF!="","",SAISIE!#REF!)</f>
        <v>#REF!</v>
      </c>
      <c r="D855" s="63" t="e">
        <f>IF(SAISIE!#REF!="","",SAISIE!E63)</f>
        <v>#REF!</v>
      </c>
      <c r="E855" s="63" t="e">
        <f>IF(SAISIE!#REF!="","",SAISIE!F63)</f>
        <v>#REF!</v>
      </c>
      <c r="F855" s="70" t="e">
        <f>IF(SAISIE!#REF!="","",IF(SAISIE!$N63="","",SAISIE!$N63))</f>
        <v>#REF!</v>
      </c>
      <c r="G855" s="63" t="e">
        <f>IF(SAISIE!#REF!="","",SAISIE!#REF!)</f>
        <v>#REF!</v>
      </c>
      <c r="H855" s="63"/>
      <c r="I855" s="63" t="e">
        <f>IF(SAISIE!#REF!="","",SAISIE!$Q63)</f>
        <v>#REF!</v>
      </c>
      <c r="J855" s="71" t="str">
        <f>IF(COUNTBLANK(SAISIE!$J$6:$M$6)=4,"",IF(SAISIE!#REF!="","",IF(SAISIE!J63&gt;0,SAISIE!$J$6,IF(SAISIE!K63&gt;0,SAISIE!$K$6,IF(SAISIE!L63&gt;0,SAISIE!$L$6,IF(SAISIE!M63&gt;0,SAISIE!$M$6,""))))))</f>
        <v/>
      </c>
      <c r="O855" s="59" t="s">
        <v>54</v>
      </c>
    </row>
    <row r="856" spans="1:15" x14ac:dyDescent="0.25">
      <c r="A856" s="63" t="e">
        <f>IF(AND(G856="",H856=""),"SUPPR",SAISIE!$B$3)</f>
        <v>#REF!</v>
      </c>
      <c r="B856" s="63" t="e">
        <f>IF(SAISIE!#REF!="","",IF(LEN(SAISIE!B63)=1,CONCATENATE("0",SAISIE!B63,"/",SAISIE!$B$4,"/",SAISIE!$B$5),CONCATENATE(SAISIE!B63,"/",SAISIE!$B$4,"/",SAISIE!$B$5)))</f>
        <v>#REF!</v>
      </c>
      <c r="C856" s="63" t="e">
        <f>IF(SAISIE!#REF!="","",SAISIE!#REF!)</f>
        <v>#REF!</v>
      </c>
      <c r="D856" s="63" t="e">
        <f>IF(SAISIE!#REF!="","",SAISIE!E63)</f>
        <v>#REF!</v>
      </c>
      <c r="E856" s="63" t="e">
        <f>IF(SAISIE!#REF!="","",SAISIE!F63)</f>
        <v>#REF!</v>
      </c>
      <c r="F856" s="70" t="e">
        <f>IF(SAISIE!#REF!="","",IF(SAISIE!$N63="","",SAISIE!$N63))</f>
        <v>#REF!</v>
      </c>
      <c r="G856" s="63" t="e">
        <f>IF(SAISIE!#REF!="","",SAISIE!#REF!)</f>
        <v>#REF!</v>
      </c>
      <c r="H856" s="63"/>
      <c r="I856" s="63" t="e">
        <f>IF(SAISIE!#REF!="","",SAISIE!$Q63)</f>
        <v>#REF!</v>
      </c>
      <c r="J856" s="71" t="str">
        <f>IF(COUNTBLANK(SAISIE!$J$6:$M$6)=4,"",IF(SAISIE!#REF!="","",IF(SAISIE!J63&gt;0,SAISIE!$J$6,IF(SAISIE!K63&gt;0,SAISIE!$K$6,IF(SAISIE!L63&gt;0,SAISIE!$L$6,IF(SAISIE!M63&gt;0,SAISIE!$M$6,""))))))</f>
        <v/>
      </c>
      <c r="O856" s="59" t="s">
        <v>55</v>
      </c>
    </row>
    <row r="857" spans="1:15" x14ac:dyDescent="0.25">
      <c r="A857" s="63" t="e">
        <f>IF(AND(G857="",H857=""),"SUPPR",SAISIE!$B$3)</f>
        <v>#REF!</v>
      </c>
      <c r="B857" s="63" t="e">
        <f>IF(SAISIE!#REF!="","",IF(LEN(SAISIE!B63)=1,CONCATENATE("0",SAISIE!B63,"/",SAISIE!$B$4,"/",SAISIE!$B$5),CONCATENATE(SAISIE!B63,"/",SAISIE!$B$4,"/",SAISIE!$B$5)))</f>
        <v>#REF!</v>
      </c>
      <c r="C857" s="63" t="e">
        <f>IF(SAISIE!#REF!="","",SAISIE!#REF!)</f>
        <v>#REF!</v>
      </c>
      <c r="D857" s="63" t="e">
        <f>IF(SAISIE!#REF!="","",SAISIE!E63)</f>
        <v>#REF!</v>
      </c>
      <c r="E857" s="63" t="e">
        <f>IF(SAISIE!#REF!="","",SAISIE!F63)</f>
        <v>#REF!</v>
      </c>
      <c r="F857" s="70" t="e">
        <f>IF(SAISIE!#REF!="","",IF(SAISIE!$N63="","",SAISIE!$N63))</f>
        <v>#REF!</v>
      </c>
      <c r="G857" s="63" t="e">
        <f>IF(SAISIE!#REF!="","",SAISIE!#REF!)</f>
        <v>#REF!</v>
      </c>
      <c r="H857" s="63"/>
      <c r="I857" s="63" t="e">
        <f>IF(SAISIE!#REF!="","",SAISIE!$Q63)</f>
        <v>#REF!</v>
      </c>
      <c r="J857" s="71" t="str">
        <f>IF(COUNTBLANK(SAISIE!$J$6:$M$6)=4,"",IF(SAISIE!#REF!="","",IF(SAISIE!J63&gt;0,SAISIE!$J$6,IF(SAISIE!K63&gt;0,SAISIE!$K$6,IF(SAISIE!L63&gt;0,SAISIE!$L$6,IF(SAISIE!M63&gt;0,SAISIE!$M$6,""))))))</f>
        <v/>
      </c>
      <c r="O857" s="59" t="s">
        <v>56</v>
      </c>
    </row>
    <row r="858" spans="1:15" x14ac:dyDescent="0.25">
      <c r="A858" s="63" t="e">
        <f>IF(AND(G858="",H858=""),"SUPPR",SAISIE!$B$3)</f>
        <v>#REF!</v>
      </c>
      <c r="B858" s="63" t="e">
        <f>IF(SAISIE!#REF!="","",IF(LEN(SAISIE!B63)=1,CONCATENATE("0",SAISIE!B63,"/",SAISIE!$B$4,"/",SAISIE!$B$5),CONCATENATE(SAISIE!B63,"/",SAISIE!$B$4,"/",SAISIE!$B$5)))</f>
        <v>#REF!</v>
      </c>
      <c r="C858" s="63" t="e">
        <f>IF(SAISIE!#REF!="","",SAISIE!#REF!)</f>
        <v>#REF!</v>
      </c>
      <c r="D858" s="63" t="e">
        <f>IF(SAISIE!#REF!="","",SAISIE!E63)</f>
        <v>#REF!</v>
      </c>
      <c r="E858" s="63" t="e">
        <f>IF(SAISIE!#REF!="","",SAISIE!F63)</f>
        <v>#REF!</v>
      </c>
      <c r="F858" s="70" t="e">
        <f>IF(SAISIE!#REF!="","",IF(SAISIE!$N63="","",SAISIE!$N63))</f>
        <v>#REF!</v>
      </c>
      <c r="G858" s="63" t="e">
        <f>IF(SAISIE!#REF!="","",SAISIE!#REF!)</f>
        <v>#REF!</v>
      </c>
      <c r="H858" s="63"/>
      <c r="I858" s="63" t="e">
        <f>IF(SAISIE!#REF!="","",SAISIE!$Q63)</f>
        <v>#REF!</v>
      </c>
      <c r="J858" s="71" t="str">
        <f>IF(COUNTBLANK(SAISIE!$J$6:$M$6)=4,"",IF(SAISIE!#REF!="","",IF(SAISIE!J63&gt;0,SAISIE!$J$6,IF(SAISIE!K63&gt;0,SAISIE!$K$6,IF(SAISIE!L63&gt;0,SAISIE!$L$6,IF(SAISIE!M63&gt;0,SAISIE!$M$6,""))))))</f>
        <v/>
      </c>
      <c r="O858" s="59" t="s">
        <v>57</v>
      </c>
    </row>
    <row r="859" spans="1:15" x14ac:dyDescent="0.25">
      <c r="A859" s="63" t="e">
        <f>IF(AND(G859="",H859=""),"SUPPR",SAISIE!$B$3)</f>
        <v>#REF!</v>
      </c>
      <c r="B859" s="63" t="e">
        <f>IF(SAISIE!#REF!="","",IF(LEN(SAISIE!B63)=1,CONCATENATE("0",SAISIE!B63,"/",SAISIE!$B$4,"/",SAISIE!$B$5),CONCATENATE(SAISIE!B63,"/",SAISIE!$B$4,"/",SAISIE!$B$5)))</f>
        <v>#REF!</v>
      </c>
      <c r="C859" s="63" t="e">
        <f>IF(SAISIE!#REF!="","",SAISIE!#REF!)</f>
        <v>#REF!</v>
      </c>
      <c r="D859" s="63" t="e">
        <f>IF(SAISIE!#REF!="","",SAISIE!E63)</f>
        <v>#REF!</v>
      </c>
      <c r="E859" s="63" t="e">
        <f>IF(SAISIE!#REF!="","",SAISIE!F63)</f>
        <v>#REF!</v>
      </c>
      <c r="F859" s="70" t="e">
        <f>IF(SAISIE!#REF!="","",IF(SAISIE!$N63="","",SAISIE!$N63))</f>
        <v>#REF!</v>
      </c>
      <c r="G859" s="63" t="e">
        <f>IF(SAISIE!#REF!="","",SAISIE!#REF!)</f>
        <v>#REF!</v>
      </c>
      <c r="H859" s="63"/>
      <c r="I859" s="63" t="e">
        <f>IF(SAISIE!#REF!="","",SAISIE!$Q63)</f>
        <v>#REF!</v>
      </c>
      <c r="J859" s="71" t="str">
        <f>IF(COUNTBLANK(SAISIE!$J$6:$M$6)=4,"",IF(SAISIE!#REF!="","",IF(SAISIE!J63&gt;0,SAISIE!$J$6,IF(SAISIE!K63&gt;0,SAISIE!$K$6,IF(SAISIE!L63&gt;0,SAISIE!$L$6,IF(SAISIE!M63&gt;0,SAISIE!$M$6,""))))))</f>
        <v/>
      </c>
      <c r="O859" s="59" t="s">
        <v>58</v>
      </c>
    </row>
    <row r="860" spans="1:15" x14ac:dyDescent="0.25">
      <c r="A860" s="63" t="e">
        <f>IF(AND(G860="",H860=""),"SUPPR",SAISIE!$B$3)</f>
        <v>#REF!</v>
      </c>
      <c r="B860" s="63" t="e">
        <f>IF(SAISIE!#REF!="","",IF(LEN(SAISIE!B63)=1,CONCATENATE("0",SAISIE!B63,"/",SAISIE!$B$4,"/",SAISIE!$B$5),CONCATENATE(SAISIE!B63,"/",SAISIE!$B$4,"/",SAISIE!$B$5)))</f>
        <v>#REF!</v>
      </c>
      <c r="C860" s="63" t="e">
        <f>IF(SAISIE!#REF!="","",SAISIE!#REF!)</f>
        <v>#REF!</v>
      </c>
      <c r="D860" s="63" t="e">
        <f>IF(SAISIE!#REF!="","",SAISIE!E63)</f>
        <v>#REF!</v>
      </c>
      <c r="E860" s="63" t="e">
        <f>IF(SAISIE!#REF!="","",SAISIE!F63)</f>
        <v>#REF!</v>
      </c>
      <c r="F860" s="70" t="e">
        <f>IF(SAISIE!#REF!="","",IF(SAISIE!$N63="","",SAISIE!$N63))</f>
        <v>#REF!</v>
      </c>
      <c r="G860" s="63" t="e">
        <f>IF(SAISIE!#REF!="","",SAISIE!#REF!)</f>
        <v>#REF!</v>
      </c>
      <c r="H860" s="63"/>
      <c r="I860" s="63" t="e">
        <f>IF(SAISIE!#REF!="","",SAISIE!$Q63)</f>
        <v>#REF!</v>
      </c>
      <c r="J860" s="71" t="str">
        <f>IF(COUNTBLANK(SAISIE!$J$6:$M$6)=4,"",IF(SAISIE!#REF!="","",IF(SAISIE!J63&gt;0,SAISIE!$J$6,IF(SAISIE!K63&gt;0,SAISIE!$K$6,IF(SAISIE!L63&gt;0,SAISIE!$L$6,IF(SAISIE!M63&gt;0,SAISIE!$M$6,""))))))</f>
        <v/>
      </c>
      <c r="O860" s="59" t="s">
        <v>59</v>
      </c>
    </row>
    <row r="861" spans="1:15" x14ac:dyDescent="0.25">
      <c r="A861" s="63" t="e">
        <f>IF(AND(G861="",H861=""),"SUPPR",SAISIE!$B$3)</f>
        <v>#REF!</v>
      </c>
      <c r="B861" s="63" t="e">
        <f>IF(SAISIE!#REF!="","",IF(LEN(SAISIE!B63)=1,CONCATENATE("0",SAISIE!B63,"/",SAISIE!$B$4,"/",SAISIE!$B$5),CONCATENATE(SAISIE!B63,"/",SAISIE!$B$4,"/",SAISIE!$B$5)))</f>
        <v>#REF!</v>
      </c>
      <c r="C861" s="63" t="e">
        <f>IF(SAISIE!#REF!="","",SAISIE!#REF!)</f>
        <v>#REF!</v>
      </c>
      <c r="D861" s="63" t="e">
        <f>IF(SAISIE!#REF!="","",SAISIE!E63)</f>
        <v>#REF!</v>
      </c>
      <c r="E861" s="63" t="e">
        <f>IF(SAISIE!#REF!="","",SAISIE!F63)</f>
        <v>#REF!</v>
      </c>
      <c r="F861" s="70" t="e">
        <f>IF(SAISIE!#REF!="","",IF(SAISIE!$N63="","",SAISIE!$N63))</f>
        <v>#REF!</v>
      </c>
      <c r="G861" s="63" t="e">
        <f>IF(SAISIE!#REF!="","",SAISIE!#REF!)</f>
        <v>#REF!</v>
      </c>
      <c r="H861" s="63"/>
      <c r="I861" s="63" t="e">
        <f>IF(SAISIE!#REF!="","",SAISIE!$Q63)</f>
        <v>#REF!</v>
      </c>
      <c r="J861" s="71" t="str">
        <f>IF(COUNTBLANK(SAISIE!$J$6:$M$6)=4,"",IF(SAISIE!#REF!="","",IF(SAISIE!J63&gt;0,SAISIE!$J$6,IF(SAISIE!K63&gt;0,SAISIE!$K$6,IF(SAISIE!L63&gt;0,SAISIE!$L$6,IF(SAISIE!M63&gt;0,SAISIE!$M$6,""))))))</f>
        <v/>
      </c>
      <c r="O861" s="59" t="s">
        <v>60</v>
      </c>
    </row>
    <row r="862" spans="1:15" x14ac:dyDescent="0.25">
      <c r="A862" s="63" t="str">
        <f>IF(AND(G862="",H862=""),"SUPPR",SAISIE!$B$3)</f>
        <v>SUPPR</v>
      </c>
      <c r="B862" s="63" t="str">
        <f>IF(SAISIE!J63="","",IF(LEN(SAISIE!B63)=1,CONCATENATE("0",SAISIE!B63,"/",SAISIE!$B$4,"/",SAISIE!$B$5),CONCATENATE(SAISIE!B63,"/",SAISIE!$B$4,"/",SAISIE!$B$5)))</f>
        <v/>
      </c>
      <c r="C862" s="63" t="str">
        <f>IF(SAISIE!J63="","",SAISIE!$J$8)</f>
        <v/>
      </c>
      <c r="D862" s="63" t="str">
        <f>IF(SAISIE!J63="","",SAISIE!E63)</f>
        <v/>
      </c>
      <c r="E862" s="63" t="str">
        <f>IF(SAISIE!J63="","",SAISIE!F63)</f>
        <v/>
      </c>
      <c r="F862" s="70" t="str">
        <f>IF(SAISIE!$J63="","",IF(SAISIE!$N63="","",SAISIE!$N63))</f>
        <v/>
      </c>
      <c r="G862" s="63" t="str">
        <f>IF(SAISIE!J63="","",SAISIE!J63)</f>
        <v/>
      </c>
      <c r="H862" s="63"/>
      <c r="I862" s="72"/>
      <c r="J862" s="71"/>
      <c r="O862" s="73"/>
    </row>
    <row r="863" spans="1:15" x14ac:dyDescent="0.25">
      <c r="A863" s="63" t="str">
        <f>IF(AND(G863="",H863=""),"SUPPR",SAISIE!$B$3)</f>
        <v>SUPPR</v>
      </c>
      <c r="B863" s="63" t="str">
        <f>IF(SAISIE!K63="","",IF(LEN(SAISIE!B63)=1,CONCATENATE("0",SAISIE!B63,"/",SAISIE!$B$4,"/",SAISIE!$B$5),CONCATENATE(SAISIE!B63,"/",SAISIE!$B$4,"/",SAISIE!$B$5)))</f>
        <v/>
      </c>
      <c r="C863" s="63" t="str">
        <f>IF(SAISIE!K63="","",SAISIE!$K$8)</f>
        <v/>
      </c>
      <c r="D863" s="63" t="str">
        <f>IF(SAISIE!K63="","",SAISIE!E63)</f>
        <v/>
      </c>
      <c r="E863" s="63" t="str">
        <f>IF(SAISIE!K63="","",SAISIE!F63)</f>
        <v/>
      </c>
      <c r="F863" s="70" t="str">
        <f>IF(SAISIE!$K63="","",IF(SAISIE!$N63="","",SAISIE!$N63))</f>
        <v/>
      </c>
      <c r="G863" s="63" t="str">
        <f>IF(SAISIE!K63="","",SAISIE!K63)</f>
        <v/>
      </c>
      <c r="H863" s="63"/>
      <c r="I863" s="72"/>
      <c r="J863" s="71"/>
    </row>
    <row r="864" spans="1:15" x14ac:dyDescent="0.25">
      <c r="A864" s="63" t="str">
        <f>IF(AND(G864="",H864=""),"SUPPR",SAISIE!$B$3)</f>
        <v>SUPPR</v>
      </c>
      <c r="B864" s="63" t="str">
        <f>IF(SAISIE!L63="","",IF(LEN(SAISIE!B63)=1,CONCATENATE("0",SAISIE!B63,"/",SAISIE!$B$4,"/",SAISIE!$B$5),CONCATENATE(SAISIE!B63,"/",SAISIE!$B$4,"/",SAISIE!$B$5)))</f>
        <v/>
      </c>
      <c r="C864" s="63" t="str">
        <f>IF(SAISIE!L63="","",SAISIE!$L$8)</f>
        <v/>
      </c>
      <c r="D864" s="63" t="str">
        <f>IF(SAISIE!L63="","",SAISIE!E63)</f>
        <v/>
      </c>
      <c r="E864" s="63" t="str">
        <f>IF(SAISIE!L63="","",SAISIE!F63)</f>
        <v/>
      </c>
      <c r="F864" s="70" t="str">
        <f>IF(SAISIE!$L63="","",IF(SAISIE!$N63="","",SAISIE!$N63))</f>
        <v/>
      </c>
      <c r="G864" s="63" t="str">
        <f>IF(SAISIE!L63="","",SAISIE!L63)</f>
        <v/>
      </c>
      <c r="H864" s="63"/>
      <c r="I864" s="72"/>
      <c r="J864" s="71"/>
    </row>
    <row r="865" spans="1:15" x14ac:dyDescent="0.25">
      <c r="A865" s="63" t="str">
        <f>IF(AND(G865="",H865=""),"SUPPR",SAISIE!$B$3)</f>
        <v>SUPPR</v>
      </c>
      <c r="B865" s="63" t="str">
        <f>IF(SAISIE!M63="","",IF(LEN(SAISIE!B63)=1,CONCATENATE("0",SAISIE!B63,"/",SAISIE!$B$4,"/",SAISIE!$B$5),CONCATENATE(SAISIE!B63,"/",SAISIE!$B$4,"/",SAISIE!$B$5)))</f>
        <v/>
      </c>
      <c r="C865" s="74" t="str">
        <f>IF(SAISIE!M63="","",SAISIE!$M$8)</f>
        <v/>
      </c>
      <c r="D865" s="74" t="str">
        <f>IF(SAISIE!M63="","",SAISIE!E63)</f>
        <v/>
      </c>
      <c r="E865" s="74" t="str">
        <f>IF(SAISIE!M63="","",SAISIE!F63)</f>
        <v/>
      </c>
      <c r="F865" s="75" t="str">
        <f>IF(SAISIE!$M63="","",IF(SAISIE!$N63="","",SAISIE!$N63))</f>
        <v/>
      </c>
      <c r="G865" s="74" t="str">
        <f>IF(SAISIE!M63="","",SAISIE!M63)</f>
        <v/>
      </c>
      <c r="H865" s="76"/>
      <c r="I865" s="77"/>
      <c r="J865" s="78"/>
    </row>
    <row r="866" spans="1:15" x14ac:dyDescent="0.25">
      <c r="A866" s="63" t="str">
        <f>IF(AND(G866="",H866=""),"SUPPR",SAISIE!$B$3)</f>
        <v>SUPPR</v>
      </c>
      <c r="B866" s="64" t="str">
        <f>IF(SAISIE!B64="","",IF(LEN(SAISIE!B64)=1,CONCATENATE("0",SAISIE!B64,"/",SAISIE!$B$4,"/",SAISIE!$B$5),CONCATENATE(SAISIE!B64,"/",SAISIE!$B$4,"/",SAISIE!$B$5)))</f>
        <v/>
      </c>
      <c r="C866" s="64" t="str">
        <f>IF(SAISIE!B64="","",CONCATENATE($M$2,SAISIE!C64))</f>
        <v/>
      </c>
      <c r="D866" s="64" t="str">
        <f>IF(SAISIE!B64="","",SAISIE!E64)</f>
        <v/>
      </c>
      <c r="E866" s="64" t="str">
        <f>IF(SAISIE!B64="","",SAISIE!F64)</f>
        <v/>
      </c>
      <c r="F866" s="65" t="str">
        <f>IF(A866="SUPPR","",IF(SAISIE!$N64="","",SAISIE!$N64))</f>
        <v/>
      </c>
      <c r="G866" s="64"/>
      <c r="H866" s="64" t="str">
        <f>IF(SAISIE!B64="","",SAISIE!D64)</f>
        <v/>
      </c>
      <c r="I866" s="66"/>
      <c r="J866" s="67" t="str">
        <f>IF(AZ64="","","")</f>
        <v/>
      </c>
      <c r="O866" s="69">
        <f>O850+1</f>
        <v>64</v>
      </c>
    </row>
    <row r="867" spans="1:15" x14ac:dyDescent="0.25">
      <c r="A867" s="63" t="str">
        <f>IF(AND(G867="",H867=""),"SUPPR",SAISIE!$B$3)</f>
        <v>SUPPR</v>
      </c>
      <c r="B867" s="63" t="str">
        <f>IF(SAISIE!P64="","",IF(LEN(SAISIE!B64)=1,CONCATENATE("0",SAISIE!B64,"/",SAISIE!$B$4,"/",SAISIE!$B$5),CONCATENATE(SAISIE!B64,"/",SAISIE!$B$4,"/",SAISIE!$B$5)))</f>
        <v/>
      </c>
      <c r="C867" s="63" t="str">
        <f>IF(SAISIE!P64="","",SAISIE!O64)</f>
        <v/>
      </c>
      <c r="D867" s="63" t="str">
        <f>IF(SAISIE!P64="","",SAISIE!E64)</f>
        <v/>
      </c>
      <c r="E867" s="63" t="str">
        <f>IF(SAISIE!P64="","",SAISIE!F64)</f>
        <v/>
      </c>
      <c r="F867" s="70" t="str">
        <f>IF(SAISIE!$P64="","",IF(SAISIE!$N64="","",SAISIE!$N64))</f>
        <v/>
      </c>
      <c r="G867" s="63" t="str">
        <f>IF(SAISIE!P64="","",SAISIE!P64)</f>
        <v/>
      </c>
      <c r="H867" s="63"/>
      <c r="I867" s="63" t="str">
        <f>IF(SAISIE!$P64="","",SAISIE!$Q64)</f>
        <v/>
      </c>
      <c r="J867" s="71" t="str">
        <f>IF(COUNTBLANK(SAISIE!$J$6:$M$6)=4,"",IF(SAISIE!P64="","",IF(SAISIE!J64&gt;0,SAISIE!$J$6,IF(SAISIE!K64&gt;0,SAISIE!$K$6,IF(SAISIE!L64&gt;0,SAISIE!$L$6,IF(SAISIE!M64&gt;0,SAISIE!$M$6,""))))))</f>
        <v/>
      </c>
      <c r="O867" s="59" t="s">
        <v>50</v>
      </c>
    </row>
    <row r="868" spans="1:15" x14ac:dyDescent="0.25">
      <c r="A868" s="63" t="str">
        <f>IF(AND(G868="",H868=""),"SUPPR",SAISIE!$B$3)</f>
        <v>SUPPR</v>
      </c>
      <c r="B868" s="63" t="str">
        <f>IF(SAISIE!G64="","",IF(LEN(SAISIE!B64)=1,CONCATENATE("0",SAISIE!B64,"/",SAISIE!$B$4,"/",SAISIE!$B$5),CONCATENATE(SAISIE!B64,"/",SAISIE!$B$4,"/",SAISIE!$B$5)))</f>
        <v/>
      </c>
      <c r="C868" s="63" t="str">
        <f>IF(SAISIE!G64="","",SAISIE!$G$8)</f>
        <v/>
      </c>
      <c r="D868" s="63" t="str">
        <f>IF(SAISIE!G64="","",SAISIE!E64)</f>
        <v/>
      </c>
      <c r="E868" s="63" t="str">
        <f>IF(SAISIE!G64="","",SAISIE!F64)</f>
        <v/>
      </c>
      <c r="F868" s="70" t="str">
        <f>IF(SAISIE!$G64="","",IF(SAISIE!$N64="","",SAISIE!$N64))</f>
        <v/>
      </c>
      <c r="G868" s="63" t="str">
        <f>IF(SAISIE!G64="","",SAISIE!G64)</f>
        <v/>
      </c>
      <c r="H868" s="63"/>
      <c r="I868" s="63" t="str">
        <f>IF(SAISIE!$G64="","",SAISIE!$Q64)</f>
        <v/>
      </c>
      <c r="J868" s="71" t="str">
        <f>IF(COUNTBLANK(SAISIE!$J$6:$M$6)=4,"",IF(SAISIE!G64="","",IF(SAISIE!J64&gt;0,SAISIE!$J$6,IF(SAISIE!K64&gt;0,SAISIE!$K$6,IF(SAISIE!L64&gt;0,SAISIE!$L$6,IF(SAISIE!M64&gt;0,SAISIE!$M$6,""))))))</f>
        <v/>
      </c>
      <c r="O868" s="59" t="s">
        <v>51</v>
      </c>
    </row>
    <row r="869" spans="1:15" x14ac:dyDescent="0.25">
      <c r="A869" s="63" t="str">
        <f>IF(AND(G869="",H869=""),"SUPPR",SAISIE!$B$3)</f>
        <v>SUPPR</v>
      </c>
      <c r="B869" s="63" t="str">
        <f>IF(SAISIE!H64="","",IF(LEN(SAISIE!B64)=1,CONCATENATE("0",SAISIE!B64,"/",SAISIE!$B$4,"/",SAISIE!$B$5),CONCATENATE(SAISIE!B64,"/",SAISIE!$B$4,"/",SAISIE!$B$5)))</f>
        <v/>
      </c>
      <c r="C869" s="63" t="str">
        <f>IF(SAISIE!H64="","",SAISIE!$H$8)</f>
        <v/>
      </c>
      <c r="D869" s="63" t="str">
        <f>IF(SAISIE!H64="","",SAISIE!E64)</f>
        <v/>
      </c>
      <c r="E869" s="63" t="str">
        <f>IF(SAISIE!H64="","",SAISIE!F64)</f>
        <v/>
      </c>
      <c r="F869" s="70" t="str">
        <f>IF(SAISIE!$H64="","",IF(SAISIE!$N64="","",SAISIE!$N64))</f>
        <v/>
      </c>
      <c r="G869" s="63" t="str">
        <f>IF(SAISIE!H64="","",SAISIE!H64)</f>
        <v/>
      </c>
      <c r="H869" s="63"/>
      <c r="I869" s="63" t="str">
        <f>IF(SAISIE!$H64="","",SAISIE!$Q64)</f>
        <v/>
      </c>
      <c r="J869" s="71" t="str">
        <f>IF(COUNTBLANK(SAISIE!$J$6:$M$6)=4,"",IF(SAISIE!H64="","",IF(SAISIE!J64&gt;0,SAISIE!$J$6,IF(SAISIE!K64&gt;0,SAISIE!$K$6,IF(SAISIE!L64&gt;0,SAISIE!$L$6,IF(SAISIE!M64&gt;0,SAISIE!$M$6,""))))))</f>
        <v/>
      </c>
      <c r="O869" s="59" t="s">
        <v>52</v>
      </c>
    </row>
    <row r="870" spans="1:15" x14ac:dyDescent="0.25">
      <c r="A870" s="63" t="str">
        <f>IF(AND(G870="",H870=""),"SUPPR",SAISIE!$B$3)</f>
        <v>SUPPR</v>
      </c>
      <c r="B870" s="63" t="str">
        <f>IF(SAISIE!I64="","",IF(LEN(SAISIE!B64)=1,CONCATENATE("0",SAISIE!B64,"/",SAISIE!$B$4,"/",SAISIE!$B$5),CONCATENATE(SAISIE!B64,"/",SAISIE!$B$4,"/",SAISIE!$B$5)))</f>
        <v/>
      </c>
      <c r="C870" s="63" t="str">
        <f>IF(SAISIE!I64="","",SAISIE!$I$8)</f>
        <v/>
      </c>
      <c r="D870" s="63" t="str">
        <f>IF(SAISIE!I64="","",SAISIE!E64)</f>
        <v/>
      </c>
      <c r="E870" s="63" t="str">
        <f>IF(SAISIE!I64="","",SAISIE!F64)</f>
        <v/>
      </c>
      <c r="F870" s="70" t="str">
        <f>IF(SAISIE!$I64="","",IF(SAISIE!$N64="","",SAISIE!$N64))</f>
        <v/>
      </c>
      <c r="G870" s="63" t="str">
        <f>IF(SAISIE!I64="","",SAISIE!I64)</f>
        <v/>
      </c>
      <c r="H870" s="63"/>
      <c r="I870" s="63" t="str">
        <f>IF(SAISIE!$I64="","",SAISIE!$Q64)</f>
        <v/>
      </c>
      <c r="J870" s="71" t="str">
        <f>IF(COUNTBLANK(SAISIE!$J$6:$M$6)=4,"",IF(SAISIE!I64="","",IF(SAISIE!J64&gt;0,SAISIE!$J$6,IF(SAISIE!K64&gt;0,SAISIE!$K$6,IF(SAISIE!L64&gt;0,SAISIE!$L$6,IF(SAISIE!M64&gt;0,SAISIE!$M$6,""))))))</f>
        <v/>
      </c>
      <c r="O870" s="59" t="s">
        <v>53</v>
      </c>
    </row>
    <row r="871" spans="1:15" x14ac:dyDescent="0.25">
      <c r="A871" s="63" t="e">
        <f>IF(AND(G871="",H871=""),"SUPPR",SAISIE!$B$3)</f>
        <v>#REF!</v>
      </c>
      <c r="B871" s="63" t="e">
        <f>IF(SAISIE!#REF!="","",IF(LEN(SAISIE!B64)=1,CONCATENATE("0",SAISIE!B64,"/",SAISIE!$B$4,"/",SAISIE!$B$5),CONCATENATE(SAISIE!B64,"/",SAISIE!$B$4,"/",SAISIE!$B$5)))</f>
        <v>#REF!</v>
      </c>
      <c r="C871" s="63" t="e">
        <f>IF(SAISIE!#REF!="","",SAISIE!#REF!)</f>
        <v>#REF!</v>
      </c>
      <c r="D871" s="63" t="e">
        <f>IF(SAISIE!#REF!="","",SAISIE!E64)</f>
        <v>#REF!</v>
      </c>
      <c r="E871" s="63" t="e">
        <f>IF(SAISIE!#REF!="","",SAISIE!F64)</f>
        <v>#REF!</v>
      </c>
      <c r="F871" s="70" t="e">
        <f>IF(SAISIE!#REF!="","",IF(SAISIE!$N64="","",SAISIE!$N64))</f>
        <v>#REF!</v>
      </c>
      <c r="G871" s="63" t="e">
        <f>IF(SAISIE!#REF!="","",SAISIE!#REF!)</f>
        <v>#REF!</v>
      </c>
      <c r="H871" s="63"/>
      <c r="I871" s="63" t="e">
        <f>IF(SAISIE!#REF!="","",SAISIE!$Q64)</f>
        <v>#REF!</v>
      </c>
      <c r="J871" s="71" t="str">
        <f>IF(COUNTBLANK(SAISIE!$J$6:$M$6)=4,"",IF(SAISIE!#REF!="","",IF(SAISIE!J64&gt;0,SAISIE!$J$6,IF(SAISIE!K64&gt;0,SAISIE!$K$6,IF(SAISIE!L64&gt;0,SAISIE!$L$6,IF(SAISIE!M64&gt;0,SAISIE!$M$6,""))))))</f>
        <v/>
      </c>
      <c r="O871" s="59" t="s">
        <v>54</v>
      </c>
    </row>
    <row r="872" spans="1:15" x14ac:dyDescent="0.25">
      <c r="A872" s="63" t="e">
        <f>IF(AND(G872="",H872=""),"SUPPR",SAISIE!$B$3)</f>
        <v>#REF!</v>
      </c>
      <c r="B872" s="63" t="e">
        <f>IF(SAISIE!#REF!="","",IF(LEN(SAISIE!B64)=1,CONCATENATE("0",SAISIE!B64,"/",SAISIE!$B$4,"/",SAISIE!$B$5),CONCATENATE(SAISIE!B64,"/",SAISIE!$B$4,"/",SAISIE!$B$5)))</f>
        <v>#REF!</v>
      </c>
      <c r="C872" s="63" t="e">
        <f>IF(SAISIE!#REF!="","",SAISIE!#REF!)</f>
        <v>#REF!</v>
      </c>
      <c r="D872" s="63" t="e">
        <f>IF(SAISIE!#REF!="","",SAISIE!E64)</f>
        <v>#REF!</v>
      </c>
      <c r="E872" s="63" t="e">
        <f>IF(SAISIE!#REF!="","",SAISIE!F64)</f>
        <v>#REF!</v>
      </c>
      <c r="F872" s="70" t="e">
        <f>IF(SAISIE!#REF!="","",IF(SAISIE!$N64="","",SAISIE!$N64))</f>
        <v>#REF!</v>
      </c>
      <c r="G872" s="63" t="e">
        <f>IF(SAISIE!#REF!="","",SAISIE!#REF!)</f>
        <v>#REF!</v>
      </c>
      <c r="H872" s="63"/>
      <c r="I872" s="63" t="e">
        <f>IF(SAISIE!#REF!="","",SAISIE!$Q64)</f>
        <v>#REF!</v>
      </c>
      <c r="J872" s="71" t="str">
        <f>IF(COUNTBLANK(SAISIE!$J$6:$M$6)=4,"",IF(SAISIE!#REF!="","",IF(SAISIE!J64&gt;0,SAISIE!$J$6,IF(SAISIE!K64&gt;0,SAISIE!$K$6,IF(SAISIE!L64&gt;0,SAISIE!$L$6,IF(SAISIE!M64&gt;0,SAISIE!$M$6,""))))))</f>
        <v/>
      </c>
      <c r="O872" s="59" t="s">
        <v>55</v>
      </c>
    </row>
    <row r="873" spans="1:15" x14ac:dyDescent="0.25">
      <c r="A873" s="63" t="e">
        <f>IF(AND(G873="",H873=""),"SUPPR",SAISIE!$B$3)</f>
        <v>#REF!</v>
      </c>
      <c r="B873" s="63" t="e">
        <f>IF(SAISIE!#REF!="","",IF(LEN(SAISIE!B64)=1,CONCATENATE("0",SAISIE!B64,"/",SAISIE!$B$4,"/",SAISIE!$B$5),CONCATENATE(SAISIE!B64,"/",SAISIE!$B$4,"/",SAISIE!$B$5)))</f>
        <v>#REF!</v>
      </c>
      <c r="C873" s="63" t="e">
        <f>IF(SAISIE!#REF!="","",SAISIE!#REF!)</f>
        <v>#REF!</v>
      </c>
      <c r="D873" s="63" t="e">
        <f>IF(SAISIE!#REF!="","",SAISIE!E64)</f>
        <v>#REF!</v>
      </c>
      <c r="E873" s="63" t="e">
        <f>IF(SAISIE!#REF!="","",SAISIE!F64)</f>
        <v>#REF!</v>
      </c>
      <c r="F873" s="70" t="e">
        <f>IF(SAISIE!#REF!="","",IF(SAISIE!$N64="","",SAISIE!$N64))</f>
        <v>#REF!</v>
      </c>
      <c r="G873" s="63" t="e">
        <f>IF(SAISIE!#REF!="","",SAISIE!#REF!)</f>
        <v>#REF!</v>
      </c>
      <c r="H873" s="63"/>
      <c r="I873" s="63" t="e">
        <f>IF(SAISIE!#REF!="","",SAISIE!$Q64)</f>
        <v>#REF!</v>
      </c>
      <c r="J873" s="71" t="str">
        <f>IF(COUNTBLANK(SAISIE!$J$6:$M$6)=4,"",IF(SAISIE!#REF!="","",IF(SAISIE!J64&gt;0,SAISIE!$J$6,IF(SAISIE!K64&gt;0,SAISIE!$K$6,IF(SAISIE!L64&gt;0,SAISIE!$L$6,IF(SAISIE!M64&gt;0,SAISIE!$M$6,""))))))</f>
        <v/>
      </c>
      <c r="O873" s="59" t="s">
        <v>56</v>
      </c>
    </row>
    <row r="874" spans="1:15" x14ac:dyDescent="0.25">
      <c r="A874" s="63" t="e">
        <f>IF(AND(G874="",H874=""),"SUPPR",SAISIE!$B$3)</f>
        <v>#REF!</v>
      </c>
      <c r="B874" s="63" t="e">
        <f>IF(SAISIE!#REF!="","",IF(LEN(SAISIE!B64)=1,CONCATENATE("0",SAISIE!B64,"/",SAISIE!$B$4,"/",SAISIE!$B$5),CONCATENATE(SAISIE!B64,"/",SAISIE!$B$4,"/",SAISIE!$B$5)))</f>
        <v>#REF!</v>
      </c>
      <c r="C874" s="63" t="e">
        <f>IF(SAISIE!#REF!="","",SAISIE!#REF!)</f>
        <v>#REF!</v>
      </c>
      <c r="D874" s="63" t="e">
        <f>IF(SAISIE!#REF!="","",SAISIE!E64)</f>
        <v>#REF!</v>
      </c>
      <c r="E874" s="63" t="e">
        <f>IF(SAISIE!#REF!="","",SAISIE!F64)</f>
        <v>#REF!</v>
      </c>
      <c r="F874" s="70" t="e">
        <f>IF(SAISIE!#REF!="","",IF(SAISIE!$N64="","",SAISIE!$N64))</f>
        <v>#REF!</v>
      </c>
      <c r="G874" s="63" t="e">
        <f>IF(SAISIE!#REF!="","",SAISIE!#REF!)</f>
        <v>#REF!</v>
      </c>
      <c r="H874" s="63"/>
      <c r="I874" s="63" t="e">
        <f>IF(SAISIE!#REF!="","",SAISIE!$Q64)</f>
        <v>#REF!</v>
      </c>
      <c r="J874" s="71" t="str">
        <f>IF(COUNTBLANK(SAISIE!$J$6:$M$6)=4,"",IF(SAISIE!#REF!="","",IF(SAISIE!J64&gt;0,SAISIE!$J$6,IF(SAISIE!K64&gt;0,SAISIE!$K$6,IF(SAISIE!L64&gt;0,SAISIE!$L$6,IF(SAISIE!M64&gt;0,SAISIE!$M$6,""))))))</f>
        <v/>
      </c>
      <c r="O874" s="59" t="s">
        <v>57</v>
      </c>
    </row>
    <row r="875" spans="1:15" x14ac:dyDescent="0.25">
      <c r="A875" s="63" t="e">
        <f>IF(AND(G875="",H875=""),"SUPPR",SAISIE!$B$3)</f>
        <v>#REF!</v>
      </c>
      <c r="B875" s="63" t="e">
        <f>IF(SAISIE!#REF!="","",IF(LEN(SAISIE!B64)=1,CONCATENATE("0",SAISIE!B64,"/",SAISIE!$B$4,"/",SAISIE!$B$5),CONCATENATE(SAISIE!B64,"/",SAISIE!$B$4,"/",SAISIE!$B$5)))</f>
        <v>#REF!</v>
      </c>
      <c r="C875" s="63" t="e">
        <f>IF(SAISIE!#REF!="","",SAISIE!#REF!)</f>
        <v>#REF!</v>
      </c>
      <c r="D875" s="63" t="e">
        <f>IF(SAISIE!#REF!="","",SAISIE!E64)</f>
        <v>#REF!</v>
      </c>
      <c r="E875" s="63" t="e">
        <f>IF(SAISIE!#REF!="","",SAISIE!F64)</f>
        <v>#REF!</v>
      </c>
      <c r="F875" s="70" t="e">
        <f>IF(SAISIE!#REF!="","",IF(SAISIE!$N64="","",SAISIE!$N64))</f>
        <v>#REF!</v>
      </c>
      <c r="G875" s="63" t="e">
        <f>IF(SAISIE!#REF!="","",SAISIE!#REF!)</f>
        <v>#REF!</v>
      </c>
      <c r="H875" s="63"/>
      <c r="I875" s="63" t="e">
        <f>IF(SAISIE!#REF!="","",SAISIE!$Q64)</f>
        <v>#REF!</v>
      </c>
      <c r="J875" s="71" t="str">
        <f>IF(COUNTBLANK(SAISIE!$J$6:$M$6)=4,"",IF(SAISIE!#REF!="","",IF(SAISIE!J64&gt;0,SAISIE!$J$6,IF(SAISIE!K64&gt;0,SAISIE!$K$6,IF(SAISIE!L64&gt;0,SAISIE!$L$6,IF(SAISIE!M64&gt;0,SAISIE!$M$6,""))))))</f>
        <v/>
      </c>
      <c r="O875" s="59" t="s">
        <v>58</v>
      </c>
    </row>
    <row r="876" spans="1:15" x14ac:dyDescent="0.25">
      <c r="A876" s="63" t="e">
        <f>IF(AND(G876="",H876=""),"SUPPR",SAISIE!$B$3)</f>
        <v>#REF!</v>
      </c>
      <c r="B876" s="63" t="e">
        <f>IF(SAISIE!#REF!="","",IF(LEN(SAISIE!B64)=1,CONCATENATE("0",SAISIE!B64,"/",SAISIE!$B$4,"/",SAISIE!$B$5),CONCATENATE(SAISIE!B64,"/",SAISIE!$B$4,"/",SAISIE!$B$5)))</f>
        <v>#REF!</v>
      </c>
      <c r="C876" s="63" t="e">
        <f>IF(SAISIE!#REF!="","",SAISIE!#REF!)</f>
        <v>#REF!</v>
      </c>
      <c r="D876" s="63" t="e">
        <f>IF(SAISIE!#REF!="","",SAISIE!E64)</f>
        <v>#REF!</v>
      </c>
      <c r="E876" s="63" t="e">
        <f>IF(SAISIE!#REF!="","",SAISIE!F64)</f>
        <v>#REF!</v>
      </c>
      <c r="F876" s="70" t="e">
        <f>IF(SAISIE!#REF!="","",IF(SAISIE!$N64="","",SAISIE!$N64))</f>
        <v>#REF!</v>
      </c>
      <c r="G876" s="63" t="e">
        <f>IF(SAISIE!#REF!="","",SAISIE!#REF!)</f>
        <v>#REF!</v>
      </c>
      <c r="H876" s="63"/>
      <c r="I876" s="63" t="e">
        <f>IF(SAISIE!#REF!="","",SAISIE!$Q64)</f>
        <v>#REF!</v>
      </c>
      <c r="J876" s="71" t="str">
        <f>IF(COUNTBLANK(SAISIE!$J$6:$M$6)=4,"",IF(SAISIE!#REF!="","",IF(SAISIE!J64&gt;0,SAISIE!$J$6,IF(SAISIE!K64&gt;0,SAISIE!$K$6,IF(SAISIE!L64&gt;0,SAISIE!$L$6,IF(SAISIE!M64&gt;0,SAISIE!$M$6,""))))))</f>
        <v/>
      </c>
      <c r="O876" s="59" t="s">
        <v>59</v>
      </c>
    </row>
    <row r="877" spans="1:15" x14ac:dyDescent="0.25">
      <c r="A877" s="63" t="e">
        <f>IF(AND(G877="",H877=""),"SUPPR",SAISIE!$B$3)</f>
        <v>#REF!</v>
      </c>
      <c r="B877" s="63" t="e">
        <f>IF(SAISIE!#REF!="","",IF(LEN(SAISIE!B64)=1,CONCATENATE("0",SAISIE!B64,"/",SAISIE!$B$4,"/",SAISIE!$B$5),CONCATENATE(SAISIE!B64,"/",SAISIE!$B$4,"/",SAISIE!$B$5)))</f>
        <v>#REF!</v>
      </c>
      <c r="C877" s="63" t="e">
        <f>IF(SAISIE!#REF!="","",SAISIE!#REF!)</f>
        <v>#REF!</v>
      </c>
      <c r="D877" s="63" t="e">
        <f>IF(SAISIE!#REF!="","",SAISIE!E64)</f>
        <v>#REF!</v>
      </c>
      <c r="E877" s="63" t="e">
        <f>IF(SAISIE!#REF!="","",SAISIE!F64)</f>
        <v>#REF!</v>
      </c>
      <c r="F877" s="70" t="e">
        <f>IF(SAISIE!#REF!="","",IF(SAISIE!$N64="","",SAISIE!$N64))</f>
        <v>#REF!</v>
      </c>
      <c r="G877" s="63" t="e">
        <f>IF(SAISIE!#REF!="","",SAISIE!#REF!)</f>
        <v>#REF!</v>
      </c>
      <c r="H877" s="63"/>
      <c r="I877" s="63" t="e">
        <f>IF(SAISIE!#REF!="","",SAISIE!$Q64)</f>
        <v>#REF!</v>
      </c>
      <c r="J877" s="71" t="str">
        <f>IF(COUNTBLANK(SAISIE!$J$6:$M$6)=4,"",IF(SAISIE!#REF!="","",IF(SAISIE!J64&gt;0,SAISIE!$J$6,IF(SAISIE!K64&gt;0,SAISIE!$K$6,IF(SAISIE!L64&gt;0,SAISIE!$L$6,IF(SAISIE!M64&gt;0,SAISIE!$M$6,""))))))</f>
        <v/>
      </c>
      <c r="O877" s="59" t="s">
        <v>60</v>
      </c>
    </row>
    <row r="878" spans="1:15" x14ac:dyDescent="0.25">
      <c r="A878" s="63" t="str">
        <f>IF(AND(G878="",H878=""),"SUPPR",SAISIE!$B$3)</f>
        <v>SUPPR</v>
      </c>
      <c r="B878" s="63" t="str">
        <f>IF(SAISIE!J64="","",IF(LEN(SAISIE!B64)=1,CONCATENATE("0",SAISIE!B64,"/",SAISIE!$B$4,"/",SAISIE!$B$5),CONCATENATE(SAISIE!B64,"/",SAISIE!$B$4,"/",SAISIE!$B$5)))</f>
        <v/>
      </c>
      <c r="C878" s="63" t="str">
        <f>IF(SAISIE!J64="","",SAISIE!$J$8)</f>
        <v/>
      </c>
      <c r="D878" s="63" t="str">
        <f>IF(SAISIE!J64="","",SAISIE!E64)</f>
        <v/>
      </c>
      <c r="E878" s="63" t="str">
        <f>IF(SAISIE!J64="","",SAISIE!F64)</f>
        <v/>
      </c>
      <c r="F878" s="70" t="str">
        <f>IF(SAISIE!$J64="","",IF(SAISIE!$N64="","",SAISIE!$N64))</f>
        <v/>
      </c>
      <c r="G878" s="63" t="str">
        <f>IF(SAISIE!J64="","",SAISIE!J64)</f>
        <v/>
      </c>
      <c r="H878" s="63"/>
      <c r="I878" s="72"/>
      <c r="J878" s="71"/>
      <c r="O878" s="73"/>
    </row>
    <row r="879" spans="1:15" x14ac:dyDescent="0.25">
      <c r="A879" s="63" t="str">
        <f>IF(AND(G879="",H879=""),"SUPPR",SAISIE!$B$3)</f>
        <v>SUPPR</v>
      </c>
      <c r="B879" s="63" t="str">
        <f>IF(SAISIE!K64="","",IF(LEN(SAISIE!B64)=1,CONCATENATE("0",SAISIE!B64,"/",SAISIE!$B$4,"/",SAISIE!$B$5),CONCATENATE(SAISIE!B64,"/",SAISIE!$B$4,"/",SAISIE!$B$5)))</f>
        <v/>
      </c>
      <c r="C879" s="63" t="str">
        <f>IF(SAISIE!K64="","",SAISIE!$K$8)</f>
        <v/>
      </c>
      <c r="D879" s="63" t="str">
        <f>IF(SAISIE!K64="","",SAISIE!E64)</f>
        <v/>
      </c>
      <c r="E879" s="63" t="str">
        <f>IF(SAISIE!K64="","",SAISIE!F64)</f>
        <v/>
      </c>
      <c r="F879" s="70" t="str">
        <f>IF(SAISIE!$K64="","",IF(SAISIE!$N64="","",SAISIE!$N64))</f>
        <v/>
      </c>
      <c r="G879" s="63" t="str">
        <f>IF(SAISIE!K64="","",SAISIE!K64)</f>
        <v/>
      </c>
      <c r="H879" s="63"/>
      <c r="I879" s="72"/>
      <c r="J879" s="71"/>
    </row>
    <row r="880" spans="1:15" x14ac:dyDescent="0.25">
      <c r="A880" s="63" t="str">
        <f>IF(AND(G880="",H880=""),"SUPPR",SAISIE!$B$3)</f>
        <v>SUPPR</v>
      </c>
      <c r="B880" s="63" t="str">
        <f>IF(SAISIE!L64="","",IF(LEN(SAISIE!B64)=1,CONCATENATE("0",SAISIE!B64,"/",SAISIE!$B$4,"/",SAISIE!$B$5),CONCATENATE(SAISIE!B64,"/",SAISIE!$B$4,"/",SAISIE!$B$5)))</f>
        <v/>
      </c>
      <c r="C880" s="63" t="str">
        <f>IF(SAISIE!L64="","",SAISIE!$L$8)</f>
        <v/>
      </c>
      <c r="D880" s="63" t="str">
        <f>IF(SAISIE!L64="","",SAISIE!E64)</f>
        <v/>
      </c>
      <c r="E880" s="63" t="str">
        <f>IF(SAISIE!L64="","",SAISIE!F64)</f>
        <v/>
      </c>
      <c r="F880" s="70" t="str">
        <f>IF(SAISIE!$L64="","",IF(SAISIE!$N64="","",SAISIE!$N64))</f>
        <v/>
      </c>
      <c r="G880" s="63" t="str">
        <f>IF(SAISIE!L64="","",SAISIE!L64)</f>
        <v/>
      </c>
      <c r="H880" s="63"/>
      <c r="I880" s="72"/>
      <c r="J880" s="71"/>
    </row>
    <row r="881" spans="1:15" x14ac:dyDescent="0.25">
      <c r="A881" s="63" t="str">
        <f>IF(AND(G881="",H881=""),"SUPPR",SAISIE!$B$3)</f>
        <v>SUPPR</v>
      </c>
      <c r="B881" s="63" t="str">
        <f>IF(SAISIE!M64="","",IF(LEN(SAISIE!B64)=1,CONCATENATE("0",SAISIE!B64,"/",SAISIE!$B$4,"/",SAISIE!$B$5),CONCATENATE(SAISIE!B64,"/",SAISIE!$B$4,"/",SAISIE!$B$5)))</f>
        <v/>
      </c>
      <c r="C881" s="74" t="str">
        <f>IF(SAISIE!M64="","",SAISIE!$M$8)</f>
        <v/>
      </c>
      <c r="D881" s="74" t="str">
        <f>IF(SAISIE!M64="","",SAISIE!E64)</f>
        <v/>
      </c>
      <c r="E881" s="74" t="str">
        <f>IF(SAISIE!M64="","",SAISIE!F64)</f>
        <v/>
      </c>
      <c r="F881" s="75" t="str">
        <f>IF(SAISIE!$M64="","",IF(SAISIE!$N64="","",SAISIE!$N64))</f>
        <v/>
      </c>
      <c r="G881" s="74" t="str">
        <f>IF(SAISIE!M64="","",SAISIE!M64)</f>
        <v/>
      </c>
      <c r="H881" s="76"/>
      <c r="I881" s="77"/>
      <c r="J881" s="78"/>
    </row>
    <row r="882" spans="1:15" x14ac:dyDescent="0.25">
      <c r="A882" s="63" t="str">
        <f>IF(AND(G882="",H882=""),"SUPPR",SAISIE!$B$3)</f>
        <v>SUPPR</v>
      </c>
      <c r="B882" s="64" t="str">
        <f>IF(SAISIE!B65="","",IF(LEN(SAISIE!B65)=1,CONCATENATE("0",SAISIE!B65,"/",SAISIE!$B$4,"/",SAISIE!$B$5),CONCATENATE(SAISIE!B65,"/",SAISIE!$B$4,"/",SAISIE!$B$5)))</f>
        <v/>
      </c>
      <c r="C882" s="64" t="str">
        <f>IF(SAISIE!B65="","",CONCATENATE($M$2,SAISIE!C65))</f>
        <v/>
      </c>
      <c r="D882" s="64" t="str">
        <f>IF(SAISIE!B65="","",SAISIE!E65)</f>
        <v/>
      </c>
      <c r="E882" s="64" t="str">
        <f>IF(SAISIE!B65="","",SAISIE!F65)</f>
        <v/>
      </c>
      <c r="F882" s="65" t="str">
        <f>IF(A882="SUPPR","",IF(SAISIE!$N65="","",SAISIE!$N65))</f>
        <v/>
      </c>
      <c r="G882" s="64"/>
      <c r="H882" s="64" t="str">
        <f>IF(SAISIE!B65="","",SAISIE!D65)</f>
        <v/>
      </c>
      <c r="I882" s="66"/>
      <c r="J882" s="67" t="str">
        <f>IF(AZ65="","","")</f>
        <v/>
      </c>
      <c r="O882" s="69">
        <f>O866+1</f>
        <v>65</v>
      </c>
    </row>
    <row r="883" spans="1:15" x14ac:dyDescent="0.25">
      <c r="A883" s="63" t="str">
        <f>IF(AND(G883="",H883=""),"SUPPR",SAISIE!$B$3)</f>
        <v>SUPPR</v>
      </c>
      <c r="B883" s="63" t="str">
        <f>IF(SAISIE!P65="","",IF(LEN(SAISIE!B65)=1,CONCATENATE("0",SAISIE!B65,"/",SAISIE!$B$4,"/",SAISIE!$B$5),CONCATENATE(SAISIE!B65,"/",SAISIE!$B$4,"/",SAISIE!$B$5)))</f>
        <v/>
      </c>
      <c r="C883" s="63" t="str">
        <f>IF(SAISIE!P65="","",SAISIE!O65)</f>
        <v/>
      </c>
      <c r="D883" s="63" t="str">
        <f>IF(SAISIE!P65="","",SAISIE!E65)</f>
        <v/>
      </c>
      <c r="E883" s="63" t="str">
        <f>IF(SAISIE!P65="","",SAISIE!F65)</f>
        <v/>
      </c>
      <c r="F883" s="70" t="str">
        <f>IF(SAISIE!$P65="","",IF(SAISIE!$N65="","",SAISIE!$N65))</f>
        <v/>
      </c>
      <c r="G883" s="63" t="str">
        <f>IF(SAISIE!P65="","",SAISIE!P65)</f>
        <v/>
      </c>
      <c r="H883" s="63"/>
      <c r="I883" s="63" t="str">
        <f>IF(SAISIE!$P65="","",SAISIE!$Q65)</f>
        <v/>
      </c>
      <c r="J883" s="71" t="str">
        <f>IF(COUNTBLANK(SAISIE!$J$6:$M$6)=4,"",IF(SAISIE!P65="","",IF(SAISIE!J65&gt;0,SAISIE!$J$6,IF(SAISIE!K65&gt;0,SAISIE!$K$6,IF(SAISIE!L65&gt;0,SAISIE!$L$6,IF(SAISIE!M65&gt;0,SAISIE!$M$6,""))))))</f>
        <v/>
      </c>
      <c r="O883" s="59" t="s">
        <v>50</v>
      </c>
    </row>
    <row r="884" spans="1:15" x14ac:dyDescent="0.25">
      <c r="A884" s="63" t="str">
        <f>IF(AND(G884="",H884=""),"SUPPR",SAISIE!$B$3)</f>
        <v>SUPPR</v>
      </c>
      <c r="B884" s="63" t="str">
        <f>IF(SAISIE!G65="","",IF(LEN(SAISIE!B65)=1,CONCATENATE("0",SAISIE!B65,"/",SAISIE!$B$4,"/",SAISIE!$B$5),CONCATENATE(SAISIE!B65,"/",SAISIE!$B$4,"/",SAISIE!$B$5)))</f>
        <v/>
      </c>
      <c r="C884" s="63" t="str">
        <f>IF(SAISIE!G65="","",SAISIE!$G$8)</f>
        <v/>
      </c>
      <c r="D884" s="63" t="str">
        <f>IF(SAISIE!G65="","",SAISIE!E65)</f>
        <v/>
      </c>
      <c r="E884" s="63" t="str">
        <f>IF(SAISIE!G65="","",SAISIE!F65)</f>
        <v/>
      </c>
      <c r="F884" s="70" t="str">
        <f>IF(SAISIE!$G65="","",IF(SAISIE!$N65="","",SAISIE!$N65))</f>
        <v/>
      </c>
      <c r="G884" s="63" t="str">
        <f>IF(SAISIE!G65="","",SAISIE!G65)</f>
        <v/>
      </c>
      <c r="H884" s="63"/>
      <c r="I884" s="63" t="str">
        <f>IF(SAISIE!$G65="","",SAISIE!$Q65)</f>
        <v/>
      </c>
      <c r="J884" s="71" t="str">
        <f>IF(COUNTBLANK(SAISIE!$J$6:$M$6)=4,"",IF(SAISIE!G65="","",IF(SAISIE!J65&gt;0,SAISIE!$J$6,IF(SAISIE!K65&gt;0,SAISIE!$K$6,IF(SAISIE!L65&gt;0,SAISIE!$L$6,IF(SAISIE!M65&gt;0,SAISIE!$M$6,""))))))</f>
        <v/>
      </c>
      <c r="O884" s="59" t="s">
        <v>51</v>
      </c>
    </row>
    <row r="885" spans="1:15" x14ac:dyDescent="0.25">
      <c r="A885" s="63" t="str">
        <f>IF(AND(G885="",H885=""),"SUPPR",SAISIE!$B$3)</f>
        <v>SUPPR</v>
      </c>
      <c r="B885" s="63" t="str">
        <f>IF(SAISIE!H65="","",IF(LEN(SAISIE!B65)=1,CONCATENATE("0",SAISIE!B65,"/",SAISIE!$B$4,"/",SAISIE!$B$5),CONCATENATE(SAISIE!B65,"/",SAISIE!$B$4,"/",SAISIE!$B$5)))</f>
        <v/>
      </c>
      <c r="C885" s="63" t="str">
        <f>IF(SAISIE!H65="","",SAISIE!$H$8)</f>
        <v/>
      </c>
      <c r="D885" s="63" t="str">
        <f>IF(SAISIE!H65="","",SAISIE!E65)</f>
        <v/>
      </c>
      <c r="E885" s="63" t="str">
        <f>IF(SAISIE!H65="","",SAISIE!F65)</f>
        <v/>
      </c>
      <c r="F885" s="70" t="str">
        <f>IF(SAISIE!$H65="","",IF(SAISIE!$N65="","",SAISIE!$N65))</f>
        <v/>
      </c>
      <c r="G885" s="63" t="str">
        <f>IF(SAISIE!H65="","",SAISIE!H65)</f>
        <v/>
      </c>
      <c r="H885" s="63"/>
      <c r="I885" s="63" t="str">
        <f>IF(SAISIE!$H65="","",SAISIE!$Q65)</f>
        <v/>
      </c>
      <c r="J885" s="71" t="str">
        <f>IF(COUNTBLANK(SAISIE!$J$6:$M$6)=4,"",IF(SAISIE!H65="","",IF(SAISIE!J65&gt;0,SAISIE!$J$6,IF(SAISIE!K65&gt;0,SAISIE!$K$6,IF(SAISIE!L65&gt;0,SAISIE!$L$6,IF(SAISIE!M65&gt;0,SAISIE!$M$6,""))))))</f>
        <v/>
      </c>
      <c r="O885" s="59" t="s">
        <v>52</v>
      </c>
    </row>
    <row r="886" spans="1:15" x14ac:dyDescent="0.25">
      <c r="A886" s="63" t="str">
        <f>IF(AND(G886="",H886=""),"SUPPR",SAISIE!$B$3)</f>
        <v>SUPPR</v>
      </c>
      <c r="B886" s="63" t="str">
        <f>IF(SAISIE!I65="","",IF(LEN(SAISIE!B65)=1,CONCATENATE("0",SAISIE!B65,"/",SAISIE!$B$4,"/",SAISIE!$B$5),CONCATENATE(SAISIE!B65,"/",SAISIE!$B$4,"/",SAISIE!$B$5)))</f>
        <v/>
      </c>
      <c r="C886" s="63" t="str">
        <f>IF(SAISIE!I65="","",SAISIE!$I$8)</f>
        <v/>
      </c>
      <c r="D886" s="63" t="str">
        <f>IF(SAISIE!I65="","",SAISIE!E65)</f>
        <v/>
      </c>
      <c r="E886" s="63" t="str">
        <f>IF(SAISIE!I65="","",SAISIE!F65)</f>
        <v/>
      </c>
      <c r="F886" s="70" t="str">
        <f>IF(SAISIE!$I65="","",IF(SAISIE!$N65="","",SAISIE!$N65))</f>
        <v/>
      </c>
      <c r="G886" s="63" t="str">
        <f>IF(SAISIE!I65="","",SAISIE!I65)</f>
        <v/>
      </c>
      <c r="H886" s="63"/>
      <c r="I886" s="63" t="str">
        <f>IF(SAISIE!$I65="","",SAISIE!$Q65)</f>
        <v/>
      </c>
      <c r="J886" s="71" t="str">
        <f>IF(COUNTBLANK(SAISIE!$J$6:$M$6)=4,"",IF(SAISIE!I65="","",IF(SAISIE!J65&gt;0,SAISIE!$J$6,IF(SAISIE!K65&gt;0,SAISIE!$K$6,IF(SAISIE!L65&gt;0,SAISIE!$L$6,IF(SAISIE!M65&gt;0,SAISIE!$M$6,""))))))</f>
        <v/>
      </c>
      <c r="O886" s="59" t="s">
        <v>53</v>
      </c>
    </row>
    <row r="887" spans="1:15" x14ac:dyDescent="0.25">
      <c r="A887" s="63" t="e">
        <f>IF(AND(G887="",H887=""),"SUPPR",SAISIE!$B$3)</f>
        <v>#REF!</v>
      </c>
      <c r="B887" s="63" t="e">
        <f>IF(SAISIE!#REF!="","",IF(LEN(SAISIE!B65)=1,CONCATENATE("0",SAISIE!B65,"/",SAISIE!$B$4,"/",SAISIE!$B$5),CONCATENATE(SAISIE!B65,"/",SAISIE!$B$4,"/",SAISIE!$B$5)))</f>
        <v>#REF!</v>
      </c>
      <c r="C887" s="63" t="e">
        <f>IF(SAISIE!#REF!="","",SAISIE!#REF!)</f>
        <v>#REF!</v>
      </c>
      <c r="D887" s="63" t="e">
        <f>IF(SAISIE!#REF!="","",SAISIE!E65)</f>
        <v>#REF!</v>
      </c>
      <c r="E887" s="63" t="e">
        <f>IF(SAISIE!#REF!="","",SAISIE!F65)</f>
        <v>#REF!</v>
      </c>
      <c r="F887" s="70" t="e">
        <f>IF(SAISIE!#REF!="","",IF(SAISIE!$N65="","",SAISIE!$N65))</f>
        <v>#REF!</v>
      </c>
      <c r="G887" s="63" t="e">
        <f>IF(SAISIE!#REF!="","",SAISIE!#REF!)</f>
        <v>#REF!</v>
      </c>
      <c r="H887" s="63"/>
      <c r="I887" s="63" t="e">
        <f>IF(SAISIE!#REF!="","",SAISIE!$Q65)</f>
        <v>#REF!</v>
      </c>
      <c r="J887" s="71" t="str">
        <f>IF(COUNTBLANK(SAISIE!$J$6:$M$6)=4,"",IF(SAISIE!#REF!="","",IF(SAISIE!J65&gt;0,SAISIE!$J$6,IF(SAISIE!K65&gt;0,SAISIE!$K$6,IF(SAISIE!L65&gt;0,SAISIE!$L$6,IF(SAISIE!M65&gt;0,SAISIE!$M$6,""))))))</f>
        <v/>
      </c>
      <c r="O887" s="59" t="s">
        <v>54</v>
      </c>
    </row>
    <row r="888" spans="1:15" x14ac:dyDescent="0.25">
      <c r="A888" s="63" t="e">
        <f>IF(AND(G888="",H888=""),"SUPPR",SAISIE!$B$3)</f>
        <v>#REF!</v>
      </c>
      <c r="B888" s="63" t="e">
        <f>IF(SAISIE!#REF!="","",IF(LEN(SAISIE!B65)=1,CONCATENATE("0",SAISIE!B65,"/",SAISIE!$B$4,"/",SAISIE!$B$5),CONCATENATE(SAISIE!B65,"/",SAISIE!$B$4,"/",SAISIE!$B$5)))</f>
        <v>#REF!</v>
      </c>
      <c r="C888" s="63" t="e">
        <f>IF(SAISIE!#REF!="","",SAISIE!#REF!)</f>
        <v>#REF!</v>
      </c>
      <c r="D888" s="63" t="e">
        <f>IF(SAISIE!#REF!="","",SAISIE!E65)</f>
        <v>#REF!</v>
      </c>
      <c r="E888" s="63" t="e">
        <f>IF(SAISIE!#REF!="","",SAISIE!F65)</f>
        <v>#REF!</v>
      </c>
      <c r="F888" s="70" t="e">
        <f>IF(SAISIE!#REF!="","",IF(SAISIE!$N65="","",SAISIE!$N65))</f>
        <v>#REF!</v>
      </c>
      <c r="G888" s="63" t="e">
        <f>IF(SAISIE!#REF!="","",SAISIE!#REF!)</f>
        <v>#REF!</v>
      </c>
      <c r="H888" s="63"/>
      <c r="I888" s="63" t="e">
        <f>IF(SAISIE!#REF!="","",SAISIE!$Q65)</f>
        <v>#REF!</v>
      </c>
      <c r="J888" s="71" t="str">
        <f>IF(COUNTBLANK(SAISIE!$J$6:$M$6)=4,"",IF(SAISIE!#REF!="","",IF(SAISIE!J65&gt;0,SAISIE!$J$6,IF(SAISIE!K65&gt;0,SAISIE!$K$6,IF(SAISIE!L65&gt;0,SAISIE!$L$6,IF(SAISIE!M65&gt;0,SAISIE!$M$6,""))))))</f>
        <v/>
      </c>
      <c r="O888" s="59" t="s">
        <v>55</v>
      </c>
    </row>
    <row r="889" spans="1:15" x14ac:dyDescent="0.25">
      <c r="A889" s="63" t="e">
        <f>IF(AND(G889="",H889=""),"SUPPR",SAISIE!$B$3)</f>
        <v>#REF!</v>
      </c>
      <c r="B889" s="63" t="e">
        <f>IF(SAISIE!#REF!="","",IF(LEN(SAISIE!B65)=1,CONCATENATE("0",SAISIE!B65,"/",SAISIE!$B$4,"/",SAISIE!$B$5),CONCATENATE(SAISIE!B65,"/",SAISIE!$B$4,"/",SAISIE!$B$5)))</f>
        <v>#REF!</v>
      </c>
      <c r="C889" s="63" t="e">
        <f>IF(SAISIE!#REF!="","",SAISIE!#REF!)</f>
        <v>#REF!</v>
      </c>
      <c r="D889" s="63" t="e">
        <f>IF(SAISIE!#REF!="","",SAISIE!E65)</f>
        <v>#REF!</v>
      </c>
      <c r="E889" s="63" t="e">
        <f>IF(SAISIE!#REF!="","",SAISIE!F65)</f>
        <v>#REF!</v>
      </c>
      <c r="F889" s="70" t="e">
        <f>IF(SAISIE!#REF!="","",IF(SAISIE!$N65="","",SAISIE!$N65))</f>
        <v>#REF!</v>
      </c>
      <c r="G889" s="63" t="e">
        <f>IF(SAISIE!#REF!="","",SAISIE!#REF!)</f>
        <v>#REF!</v>
      </c>
      <c r="H889" s="63"/>
      <c r="I889" s="63" t="e">
        <f>IF(SAISIE!#REF!="","",SAISIE!$Q65)</f>
        <v>#REF!</v>
      </c>
      <c r="J889" s="71" t="str">
        <f>IF(COUNTBLANK(SAISIE!$J$6:$M$6)=4,"",IF(SAISIE!#REF!="","",IF(SAISIE!J65&gt;0,SAISIE!$J$6,IF(SAISIE!K65&gt;0,SAISIE!$K$6,IF(SAISIE!L65&gt;0,SAISIE!$L$6,IF(SAISIE!M65&gt;0,SAISIE!$M$6,""))))))</f>
        <v/>
      </c>
      <c r="O889" s="59" t="s">
        <v>56</v>
      </c>
    </row>
    <row r="890" spans="1:15" x14ac:dyDescent="0.25">
      <c r="A890" s="63" t="e">
        <f>IF(AND(G890="",H890=""),"SUPPR",SAISIE!$B$3)</f>
        <v>#REF!</v>
      </c>
      <c r="B890" s="63" t="e">
        <f>IF(SAISIE!#REF!="","",IF(LEN(SAISIE!B65)=1,CONCATENATE("0",SAISIE!B65,"/",SAISIE!$B$4,"/",SAISIE!$B$5),CONCATENATE(SAISIE!B65,"/",SAISIE!$B$4,"/",SAISIE!$B$5)))</f>
        <v>#REF!</v>
      </c>
      <c r="C890" s="63" t="e">
        <f>IF(SAISIE!#REF!="","",SAISIE!#REF!)</f>
        <v>#REF!</v>
      </c>
      <c r="D890" s="63" t="e">
        <f>IF(SAISIE!#REF!="","",SAISIE!E65)</f>
        <v>#REF!</v>
      </c>
      <c r="E890" s="63" t="e">
        <f>IF(SAISIE!#REF!="","",SAISIE!F65)</f>
        <v>#REF!</v>
      </c>
      <c r="F890" s="70" t="e">
        <f>IF(SAISIE!#REF!="","",IF(SAISIE!$N65="","",SAISIE!$N65))</f>
        <v>#REF!</v>
      </c>
      <c r="G890" s="63" t="e">
        <f>IF(SAISIE!#REF!="","",SAISIE!#REF!)</f>
        <v>#REF!</v>
      </c>
      <c r="H890" s="63"/>
      <c r="I890" s="63" t="e">
        <f>IF(SAISIE!#REF!="","",SAISIE!$Q65)</f>
        <v>#REF!</v>
      </c>
      <c r="J890" s="71" t="str">
        <f>IF(COUNTBLANK(SAISIE!$J$6:$M$6)=4,"",IF(SAISIE!#REF!="","",IF(SAISIE!J65&gt;0,SAISIE!$J$6,IF(SAISIE!K65&gt;0,SAISIE!$K$6,IF(SAISIE!L65&gt;0,SAISIE!$L$6,IF(SAISIE!M65&gt;0,SAISIE!$M$6,""))))))</f>
        <v/>
      </c>
      <c r="O890" s="59" t="s">
        <v>57</v>
      </c>
    </row>
    <row r="891" spans="1:15" x14ac:dyDescent="0.25">
      <c r="A891" s="63" t="e">
        <f>IF(AND(G891="",H891=""),"SUPPR",SAISIE!$B$3)</f>
        <v>#REF!</v>
      </c>
      <c r="B891" s="63" t="e">
        <f>IF(SAISIE!#REF!="","",IF(LEN(SAISIE!B65)=1,CONCATENATE("0",SAISIE!B65,"/",SAISIE!$B$4,"/",SAISIE!$B$5),CONCATENATE(SAISIE!B65,"/",SAISIE!$B$4,"/",SAISIE!$B$5)))</f>
        <v>#REF!</v>
      </c>
      <c r="C891" s="63" t="e">
        <f>IF(SAISIE!#REF!="","",SAISIE!#REF!)</f>
        <v>#REF!</v>
      </c>
      <c r="D891" s="63" t="e">
        <f>IF(SAISIE!#REF!="","",SAISIE!E65)</f>
        <v>#REF!</v>
      </c>
      <c r="E891" s="63" t="e">
        <f>IF(SAISIE!#REF!="","",SAISIE!F65)</f>
        <v>#REF!</v>
      </c>
      <c r="F891" s="70" t="e">
        <f>IF(SAISIE!#REF!="","",IF(SAISIE!$N65="","",SAISIE!$N65))</f>
        <v>#REF!</v>
      </c>
      <c r="G891" s="63" t="e">
        <f>IF(SAISIE!#REF!="","",SAISIE!#REF!)</f>
        <v>#REF!</v>
      </c>
      <c r="H891" s="63"/>
      <c r="I891" s="63" t="e">
        <f>IF(SAISIE!#REF!="","",SAISIE!$Q65)</f>
        <v>#REF!</v>
      </c>
      <c r="J891" s="71" t="str">
        <f>IF(COUNTBLANK(SAISIE!$J$6:$M$6)=4,"",IF(SAISIE!#REF!="","",IF(SAISIE!J65&gt;0,SAISIE!$J$6,IF(SAISIE!K65&gt;0,SAISIE!$K$6,IF(SAISIE!L65&gt;0,SAISIE!$L$6,IF(SAISIE!M65&gt;0,SAISIE!$M$6,""))))))</f>
        <v/>
      </c>
      <c r="O891" s="59" t="s">
        <v>58</v>
      </c>
    </row>
    <row r="892" spans="1:15" x14ac:dyDescent="0.25">
      <c r="A892" s="63" t="e">
        <f>IF(AND(G892="",H892=""),"SUPPR",SAISIE!$B$3)</f>
        <v>#REF!</v>
      </c>
      <c r="B892" s="63" t="e">
        <f>IF(SAISIE!#REF!="","",IF(LEN(SAISIE!B65)=1,CONCATENATE("0",SAISIE!B65,"/",SAISIE!$B$4,"/",SAISIE!$B$5),CONCATENATE(SAISIE!B65,"/",SAISIE!$B$4,"/",SAISIE!$B$5)))</f>
        <v>#REF!</v>
      </c>
      <c r="C892" s="63" t="e">
        <f>IF(SAISIE!#REF!="","",SAISIE!#REF!)</f>
        <v>#REF!</v>
      </c>
      <c r="D892" s="63" t="e">
        <f>IF(SAISIE!#REF!="","",SAISIE!E65)</f>
        <v>#REF!</v>
      </c>
      <c r="E892" s="63" t="e">
        <f>IF(SAISIE!#REF!="","",SAISIE!F65)</f>
        <v>#REF!</v>
      </c>
      <c r="F892" s="70" t="e">
        <f>IF(SAISIE!#REF!="","",IF(SAISIE!$N65="","",SAISIE!$N65))</f>
        <v>#REF!</v>
      </c>
      <c r="G892" s="63" t="e">
        <f>IF(SAISIE!#REF!="","",SAISIE!#REF!)</f>
        <v>#REF!</v>
      </c>
      <c r="H892" s="63"/>
      <c r="I892" s="63" t="e">
        <f>IF(SAISIE!#REF!="","",SAISIE!$Q65)</f>
        <v>#REF!</v>
      </c>
      <c r="J892" s="71" t="str">
        <f>IF(COUNTBLANK(SAISIE!$J$6:$M$6)=4,"",IF(SAISIE!#REF!="","",IF(SAISIE!J65&gt;0,SAISIE!$J$6,IF(SAISIE!K65&gt;0,SAISIE!$K$6,IF(SAISIE!L65&gt;0,SAISIE!$L$6,IF(SAISIE!M65&gt;0,SAISIE!$M$6,""))))))</f>
        <v/>
      </c>
      <c r="O892" s="59" t="s">
        <v>59</v>
      </c>
    </row>
    <row r="893" spans="1:15" x14ac:dyDescent="0.25">
      <c r="A893" s="63" t="e">
        <f>IF(AND(G893="",H893=""),"SUPPR",SAISIE!$B$3)</f>
        <v>#REF!</v>
      </c>
      <c r="B893" s="63" t="e">
        <f>IF(SAISIE!#REF!="","",IF(LEN(SAISIE!B65)=1,CONCATENATE("0",SAISIE!B65,"/",SAISIE!$B$4,"/",SAISIE!$B$5),CONCATENATE(SAISIE!B65,"/",SAISIE!$B$4,"/",SAISIE!$B$5)))</f>
        <v>#REF!</v>
      </c>
      <c r="C893" s="63" t="e">
        <f>IF(SAISIE!#REF!="","",SAISIE!#REF!)</f>
        <v>#REF!</v>
      </c>
      <c r="D893" s="63" t="e">
        <f>IF(SAISIE!#REF!="","",SAISIE!E65)</f>
        <v>#REF!</v>
      </c>
      <c r="E893" s="63" t="e">
        <f>IF(SAISIE!#REF!="","",SAISIE!F65)</f>
        <v>#REF!</v>
      </c>
      <c r="F893" s="70" t="e">
        <f>IF(SAISIE!#REF!="","",IF(SAISIE!$N65="","",SAISIE!$N65))</f>
        <v>#REF!</v>
      </c>
      <c r="G893" s="63" t="e">
        <f>IF(SAISIE!#REF!="","",SAISIE!#REF!)</f>
        <v>#REF!</v>
      </c>
      <c r="H893" s="63"/>
      <c r="I893" s="63" t="e">
        <f>IF(SAISIE!#REF!="","",SAISIE!$Q65)</f>
        <v>#REF!</v>
      </c>
      <c r="J893" s="71" t="str">
        <f>IF(COUNTBLANK(SAISIE!$J$6:$M$6)=4,"",IF(SAISIE!#REF!="","",IF(SAISIE!J65&gt;0,SAISIE!$J$6,IF(SAISIE!K65&gt;0,SAISIE!$K$6,IF(SAISIE!L65&gt;0,SAISIE!$L$6,IF(SAISIE!M65&gt;0,SAISIE!$M$6,""))))))</f>
        <v/>
      </c>
      <c r="O893" s="59" t="s">
        <v>60</v>
      </c>
    </row>
    <row r="894" spans="1:15" x14ac:dyDescent="0.25">
      <c r="A894" s="63" t="str">
        <f>IF(AND(G894="",H894=""),"SUPPR",SAISIE!$B$3)</f>
        <v>SUPPR</v>
      </c>
      <c r="B894" s="63" t="str">
        <f>IF(SAISIE!J65="","",IF(LEN(SAISIE!B65)=1,CONCATENATE("0",SAISIE!B65,"/",SAISIE!$B$4,"/",SAISIE!$B$5),CONCATENATE(SAISIE!B65,"/",SAISIE!$B$4,"/",SAISIE!$B$5)))</f>
        <v/>
      </c>
      <c r="C894" s="63" t="str">
        <f>IF(SAISIE!J65="","",SAISIE!$J$8)</f>
        <v/>
      </c>
      <c r="D894" s="63" t="str">
        <f>IF(SAISIE!J65="","",SAISIE!E65)</f>
        <v/>
      </c>
      <c r="E894" s="63" t="str">
        <f>IF(SAISIE!J65="","",SAISIE!F65)</f>
        <v/>
      </c>
      <c r="F894" s="70" t="str">
        <f>IF(SAISIE!$J65="","",IF(SAISIE!$N65="","",SAISIE!$N65))</f>
        <v/>
      </c>
      <c r="G894" s="63" t="str">
        <f>IF(SAISIE!J65="","",SAISIE!J65)</f>
        <v/>
      </c>
      <c r="H894" s="63"/>
      <c r="I894" s="72"/>
      <c r="J894" s="71"/>
      <c r="O894" s="73"/>
    </row>
    <row r="895" spans="1:15" x14ac:dyDescent="0.25">
      <c r="A895" s="63" t="str">
        <f>IF(AND(G895="",H895=""),"SUPPR",SAISIE!$B$3)</f>
        <v>SUPPR</v>
      </c>
      <c r="B895" s="63" t="str">
        <f>IF(SAISIE!K65="","",IF(LEN(SAISIE!B65)=1,CONCATENATE("0",SAISIE!B65,"/",SAISIE!$B$4,"/",SAISIE!$B$5),CONCATENATE(SAISIE!B65,"/",SAISIE!$B$4,"/",SAISIE!$B$5)))</f>
        <v/>
      </c>
      <c r="C895" s="63" t="str">
        <f>IF(SAISIE!K65="","",SAISIE!$K$8)</f>
        <v/>
      </c>
      <c r="D895" s="63" t="str">
        <f>IF(SAISIE!K65="","",SAISIE!E65)</f>
        <v/>
      </c>
      <c r="E895" s="63" t="str">
        <f>IF(SAISIE!K65="","",SAISIE!F65)</f>
        <v/>
      </c>
      <c r="F895" s="70" t="str">
        <f>IF(SAISIE!$K65="","",IF(SAISIE!$N65="","",SAISIE!$N65))</f>
        <v/>
      </c>
      <c r="G895" s="63" t="str">
        <f>IF(SAISIE!K65="","",SAISIE!K65)</f>
        <v/>
      </c>
      <c r="H895" s="63"/>
      <c r="I895" s="72"/>
      <c r="J895" s="71"/>
    </row>
    <row r="896" spans="1:15" x14ac:dyDescent="0.25">
      <c r="A896" s="63" t="str">
        <f>IF(AND(G896="",H896=""),"SUPPR",SAISIE!$B$3)</f>
        <v>SUPPR</v>
      </c>
      <c r="B896" s="63" t="str">
        <f>IF(SAISIE!L65="","",IF(LEN(SAISIE!B65)=1,CONCATENATE("0",SAISIE!B65,"/",SAISIE!$B$4,"/",SAISIE!$B$5),CONCATENATE(SAISIE!B65,"/",SAISIE!$B$4,"/",SAISIE!$B$5)))</f>
        <v/>
      </c>
      <c r="C896" s="63" t="str">
        <f>IF(SAISIE!L65="","",SAISIE!$L$8)</f>
        <v/>
      </c>
      <c r="D896" s="63" t="str">
        <f>IF(SAISIE!L65="","",SAISIE!E65)</f>
        <v/>
      </c>
      <c r="E896" s="63" t="str">
        <f>IF(SAISIE!L65="","",SAISIE!F65)</f>
        <v/>
      </c>
      <c r="F896" s="70" t="str">
        <f>IF(SAISIE!$L65="","",IF(SAISIE!$N65="","",SAISIE!$N65))</f>
        <v/>
      </c>
      <c r="G896" s="63" t="str">
        <f>IF(SAISIE!L65="","",SAISIE!L65)</f>
        <v/>
      </c>
      <c r="H896" s="63"/>
      <c r="I896" s="72"/>
      <c r="J896" s="71"/>
    </row>
    <row r="897" spans="1:15" x14ac:dyDescent="0.25">
      <c r="A897" s="63" t="str">
        <f>IF(AND(G897="",H897=""),"SUPPR",SAISIE!$B$3)</f>
        <v>SUPPR</v>
      </c>
      <c r="B897" s="63" t="str">
        <f>IF(SAISIE!M65="","",IF(LEN(SAISIE!B65)=1,CONCATENATE("0",SAISIE!B65,"/",SAISIE!$B$4,"/",SAISIE!$B$5),CONCATENATE(SAISIE!B65,"/",SAISIE!$B$4,"/",SAISIE!$B$5)))</f>
        <v/>
      </c>
      <c r="C897" s="74" t="str">
        <f>IF(SAISIE!M65="","",SAISIE!$M$8)</f>
        <v/>
      </c>
      <c r="D897" s="74" t="str">
        <f>IF(SAISIE!M65="","",SAISIE!E65)</f>
        <v/>
      </c>
      <c r="E897" s="74" t="str">
        <f>IF(SAISIE!M65="","",SAISIE!F65)</f>
        <v/>
      </c>
      <c r="F897" s="75" t="str">
        <f>IF(SAISIE!$M65="","",IF(SAISIE!$N65="","",SAISIE!$N65))</f>
        <v/>
      </c>
      <c r="G897" s="74" t="str">
        <f>IF(SAISIE!M65="","",SAISIE!M65)</f>
        <v/>
      </c>
      <c r="H897" s="76"/>
      <c r="I897" s="77"/>
      <c r="J897" s="78"/>
    </row>
    <row r="898" spans="1:15" x14ac:dyDescent="0.25">
      <c r="A898" s="63" t="str">
        <f>IF(AND(G898="",H898=""),"SUPPR",SAISIE!$B$3)</f>
        <v>SUPPR</v>
      </c>
      <c r="B898" s="64" t="str">
        <f>IF(SAISIE!B66="","",IF(LEN(SAISIE!B66)=1,CONCATENATE("0",SAISIE!B66,"/",SAISIE!$B$4,"/",SAISIE!$B$5),CONCATENATE(SAISIE!B66,"/",SAISIE!$B$4,"/",SAISIE!$B$5)))</f>
        <v/>
      </c>
      <c r="C898" s="64" t="str">
        <f>IF(SAISIE!B66="","",CONCATENATE($M$2,SAISIE!C66))</f>
        <v/>
      </c>
      <c r="D898" s="64" t="str">
        <f>IF(SAISIE!B66="","",SAISIE!E66)</f>
        <v/>
      </c>
      <c r="E898" s="64" t="str">
        <f>IF(SAISIE!B66="","",SAISIE!F66)</f>
        <v/>
      </c>
      <c r="F898" s="65" t="str">
        <f>IF(A898="SUPPR","",IF(SAISIE!$N66="","",SAISIE!$N66))</f>
        <v/>
      </c>
      <c r="G898" s="64"/>
      <c r="H898" s="64" t="str">
        <f>IF(SAISIE!B66="","",SAISIE!D66)</f>
        <v/>
      </c>
      <c r="I898" s="66"/>
      <c r="J898" s="67" t="str">
        <f>IF(AZ66="","","")</f>
        <v/>
      </c>
      <c r="O898" s="69">
        <f>O882+1</f>
        <v>66</v>
      </c>
    </row>
    <row r="899" spans="1:15" x14ac:dyDescent="0.25">
      <c r="A899" s="63" t="str">
        <f>IF(AND(G899="",H899=""),"SUPPR",SAISIE!$B$3)</f>
        <v>SUPPR</v>
      </c>
      <c r="B899" s="63" t="str">
        <f>IF(SAISIE!P66="","",IF(LEN(SAISIE!B66)=1,CONCATENATE("0",SAISIE!B66,"/",SAISIE!$B$4,"/",SAISIE!$B$5),CONCATENATE(SAISIE!B66,"/",SAISIE!$B$4,"/",SAISIE!$B$5)))</f>
        <v/>
      </c>
      <c r="C899" s="63" t="str">
        <f>IF(SAISIE!P66="","",SAISIE!O66)</f>
        <v/>
      </c>
      <c r="D899" s="63" t="str">
        <f>IF(SAISIE!P66="","",SAISIE!E66)</f>
        <v/>
      </c>
      <c r="E899" s="63" t="str">
        <f>IF(SAISIE!P66="","",SAISIE!F66)</f>
        <v/>
      </c>
      <c r="F899" s="70" t="str">
        <f>IF(SAISIE!$P66="","",IF(SAISIE!$N66="","",SAISIE!$N66))</f>
        <v/>
      </c>
      <c r="G899" s="63" t="str">
        <f>IF(SAISIE!P66="","",SAISIE!P66)</f>
        <v/>
      </c>
      <c r="H899" s="63"/>
      <c r="I899" s="63" t="str">
        <f>IF(SAISIE!$P66="","",SAISIE!$Q66)</f>
        <v/>
      </c>
      <c r="J899" s="71" t="str">
        <f>IF(COUNTBLANK(SAISIE!$J$6:$M$6)=4,"",IF(SAISIE!P66="","",IF(SAISIE!J66&gt;0,SAISIE!$J$6,IF(SAISIE!K66&gt;0,SAISIE!$K$6,IF(SAISIE!L66&gt;0,SAISIE!$L$6,IF(SAISIE!M66&gt;0,SAISIE!$M$6,""))))))</f>
        <v/>
      </c>
      <c r="O899" s="59" t="s">
        <v>50</v>
      </c>
    </row>
    <row r="900" spans="1:15" x14ac:dyDescent="0.25">
      <c r="A900" s="63" t="str">
        <f>IF(AND(G900="",H900=""),"SUPPR",SAISIE!$B$3)</f>
        <v>SUPPR</v>
      </c>
      <c r="B900" s="63" t="str">
        <f>IF(SAISIE!G66="","",IF(LEN(SAISIE!B66)=1,CONCATENATE("0",SAISIE!B66,"/",SAISIE!$B$4,"/",SAISIE!$B$5),CONCATENATE(SAISIE!B66,"/",SAISIE!$B$4,"/",SAISIE!$B$5)))</f>
        <v/>
      </c>
      <c r="C900" s="63" t="str">
        <f>IF(SAISIE!G66="","",SAISIE!$G$8)</f>
        <v/>
      </c>
      <c r="D900" s="63" t="str">
        <f>IF(SAISIE!G66="","",SAISIE!E66)</f>
        <v/>
      </c>
      <c r="E900" s="63" t="str">
        <f>IF(SAISIE!G66="","",SAISIE!F66)</f>
        <v/>
      </c>
      <c r="F900" s="70" t="str">
        <f>IF(SAISIE!$G66="","",IF(SAISIE!$N66="","",SAISIE!$N66))</f>
        <v/>
      </c>
      <c r="G900" s="63" t="str">
        <f>IF(SAISIE!G66="","",SAISIE!G66)</f>
        <v/>
      </c>
      <c r="H900" s="63"/>
      <c r="I900" s="63" t="str">
        <f>IF(SAISIE!$G66="","",SAISIE!$Q66)</f>
        <v/>
      </c>
      <c r="J900" s="71" t="str">
        <f>IF(COUNTBLANK(SAISIE!$J$6:$M$6)=4,"",IF(SAISIE!G66="","",IF(SAISIE!J66&gt;0,SAISIE!$J$6,IF(SAISIE!K66&gt;0,SAISIE!$K$6,IF(SAISIE!L66&gt;0,SAISIE!$L$6,IF(SAISIE!M66&gt;0,SAISIE!$M$6,""))))))</f>
        <v/>
      </c>
      <c r="O900" s="59" t="s">
        <v>51</v>
      </c>
    </row>
    <row r="901" spans="1:15" x14ac:dyDescent="0.25">
      <c r="A901" s="63" t="str">
        <f>IF(AND(G901="",H901=""),"SUPPR",SAISIE!$B$3)</f>
        <v>SUPPR</v>
      </c>
      <c r="B901" s="63" t="str">
        <f>IF(SAISIE!H66="","",IF(LEN(SAISIE!B66)=1,CONCATENATE("0",SAISIE!B66,"/",SAISIE!$B$4,"/",SAISIE!$B$5),CONCATENATE(SAISIE!B66,"/",SAISIE!$B$4,"/",SAISIE!$B$5)))</f>
        <v/>
      </c>
      <c r="C901" s="63" t="str">
        <f>IF(SAISIE!H66="","",SAISIE!$H$8)</f>
        <v/>
      </c>
      <c r="D901" s="63" t="str">
        <f>IF(SAISIE!H66="","",SAISIE!E66)</f>
        <v/>
      </c>
      <c r="E901" s="63" t="str">
        <f>IF(SAISIE!H66="","",SAISIE!F66)</f>
        <v/>
      </c>
      <c r="F901" s="70" t="str">
        <f>IF(SAISIE!$H66="","",IF(SAISIE!$N66="","",SAISIE!$N66))</f>
        <v/>
      </c>
      <c r="G901" s="63" t="str">
        <f>IF(SAISIE!H66="","",SAISIE!H66)</f>
        <v/>
      </c>
      <c r="H901" s="63"/>
      <c r="I901" s="63" t="str">
        <f>IF(SAISIE!$H66="","",SAISIE!$Q66)</f>
        <v/>
      </c>
      <c r="J901" s="71" t="str">
        <f>IF(COUNTBLANK(SAISIE!$J$6:$M$6)=4,"",IF(SAISIE!H66="","",IF(SAISIE!J66&gt;0,SAISIE!$J$6,IF(SAISIE!K66&gt;0,SAISIE!$K$6,IF(SAISIE!L66&gt;0,SAISIE!$L$6,IF(SAISIE!M66&gt;0,SAISIE!$M$6,""))))))</f>
        <v/>
      </c>
      <c r="O901" s="59" t="s">
        <v>52</v>
      </c>
    </row>
    <row r="902" spans="1:15" x14ac:dyDescent="0.25">
      <c r="A902" s="63" t="str">
        <f>IF(AND(G902="",H902=""),"SUPPR",SAISIE!$B$3)</f>
        <v>SUPPR</v>
      </c>
      <c r="B902" s="63" t="str">
        <f>IF(SAISIE!I66="","",IF(LEN(SAISIE!B66)=1,CONCATENATE("0",SAISIE!B66,"/",SAISIE!$B$4,"/",SAISIE!$B$5),CONCATENATE(SAISIE!B66,"/",SAISIE!$B$4,"/",SAISIE!$B$5)))</f>
        <v/>
      </c>
      <c r="C902" s="63" t="str">
        <f>IF(SAISIE!I66="","",SAISIE!$I$8)</f>
        <v/>
      </c>
      <c r="D902" s="63" t="str">
        <f>IF(SAISIE!I66="","",SAISIE!E66)</f>
        <v/>
      </c>
      <c r="E902" s="63" t="str">
        <f>IF(SAISIE!I66="","",SAISIE!F66)</f>
        <v/>
      </c>
      <c r="F902" s="70" t="str">
        <f>IF(SAISIE!$I66="","",IF(SAISIE!$N66="","",SAISIE!$N66))</f>
        <v/>
      </c>
      <c r="G902" s="63" t="str">
        <f>IF(SAISIE!I66="","",SAISIE!I66)</f>
        <v/>
      </c>
      <c r="H902" s="63"/>
      <c r="I902" s="63" t="str">
        <f>IF(SAISIE!$I66="","",SAISIE!$Q66)</f>
        <v/>
      </c>
      <c r="J902" s="71" t="str">
        <f>IF(COUNTBLANK(SAISIE!$J$6:$M$6)=4,"",IF(SAISIE!I66="","",IF(SAISIE!J66&gt;0,SAISIE!$J$6,IF(SAISIE!K66&gt;0,SAISIE!$K$6,IF(SAISIE!L66&gt;0,SAISIE!$L$6,IF(SAISIE!M66&gt;0,SAISIE!$M$6,""))))))</f>
        <v/>
      </c>
      <c r="O902" s="59" t="s">
        <v>53</v>
      </c>
    </row>
    <row r="903" spans="1:15" x14ac:dyDescent="0.25">
      <c r="A903" s="63" t="e">
        <f>IF(AND(G903="",H903=""),"SUPPR",SAISIE!$B$3)</f>
        <v>#REF!</v>
      </c>
      <c r="B903" s="63" t="e">
        <f>IF(SAISIE!#REF!="","",IF(LEN(SAISIE!B66)=1,CONCATENATE("0",SAISIE!B66,"/",SAISIE!$B$4,"/",SAISIE!$B$5),CONCATENATE(SAISIE!B66,"/",SAISIE!$B$4,"/",SAISIE!$B$5)))</f>
        <v>#REF!</v>
      </c>
      <c r="C903" s="63" t="e">
        <f>IF(SAISIE!#REF!="","",SAISIE!#REF!)</f>
        <v>#REF!</v>
      </c>
      <c r="D903" s="63" t="e">
        <f>IF(SAISIE!#REF!="","",SAISIE!E66)</f>
        <v>#REF!</v>
      </c>
      <c r="E903" s="63" t="e">
        <f>IF(SAISIE!#REF!="","",SAISIE!F66)</f>
        <v>#REF!</v>
      </c>
      <c r="F903" s="70" t="e">
        <f>IF(SAISIE!#REF!="","",IF(SAISIE!$N66="","",SAISIE!$N66))</f>
        <v>#REF!</v>
      </c>
      <c r="G903" s="63" t="e">
        <f>IF(SAISIE!#REF!="","",SAISIE!#REF!)</f>
        <v>#REF!</v>
      </c>
      <c r="H903" s="63"/>
      <c r="I903" s="63" t="e">
        <f>IF(SAISIE!#REF!="","",SAISIE!$Q66)</f>
        <v>#REF!</v>
      </c>
      <c r="J903" s="71" t="str">
        <f>IF(COUNTBLANK(SAISIE!$J$6:$M$6)=4,"",IF(SAISIE!#REF!="","",IF(SAISIE!J66&gt;0,SAISIE!$J$6,IF(SAISIE!K66&gt;0,SAISIE!$K$6,IF(SAISIE!L66&gt;0,SAISIE!$L$6,IF(SAISIE!M66&gt;0,SAISIE!$M$6,""))))))</f>
        <v/>
      </c>
      <c r="O903" s="59" t="s">
        <v>54</v>
      </c>
    </row>
    <row r="904" spans="1:15" x14ac:dyDescent="0.25">
      <c r="A904" s="63" t="e">
        <f>IF(AND(G904="",H904=""),"SUPPR",SAISIE!$B$3)</f>
        <v>#REF!</v>
      </c>
      <c r="B904" s="63" t="e">
        <f>IF(SAISIE!#REF!="","",IF(LEN(SAISIE!B66)=1,CONCATENATE("0",SAISIE!B66,"/",SAISIE!$B$4,"/",SAISIE!$B$5),CONCATENATE(SAISIE!B66,"/",SAISIE!$B$4,"/",SAISIE!$B$5)))</f>
        <v>#REF!</v>
      </c>
      <c r="C904" s="63" t="e">
        <f>IF(SAISIE!#REF!="","",SAISIE!#REF!)</f>
        <v>#REF!</v>
      </c>
      <c r="D904" s="63" t="e">
        <f>IF(SAISIE!#REF!="","",SAISIE!E66)</f>
        <v>#REF!</v>
      </c>
      <c r="E904" s="63" t="e">
        <f>IF(SAISIE!#REF!="","",SAISIE!F66)</f>
        <v>#REF!</v>
      </c>
      <c r="F904" s="70" t="e">
        <f>IF(SAISIE!#REF!="","",IF(SAISIE!$N66="","",SAISIE!$N66))</f>
        <v>#REF!</v>
      </c>
      <c r="G904" s="63" t="e">
        <f>IF(SAISIE!#REF!="","",SAISIE!#REF!)</f>
        <v>#REF!</v>
      </c>
      <c r="H904" s="63"/>
      <c r="I904" s="63" t="e">
        <f>IF(SAISIE!#REF!="","",SAISIE!$Q66)</f>
        <v>#REF!</v>
      </c>
      <c r="J904" s="71" t="str">
        <f>IF(COUNTBLANK(SAISIE!$J$6:$M$6)=4,"",IF(SAISIE!#REF!="","",IF(SAISIE!J66&gt;0,SAISIE!$J$6,IF(SAISIE!K66&gt;0,SAISIE!$K$6,IF(SAISIE!L66&gt;0,SAISIE!$L$6,IF(SAISIE!M66&gt;0,SAISIE!$M$6,""))))))</f>
        <v/>
      </c>
      <c r="O904" s="59" t="s">
        <v>55</v>
      </c>
    </row>
    <row r="905" spans="1:15" x14ac:dyDescent="0.25">
      <c r="A905" s="63" t="e">
        <f>IF(AND(G905="",H905=""),"SUPPR",SAISIE!$B$3)</f>
        <v>#REF!</v>
      </c>
      <c r="B905" s="63" t="e">
        <f>IF(SAISIE!#REF!="","",IF(LEN(SAISIE!B66)=1,CONCATENATE("0",SAISIE!B66,"/",SAISIE!$B$4,"/",SAISIE!$B$5),CONCATENATE(SAISIE!B66,"/",SAISIE!$B$4,"/",SAISIE!$B$5)))</f>
        <v>#REF!</v>
      </c>
      <c r="C905" s="63" t="e">
        <f>IF(SAISIE!#REF!="","",SAISIE!#REF!)</f>
        <v>#REF!</v>
      </c>
      <c r="D905" s="63" t="e">
        <f>IF(SAISIE!#REF!="","",SAISIE!E66)</f>
        <v>#REF!</v>
      </c>
      <c r="E905" s="63" t="e">
        <f>IF(SAISIE!#REF!="","",SAISIE!F66)</f>
        <v>#REF!</v>
      </c>
      <c r="F905" s="70" t="e">
        <f>IF(SAISIE!#REF!="","",IF(SAISIE!$N66="","",SAISIE!$N66))</f>
        <v>#REF!</v>
      </c>
      <c r="G905" s="63" t="e">
        <f>IF(SAISIE!#REF!="","",SAISIE!#REF!)</f>
        <v>#REF!</v>
      </c>
      <c r="H905" s="63"/>
      <c r="I905" s="63" t="e">
        <f>IF(SAISIE!#REF!="","",SAISIE!$Q66)</f>
        <v>#REF!</v>
      </c>
      <c r="J905" s="71" t="str">
        <f>IF(COUNTBLANK(SAISIE!$J$6:$M$6)=4,"",IF(SAISIE!#REF!="","",IF(SAISIE!J66&gt;0,SAISIE!$J$6,IF(SAISIE!K66&gt;0,SAISIE!$K$6,IF(SAISIE!L66&gt;0,SAISIE!$L$6,IF(SAISIE!M66&gt;0,SAISIE!$M$6,""))))))</f>
        <v/>
      </c>
      <c r="O905" s="59" t="s">
        <v>56</v>
      </c>
    </row>
    <row r="906" spans="1:15" x14ac:dyDescent="0.25">
      <c r="A906" s="63" t="e">
        <f>IF(AND(G906="",H906=""),"SUPPR",SAISIE!$B$3)</f>
        <v>#REF!</v>
      </c>
      <c r="B906" s="63" t="e">
        <f>IF(SAISIE!#REF!="","",IF(LEN(SAISIE!B66)=1,CONCATENATE("0",SAISIE!B66,"/",SAISIE!$B$4,"/",SAISIE!$B$5),CONCATENATE(SAISIE!B66,"/",SAISIE!$B$4,"/",SAISIE!$B$5)))</f>
        <v>#REF!</v>
      </c>
      <c r="C906" s="63" t="e">
        <f>IF(SAISIE!#REF!="","",SAISIE!#REF!)</f>
        <v>#REF!</v>
      </c>
      <c r="D906" s="63" t="e">
        <f>IF(SAISIE!#REF!="","",SAISIE!E66)</f>
        <v>#REF!</v>
      </c>
      <c r="E906" s="63" t="e">
        <f>IF(SAISIE!#REF!="","",SAISIE!F66)</f>
        <v>#REF!</v>
      </c>
      <c r="F906" s="70" t="e">
        <f>IF(SAISIE!#REF!="","",IF(SAISIE!$N66="","",SAISIE!$N66))</f>
        <v>#REF!</v>
      </c>
      <c r="G906" s="63" t="e">
        <f>IF(SAISIE!#REF!="","",SAISIE!#REF!)</f>
        <v>#REF!</v>
      </c>
      <c r="H906" s="63"/>
      <c r="I906" s="63" t="e">
        <f>IF(SAISIE!#REF!="","",SAISIE!$Q66)</f>
        <v>#REF!</v>
      </c>
      <c r="J906" s="71" t="str">
        <f>IF(COUNTBLANK(SAISIE!$J$6:$M$6)=4,"",IF(SAISIE!#REF!="","",IF(SAISIE!J66&gt;0,SAISIE!$J$6,IF(SAISIE!K66&gt;0,SAISIE!$K$6,IF(SAISIE!L66&gt;0,SAISIE!$L$6,IF(SAISIE!M66&gt;0,SAISIE!$M$6,""))))))</f>
        <v/>
      </c>
      <c r="O906" s="59" t="s">
        <v>57</v>
      </c>
    </row>
    <row r="907" spans="1:15" x14ac:dyDescent="0.25">
      <c r="A907" s="63" t="e">
        <f>IF(AND(G907="",H907=""),"SUPPR",SAISIE!$B$3)</f>
        <v>#REF!</v>
      </c>
      <c r="B907" s="63" t="e">
        <f>IF(SAISIE!#REF!="","",IF(LEN(SAISIE!B66)=1,CONCATENATE("0",SAISIE!B66,"/",SAISIE!$B$4,"/",SAISIE!$B$5),CONCATENATE(SAISIE!B66,"/",SAISIE!$B$4,"/",SAISIE!$B$5)))</f>
        <v>#REF!</v>
      </c>
      <c r="C907" s="63" t="e">
        <f>IF(SAISIE!#REF!="","",SAISIE!#REF!)</f>
        <v>#REF!</v>
      </c>
      <c r="D907" s="63" t="e">
        <f>IF(SAISIE!#REF!="","",SAISIE!E66)</f>
        <v>#REF!</v>
      </c>
      <c r="E907" s="63" t="e">
        <f>IF(SAISIE!#REF!="","",SAISIE!F66)</f>
        <v>#REF!</v>
      </c>
      <c r="F907" s="70" t="e">
        <f>IF(SAISIE!#REF!="","",IF(SAISIE!$N66="","",SAISIE!$N66))</f>
        <v>#REF!</v>
      </c>
      <c r="G907" s="63" t="e">
        <f>IF(SAISIE!#REF!="","",SAISIE!#REF!)</f>
        <v>#REF!</v>
      </c>
      <c r="H907" s="63"/>
      <c r="I907" s="63" t="e">
        <f>IF(SAISIE!#REF!="","",SAISIE!$Q66)</f>
        <v>#REF!</v>
      </c>
      <c r="J907" s="71" t="str">
        <f>IF(COUNTBLANK(SAISIE!$J$6:$M$6)=4,"",IF(SAISIE!#REF!="","",IF(SAISIE!J66&gt;0,SAISIE!$J$6,IF(SAISIE!K66&gt;0,SAISIE!$K$6,IF(SAISIE!L66&gt;0,SAISIE!$L$6,IF(SAISIE!M66&gt;0,SAISIE!$M$6,""))))))</f>
        <v/>
      </c>
      <c r="O907" s="59" t="s">
        <v>58</v>
      </c>
    </row>
    <row r="908" spans="1:15" x14ac:dyDescent="0.25">
      <c r="A908" s="63" t="e">
        <f>IF(AND(G908="",H908=""),"SUPPR",SAISIE!$B$3)</f>
        <v>#REF!</v>
      </c>
      <c r="B908" s="63" t="e">
        <f>IF(SAISIE!#REF!="","",IF(LEN(SAISIE!B66)=1,CONCATENATE("0",SAISIE!B66,"/",SAISIE!$B$4,"/",SAISIE!$B$5),CONCATENATE(SAISIE!B66,"/",SAISIE!$B$4,"/",SAISIE!$B$5)))</f>
        <v>#REF!</v>
      </c>
      <c r="C908" s="63" t="e">
        <f>IF(SAISIE!#REF!="","",SAISIE!#REF!)</f>
        <v>#REF!</v>
      </c>
      <c r="D908" s="63" t="e">
        <f>IF(SAISIE!#REF!="","",SAISIE!E66)</f>
        <v>#REF!</v>
      </c>
      <c r="E908" s="63" t="e">
        <f>IF(SAISIE!#REF!="","",SAISIE!F66)</f>
        <v>#REF!</v>
      </c>
      <c r="F908" s="70" t="e">
        <f>IF(SAISIE!#REF!="","",IF(SAISIE!$N66="","",SAISIE!$N66))</f>
        <v>#REF!</v>
      </c>
      <c r="G908" s="63" t="e">
        <f>IF(SAISIE!#REF!="","",SAISIE!#REF!)</f>
        <v>#REF!</v>
      </c>
      <c r="H908" s="63"/>
      <c r="I908" s="63" t="e">
        <f>IF(SAISIE!#REF!="","",SAISIE!$Q66)</f>
        <v>#REF!</v>
      </c>
      <c r="J908" s="71" t="str">
        <f>IF(COUNTBLANK(SAISIE!$J$6:$M$6)=4,"",IF(SAISIE!#REF!="","",IF(SAISIE!J66&gt;0,SAISIE!$J$6,IF(SAISIE!K66&gt;0,SAISIE!$K$6,IF(SAISIE!L66&gt;0,SAISIE!$L$6,IF(SAISIE!M66&gt;0,SAISIE!$M$6,""))))))</f>
        <v/>
      </c>
      <c r="O908" s="59" t="s">
        <v>59</v>
      </c>
    </row>
    <row r="909" spans="1:15" x14ac:dyDescent="0.25">
      <c r="A909" s="63" t="e">
        <f>IF(AND(G909="",H909=""),"SUPPR",SAISIE!$B$3)</f>
        <v>#REF!</v>
      </c>
      <c r="B909" s="63" t="e">
        <f>IF(SAISIE!#REF!="","",IF(LEN(SAISIE!B66)=1,CONCATENATE("0",SAISIE!B66,"/",SAISIE!$B$4,"/",SAISIE!$B$5),CONCATENATE(SAISIE!B66,"/",SAISIE!$B$4,"/",SAISIE!$B$5)))</f>
        <v>#REF!</v>
      </c>
      <c r="C909" s="63" t="e">
        <f>IF(SAISIE!#REF!="","",SAISIE!#REF!)</f>
        <v>#REF!</v>
      </c>
      <c r="D909" s="63" t="e">
        <f>IF(SAISIE!#REF!="","",SAISIE!E66)</f>
        <v>#REF!</v>
      </c>
      <c r="E909" s="63" t="e">
        <f>IF(SAISIE!#REF!="","",SAISIE!F66)</f>
        <v>#REF!</v>
      </c>
      <c r="F909" s="70" t="e">
        <f>IF(SAISIE!#REF!="","",IF(SAISIE!$N66="","",SAISIE!$N66))</f>
        <v>#REF!</v>
      </c>
      <c r="G909" s="63" t="e">
        <f>IF(SAISIE!#REF!="","",SAISIE!#REF!)</f>
        <v>#REF!</v>
      </c>
      <c r="H909" s="63"/>
      <c r="I909" s="63" t="e">
        <f>IF(SAISIE!#REF!="","",SAISIE!$Q66)</f>
        <v>#REF!</v>
      </c>
      <c r="J909" s="71" t="str">
        <f>IF(COUNTBLANK(SAISIE!$J$6:$M$6)=4,"",IF(SAISIE!#REF!="","",IF(SAISIE!J66&gt;0,SAISIE!$J$6,IF(SAISIE!K66&gt;0,SAISIE!$K$6,IF(SAISIE!L66&gt;0,SAISIE!$L$6,IF(SAISIE!M66&gt;0,SAISIE!$M$6,""))))))</f>
        <v/>
      </c>
      <c r="O909" s="59" t="s">
        <v>60</v>
      </c>
    </row>
    <row r="910" spans="1:15" x14ac:dyDescent="0.25">
      <c r="A910" s="63" t="str">
        <f>IF(AND(G910="",H910=""),"SUPPR",SAISIE!$B$3)</f>
        <v>SUPPR</v>
      </c>
      <c r="B910" s="63" t="str">
        <f>IF(SAISIE!J66="","",IF(LEN(SAISIE!B66)=1,CONCATENATE("0",SAISIE!B66,"/",SAISIE!$B$4,"/",SAISIE!$B$5),CONCATENATE(SAISIE!B66,"/",SAISIE!$B$4,"/",SAISIE!$B$5)))</f>
        <v/>
      </c>
      <c r="C910" s="63" t="str">
        <f>IF(SAISIE!J66="","",SAISIE!$J$8)</f>
        <v/>
      </c>
      <c r="D910" s="63" t="str">
        <f>IF(SAISIE!J66="","",SAISIE!E66)</f>
        <v/>
      </c>
      <c r="E910" s="63" t="str">
        <f>IF(SAISIE!J66="","",SAISIE!F66)</f>
        <v/>
      </c>
      <c r="F910" s="70" t="str">
        <f>IF(SAISIE!$J66="","",IF(SAISIE!$N66="","",SAISIE!$N66))</f>
        <v/>
      </c>
      <c r="G910" s="63" t="str">
        <f>IF(SAISIE!J66="","",SAISIE!J66)</f>
        <v/>
      </c>
      <c r="H910" s="63"/>
      <c r="I910" s="72"/>
      <c r="J910" s="71"/>
      <c r="O910" s="73"/>
    </row>
    <row r="911" spans="1:15" x14ac:dyDescent="0.25">
      <c r="A911" s="63" t="str">
        <f>IF(AND(G911="",H911=""),"SUPPR",SAISIE!$B$3)</f>
        <v>SUPPR</v>
      </c>
      <c r="B911" s="63" t="str">
        <f>IF(SAISIE!K66="","",IF(LEN(SAISIE!B66)=1,CONCATENATE("0",SAISIE!B66,"/",SAISIE!$B$4,"/",SAISIE!$B$5),CONCATENATE(SAISIE!B66,"/",SAISIE!$B$4,"/",SAISIE!$B$5)))</f>
        <v/>
      </c>
      <c r="C911" s="63" t="str">
        <f>IF(SAISIE!K66="","",SAISIE!$K$8)</f>
        <v/>
      </c>
      <c r="D911" s="63" t="str">
        <f>IF(SAISIE!K66="","",SAISIE!E66)</f>
        <v/>
      </c>
      <c r="E911" s="63" t="str">
        <f>IF(SAISIE!K66="","",SAISIE!F66)</f>
        <v/>
      </c>
      <c r="F911" s="70" t="str">
        <f>IF(SAISIE!$K66="","",IF(SAISIE!$N66="","",SAISIE!$N66))</f>
        <v/>
      </c>
      <c r="G911" s="63" t="str">
        <f>IF(SAISIE!K66="","",SAISIE!K66)</f>
        <v/>
      </c>
      <c r="H911" s="63"/>
      <c r="I911" s="72"/>
      <c r="J911" s="71"/>
    </row>
    <row r="912" spans="1:15" x14ac:dyDescent="0.25">
      <c r="A912" s="63" t="str">
        <f>IF(AND(G912="",H912=""),"SUPPR",SAISIE!$B$3)</f>
        <v>SUPPR</v>
      </c>
      <c r="B912" s="63" t="str">
        <f>IF(SAISIE!L66="","",IF(LEN(SAISIE!B66)=1,CONCATENATE("0",SAISIE!B66,"/",SAISIE!$B$4,"/",SAISIE!$B$5),CONCATENATE(SAISIE!B66,"/",SAISIE!$B$4,"/",SAISIE!$B$5)))</f>
        <v/>
      </c>
      <c r="C912" s="63" t="str">
        <f>IF(SAISIE!L66="","",SAISIE!$L$8)</f>
        <v/>
      </c>
      <c r="D912" s="63" t="str">
        <f>IF(SAISIE!L66="","",SAISIE!E66)</f>
        <v/>
      </c>
      <c r="E912" s="63" t="str">
        <f>IF(SAISIE!L66="","",SAISIE!F66)</f>
        <v/>
      </c>
      <c r="F912" s="70" t="str">
        <f>IF(SAISIE!$L66="","",IF(SAISIE!$N66="","",SAISIE!$N66))</f>
        <v/>
      </c>
      <c r="G912" s="63" t="str">
        <f>IF(SAISIE!L66="","",SAISIE!L66)</f>
        <v/>
      </c>
      <c r="H912" s="63"/>
      <c r="I912" s="72"/>
      <c r="J912" s="71"/>
    </row>
    <row r="913" spans="1:15" x14ac:dyDescent="0.25">
      <c r="A913" s="63" t="str">
        <f>IF(AND(G913="",H913=""),"SUPPR",SAISIE!$B$3)</f>
        <v>SUPPR</v>
      </c>
      <c r="B913" s="63" t="str">
        <f>IF(SAISIE!M66="","",IF(LEN(SAISIE!B66)=1,CONCATENATE("0",SAISIE!B66,"/",SAISIE!$B$4,"/",SAISIE!$B$5),CONCATENATE(SAISIE!B66,"/",SAISIE!$B$4,"/",SAISIE!$B$5)))</f>
        <v/>
      </c>
      <c r="C913" s="74" t="str">
        <f>IF(SAISIE!M66="","",SAISIE!$M$8)</f>
        <v/>
      </c>
      <c r="D913" s="74" t="str">
        <f>IF(SAISIE!M66="","",SAISIE!E66)</f>
        <v/>
      </c>
      <c r="E913" s="74" t="str">
        <f>IF(SAISIE!M66="","",SAISIE!F66)</f>
        <v/>
      </c>
      <c r="F913" s="75" t="str">
        <f>IF(SAISIE!$M66="","",IF(SAISIE!$N66="","",SAISIE!$N66))</f>
        <v/>
      </c>
      <c r="G913" s="74" t="str">
        <f>IF(SAISIE!M66="","",SAISIE!M66)</f>
        <v/>
      </c>
      <c r="H913" s="76"/>
      <c r="I913" s="77"/>
      <c r="J913" s="78"/>
    </row>
    <row r="914" spans="1:15" x14ac:dyDescent="0.25">
      <c r="A914" s="63" t="str">
        <f>IF(AND(G914="",H914=""),"SUPPR",SAISIE!$B$3)</f>
        <v>SUPPR</v>
      </c>
      <c r="B914" s="64" t="str">
        <f>IF(SAISIE!B67="","",IF(LEN(SAISIE!B67)=1,CONCATENATE("0",SAISIE!B67,"/",SAISIE!$B$4,"/",SAISIE!$B$5),CONCATENATE(SAISIE!B67,"/",SAISIE!$B$4,"/",SAISIE!$B$5)))</f>
        <v/>
      </c>
      <c r="C914" s="64" t="str">
        <f>IF(SAISIE!B67="","",CONCATENATE($M$2,SAISIE!C67))</f>
        <v/>
      </c>
      <c r="D914" s="64" t="str">
        <f>IF(SAISIE!B67="","",SAISIE!E67)</f>
        <v/>
      </c>
      <c r="E914" s="64" t="str">
        <f>IF(SAISIE!B67="","",SAISIE!F67)</f>
        <v/>
      </c>
      <c r="F914" s="65" t="str">
        <f>IF(A914="SUPPR","",IF(SAISIE!$N67="","",SAISIE!$N67))</f>
        <v/>
      </c>
      <c r="G914" s="64"/>
      <c r="H914" s="64" t="str">
        <f>IF(SAISIE!B67="","",SAISIE!D67)</f>
        <v/>
      </c>
      <c r="I914" s="66"/>
      <c r="J914" s="67" t="str">
        <f>IF(AZ67="","","")</f>
        <v/>
      </c>
      <c r="O914" s="69">
        <f>O898+1</f>
        <v>67</v>
      </c>
    </row>
    <row r="915" spans="1:15" x14ac:dyDescent="0.25">
      <c r="A915" s="63" t="str">
        <f>IF(AND(G915="",H915=""),"SUPPR",SAISIE!$B$3)</f>
        <v>SUPPR</v>
      </c>
      <c r="B915" s="63" t="str">
        <f>IF(SAISIE!P67="","",IF(LEN(SAISIE!B67)=1,CONCATENATE("0",SAISIE!B67,"/",SAISIE!$B$4,"/",SAISIE!$B$5),CONCATENATE(SAISIE!B67,"/",SAISIE!$B$4,"/",SAISIE!$B$5)))</f>
        <v/>
      </c>
      <c r="C915" s="63" t="str">
        <f>IF(SAISIE!P67="","",SAISIE!O67)</f>
        <v/>
      </c>
      <c r="D915" s="63" t="str">
        <f>IF(SAISIE!P67="","",SAISIE!E67)</f>
        <v/>
      </c>
      <c r="E915" s="63" t="str">
        <f>IF(SAISIE!P67="","",SAISIE!F67)</f>
        <v/>
      </c>
      <c r="F915" s="70" t="str">
        <f>IF(SAISIE!$P67="","",IF(SAISIE!$N67="","",SAISIE!$N67))</f>
        <v/>
      </c>
      <c r="G915" s="63" t="str">
        <f>IF(SAISIE!P67="","",SAISIE!P67)</f>
        <v/>
      </c>
      <c r="H915" s="63"/>
      <c r="I915" s="63" t="str">
        <f>IF(SAISIE!$P67="","",SAISIE!$Q67)</f>
        <v/>
      </c>
      <c r="J915" s="71" t="str">
        <f>IF(COUNTBLANK(SAISIE!$J$6:$M$6)=4,"",IF(SAISIE!P67="","",IF(SAISIE!J67&gt;0,SAISIE!$J$6,IF(SAISIE!K67&gt;0,SAISIE!$K$6,IF(SAISIE!L67&gt;0,SAISIE!$L$6,IF(SAISIE!M67&gt;0,SAISIE!$M$6,""))))))</f>
        <v/>
      </c>
      <c r="O915" s="59" t="s">
        <v>50</v>
      </c>
    </row>
    <row r="916" spans="1:15" x14ac:dyDescent="0.25">
      <c r="A916" s="63" t="str">
        <f>IF(AND(G916="",H916=""),"SUPPR",SAISIE!$B$3)</f>
        <v>SUPPR</v>
      </c>
      <c r="B916" s="63" t="str">
        <f>IF(SAISIE!G67="","",IF(LEN(SAISIE!B67)=1,CONCATENATE("0",SAISIE!B67,"/",SAISIE!$B$4,"/",SAISIE!$B$5),CONCATENATE(SAISIE!B67,"/",SAISIE!$B$4,"/",SAISIE!$B$5)))</f>
        <v/>
      </c>
      <c r="C916" s="63" t="str">
        <f>IF(SAISIE!G67="","",SAISIE!$G$8)</f>
        <v/>
      </c>
      <c r="D916" s="63" t="str">
        <f>IF(SAISIE!G67="","",SAISIE!E67)</f>
        <v/>
      </c>
      <c r="E916" s="63" t="str">
        <f>IF(SAISIE!G67="","",SAISIE!F67)</f>
        <v/>
      </c>
      <c r="F916" s="70" t="str">
        <f>IF(SAISIE!$G67="","",IF(SAISIE!$N67="","",SAISIE!$N67))</f>
        <v/>
      </c>
      <c r="G916" s="63" t="str">
        <f>IF(SAISIE!G67="","",SAISIE!G67)</f>
        <v/>
      </c>
      <c r="H916" s="63"/>
      <c r="I916" s="63" t="str">
        <f>IF(SAISIE!$G67="","",SAISIE!$Q67)</f>
        <v/>
      </c>
      <c r="J916" s="71" t="str">
        <f>IF(COUNTBLANK(SAISIE!$J$6:$M$6)=4,"",IF(SAISIE!G67="","",IF(SAISIE!J67&gt;0,SAISIE!$J$6,IF(SAISIE!K67&gt;0,SAISIE!$K$6,IF(SAISIE!L67&gt;0,SAISIE!$L$6,IF(SAISIE!M67&gt;0,SAISIE!$M$6,""))))))</f>
        <v/>
      </c>
      <c r="O916" s="59" t="s">
        <v>51</v>
      </c>
    </row>
    <row r="917" spans="1:15" x14ac:dyDescent="0.25">
      <c r="A917" s="63" t="str">
        <f>IF(AND(G917="",H917=""),"SUPPR",SAISIE!$B$3)</f>
        <v>SUPPR</v>
      </c>
      <c r="B917" s="63" t="str">
        <f>IF(SAISIE!H67="","",IF(LEN(SAISIE!B67)=1,CONCATENATE("0",SAISIE!B67,"/",SAISIE!$B$4,"/",SAISIE!$B$5),CONCATENATE(SAISIE!B67,"/",SAISIE!$B$4,"/",SAISIE!$B$5)))</f>
        <v/>
      </c>
      <c r="C917" s="63" t="str">
        <f>IF(SAISIE!H67="","",SAISIE!$H$8)</f>
        <v/>
      </c>
      <c r="D917" s="63" t="str">
        <f>IF(SAISIE!H67="","",SAISIE!E67)</f>
        <v/>
      </c>
      <c r="E917" s="63" t="str">
        <f>IF(SAISIE!H67="","",SAISIE!F67)</f>
        <v/>
      </c>
      <c r="F917" s="70" t="str">
        <f>IF(SAISIE!$H67="","",IF(SAISIE!$N67="","",SAISIE!$N67))</f>
        <v/>
      </c>
      <c r="G917" s="63" t="str">
        <f>IF(SAISIE!H67="","",SAISIE!H67)</f>
        <v/>
      </c>
      <c r="H917" s="63"/>
      <c r="I917" s="63" t="str">
        <f>IF(SAISIE!$H67="","",SAISIE!$Q67)</f>
        <v/>
      </c>
      <c r="J917" s="71" t="str">
        <f>IF(COUNTBLANK(SAISIE!$J$6:$M$6)=4,"",IF(SAISIE!H67="","",IF(SAISIE!J67&gt;0,SAISIE!$J$6,IF(SAISIE!K67&gt;0,SAISIE!$K$6,IF(SAISIE!L67&gt;0,SAISIE!$L$6,IF(SAISIE!M67&gt;0,SAISIE!$M$6,""))))))</f>
        <v/>
      </c>
      <c r="O917" s="59" t="s">
        <v>52</v>
      </c>
    </row>
    <row r="918" spans="1:15" x14ac:dyDescent="0.25">
      <c r="A918" s="63" t="str">
        <f>IF(AND(G918="",H918=""),"SUPPR",SAISIE!$B$3)</f>
        <v>SUPPR</v>
      </c>
      <c r="B918" s="63" t="str">
        <f>IF(SAISIE!I67="","",IF(LEN(SAISIE!B67)=1,CONCATENATE("0",SAISIE!B67,"/",SAISIE!$B$4,"/",SAISIE!$B$5),CONCATENATE(SAISIE!B67,"/",SAISIE!$B$4,"/",SAISIE!$B$5)))</f>
        <v/>
      </c>
      <c r="C918" s="63" t="str">
        <f>IF(SAISIE!I67="","",SAISIE!$I$8)</f>
        <v/>
      </c>
      <c r="D918" s="63" t="str">
        <f>IF(SAISIE!I67="","",SAISIE!E67)</f>
        <v/>
      </c>
      <c r="E918" s="63" t="str">
        <f>IF(SAISIE!I67="","",SAISIE!F67)</f>
        <v/>
      </c>
      <c r="F918" s="70" t="str">
        <f>IF(SAISIE!$I67="","",IF(SAISIE!$N67="","",SAISIE!$N67))</f>
        <v/>
      </c>
      <c r="G918" s="63" t="str">
        <f>IF(SAISIE!I67="","",SAISIE!I67)</f>
        <v/>
      </c>
      <c r="H918" s="63"/>
      <c r="I918" s="63" t="str">
        <f>IF(SAISIE!$I67="","",SAISIE!$Q67)</f>
        <v/>
      </c>
      <c r="J918" s="71" t="str">
        <f>IF(COUNTBLANK(SAISIE!$J$6:$M$6)=4,"",IF(SAISIE!I67="","",IF(SAISIE!J67&gt;0,SAISIE!$J$6,IF(SAISIE!K67&gt;0,SAISIE!$K$6,IF(SAISIE!L67&gt;0,SAISIE!$L$6,IF(SAISIE!M67&gt;0,SAISIE!$M$6,""))))))</f>
        <v/>
      </c>
      <c r="O918" s="59" t="s">
        <v>53</v>
      </c>
    </row>
    <row r="919" spans="1:15" x14ac:dyDescent="0.25">
      <c r="A919" s="63" t="e">
        <f>IF(AND(G919="",H919=""),"SUPPR",SAISIE!$B$3)</f>
        <v>#REF!</v>
      </c>
      <c r="B919" s="63" t="e">
        <f>IF(SAISIE!#REF!="","",IF(LEN(SAISIE!B67)=1,CONCATENATE("0",SAISIE!B67,"/",SAISIE!$B$4,"/",SAISIE!$B$5),CONCATENATE(SAISIE!B67,"/",SAISIE!$B$4,"/",SAISIE!$B$5)))</f>
        <v>#REF!</v>
      </c>
      <c r="C919" s="63" t="e">
        <f>IF(SAISIE!#REF!="","",SAISIE!#REF!)</f>
        <v>#REF!</v>
      </c>
      <c r="D919" s="63" t="e">
        <f>IF(SAISIE!#REF!="","",SAISIE!E67)</f>
        <v>#REF!</v>
      </c>
      <c r="E919" s="63" t="e">
        <f>IF(SAISIE!#REF!="","",SAISIE!F67)</f>
        <v>#REF!</v>
      </c>
      <c r="F919" s="70" t="e">
        <f>IF(SAISIE!#REF!="","",IF(SAISIE!$N67="","",SAISIE!$N67))</f>
        <v>#REF!</v>
      </c>
      <c r="G919" s="63" t="e">
        <f>IF(SAISIE!#REF!="","",SAISIE!#REF!)</f>
        <v>#REF!</v>
      </c>
      <c r="H919" s="63"/>
      <c r="I919" s="63" t="e">
        <f>IF(SAISIE!#REF!="","",SAISIE!$Q67)</f>
        <v>#REF!</v>
      </c>
      <c r="J919" s="71" t="str">
        <f>IF(COUNTBLANK(SAISIE!$J$6:$M$6)=4,"",IF(SAISIE!#REF!="","",IF(SAISIE!J67&gt;0,SAISIE!$J$6,IF(SAISIE!K67&gt;0,SAISIE!$K$6,IF(SAISIE!L67&gt;0,SAISIE!$L$6,IF(SAISIE!M67&gt;0,SAISIE!$M$6,""))))))</f>
        <v/>
      </c>
      <c r="O919" s="59" t="s">
        <v>54</v>
      </c>
    </row>
    <row r="920" spans="1:15" x14ac:dyDescent="0.25">
      <c r="A920" s="63" t="e">
        <f>IF(AND(G920="",H920=""),"SUPPR",SAISIE!$B$3)</f>
        <v>#REF!</v>
      </c>
      <c r="B920" s="63" t="e">
        <f>IF(SAISIE!#REF!="","",IF(LEN(SAISIE!B67)=1,CONCATENATE("0",SAISIE!B67,"/",SAISIE!$B$4,"/",SAISIE!$B$5),CONCATENATE(SAISIE!B67,"/",SAISIE!$B$4,"/",SAISIE!$B$5)))</f>
        <v>#REF!</v>
      </c>
      <c r="C920" s="63" t="e">
        <f>IF(SAISIE!#REF!="","",SAISIE!#REF!)</f>
        <v>#REF!</v>
      </c>
      <c r="D920" s="63" t="e">
        <f>IF(SAISIE!#REF!="","",SAISIE!E67)</f>
        <v>#REF!</v>
      </c>
      <c r="E920" s="63" t="e">
        <f>IF(SAISIE!#REF!="","",SAISIE!F67)</f>
        <v>#REF!</v>
      </c>
      <c r="F920" s="70" t="e">
        <f>IF(SAISIE!#REF!="","",IF(SAISIE!$N67="","",SAISIE!$N67))</f>
        <v>#REF!</v>
      </c>
      <c r="G920" s="63" t="e">
        <f>IF(SAISIE!#REF!="","",SAISIE!#REF!)</f>
        <v>#REF!</v>
      </c>
      <c r="H920" s="63"/>
      <c r="I920" s="63" t="e">
        <f>IF(SAISIE!#REF!="","",SAISIE!$Q67)</f>
        <v>#REF!</v>
      </c>
      <c r="J920" s="71" t="str">
        <f>IF(COUNTBLANK(SAISIE!$J$6:$M$6)=4,"",IF(SAISIE!#REF!="","",IF(SAISIE!J67&gt;0,SAISIE!$J$6,IF(SAISIE!K67&gt;0,SAISIE!$K$6,IF(SAISIE!L67&gt;0,SAISIE!$L$6,IF(SAISIE!M67&gt;0,SAISIE!$M$6,""))))))</f>
        <v/>
      </c>
      <c r="O920" s="59" t="s">
        <v>55</v>
      </c>
    </row>
    <row r="921" spans="1:15" x14ac:dyDescent="0.25">
      <c r="A921" s="63" t="e">
        <f>IF(AND(G921="",H921=""),"SUPPR",SAISIE!$B$3)</f>
        <v>#REF!</v>
      </c>
      <c r="B921" s="63" t="e">
        <f>IF(SAISIE!#REF!="","",IF(LEN(SAISIE!B67)=1,CONCATENATE("0",SAISIE!B67,"/",SAISIE!$B$4,"/",SAISIE!$B$5),CONCATENATE(SAISIE!B67,"/",SAISIE!$B$4,"/",SAISIE!$B$5)))</f>
        <v>#REF!</v>
      </c>
      <c r="C921" s="63" t="e">
        <f>IF(SAISIE!#REF!="","",SAISIE!#REF!)</f>
        <v>#REF!</v>
      </c>
      <c r="D921" s="63" t="e">
        <f>IF(SAISIE!#REF!="","",SAISIE!E67)</f>
        <v>#REF!</v>
      </c>
      <c r="E921" s="63" t="e">
        <f>IF(SAISIE!#REF!="","",SAISIE!F67)</f>
        <v>#REF!</v>
      </c>
      <c r="F921" s="70" t="e">
        <f>IF(SAISIE!#REF!="","",IF(SAISIE!$N67="","",SAISIE!$N67))</f>
        <v>#REF!</v>
      </c>
      <c r="G921" s="63" t="e">
        <f>IF(SAISIE!#REF!="","",SAISIE!#REF!)</f>
        <v>#REF!</v>
      </c>
      <c r="H921" s="63"/>
      <c r="I921" s="63" t="e">
        <f>IF(SAISIE!#REF!="","",SAISIE!$Q67)</f>
        <v>#REF!</v>
      </c>
      <c r="J921" s="71" t="str">
        <f>IF(COUNTBLANK(SAISIE!$J$6:$M$6)=4,"",IF(SAISIE!#REF!="","",IF(SAISIE!J67&gt;0,SAISIE!$J$6,IF(SAISIE!K67&gt;0,SAISIE!$K$6,IF(SAISIE!L67&gt;0,SAISIE!$L$6,IF(SAISIE!M67&gt;0,SAISIE!$M$6,""))))))</f>
        <v/>
      </c>
      <c r="O921" s="59" t="s">
        <v>56</v>
      </c>
    </row>
    <row r="922" spans="1:15" x14ac:dyDescent="0.25">
      <c r="A922" s="63" t="e">
        <f>IF(AND(G922="",H922=""),"SUPPR",SAISIE!$B$3)</f>
        <v>#REF!</v>
      </c>
      <c r="B922" s="63" t="e">
        <f>IF(SAISIE!#REF!="","",IF(LEN(SAISIE!B67)=1,CONCATENATE("0",SAISIE!B67,"/",SAISIE!$B$4,"/",SAISIE!$B$5),CONCATENATE(SAISIE!B67,"/",SAISIE!$B$4,"/",SAISIE!$B$5)))</f>
        <v>#REF!</v>
      </c>
      <c r="C922" s="63" t="e">
        <f>IF(SAISIE!#REF!="","",SAISIE!#REF!)</f>
        <v>#REF!</v>
      </c>
      <c r="D922" s="63" t="e">
        <f>IF(SAISIE!#REF!="","",SAISIE!E67)</f>
        <v>#REF!</v>
      </c>
      <c r="E922" s="63" t="e">
        <f>IF(SAISIE!#REF!="","",SAISIE!F67)</f>
        <v>#REF!</v>
      </c>
      <c r="F922" s="70" t="e">
        <f>IF(SAISIE!#REF!="","",IF(SAISIE!$N67="","",SAISIE!$N67))</f>
        <v>#REF!</v>
      </c>
      <c r="G922" s="63" t="e">
        <f>IF(SAISIE!#REF!="","",SAISIE!#REF!)</f>
        <v>#REF!</v>
      </c>
      <c r="H922" s="63"/>
      <c r="I922" s="63" t="e">
        <f>IF(SAISIE!#REF!="","",SAISIE!$Q67)</f>
        <v>#REF!</v>
      </c>
      <c r="J922" s="71" t="str">
        <f>IF(COUNTBLANK(SAISIE!$J$6:$M$6)=4,"",IF(SAISIE!#REF!="","",IF(SAISIE!J67&gt;0,SAISIE!$J$6,IF(SAISIE!K67&gt;0,SAISIE!$K$6,IF(SAISIE!L67&gt;0,SAISIE!$L$6,IF(SAISIE!M67&gt;0,SAISIE!$M$6,""))))))</f>
        <v/>
      </c>
      <c r="O922" s="59" t="s">
        <v>57</v>
      </c>
    </row>
    <row r="923" spans="1:15" x14ac:dyDescent="0.25">
      <c r="A923" s="63" t="e">
        <f>IF(AND(G923="",H923=""),"SUPPR",SAISIE!$B$3)</f>
        <v>#REF!</v>
      </c>
      <c r="B923" s="63" t="e">
        <f>IF(SAISIE!#REF!="","",IF(LEN(SAISIE!B67)=1,CONCATENATE("0",SAISIE!B67,"/",SAISIE!$B$4,"/",SAISIE!$B$5),CONCATENATE(SAISIE!B67,"/",SAISIE!$B$4,"/",SAISIE!$B$5)))</f>
        <v>#REF!</v>
      </c>
      <c r="C923" s="63" t="e">
        <f>IF(SAISIE!#REF!="","",SAISIE!#REF!)</f>
        <v>#REF!</v>
      </c>
      <c r="D923" s="63" t="e">
        <f>IF(SAISIE!#REF!="","",SAISIE!E67)</f>
        <v>#REF!</v>
      </c>
      <c r="E923" s="63" t="e">
        <f>IF(SAISIE!#REF!="","",SAISIE!F67)</f>
        <v>#REF!</v>
      </c>
      <c r="F923" s="70" t="e">
        <f>IF(SAISIE!#REF!="","",IF(SAISIE!$N67="","",SAISIE!$N67))</f>
        <v>#REF!</v>
      </c>
      <c r="G923" s="63" t="e">
        <f>IF(SAISIE!#REF!="","",SAISIE!#REF!)</f>
        <v>#REF!</v>
      </c>
      <c r="H923" s="63"/>
      <c r="I923" s="63" t="e">
        <f>IF(SAISIE!#REF!="","",SAISIE!$Q67)</f>
        <v>#REF!</v>
      </c>
      <c r="J923" s="71" t="str">
        <f>IF(COUNTBLANK(SAISIE!$J$6:$M$6)=4,"",IF(SAISIE!#REF!="","",IF(SAISIE!J67&gt;0,SAISIE!$J$6,IF(SAISIE!K67&gt;0,SAISIE!$K$6,IF(SAISIE!L67&gt;0,SAISIE!$L$6,IF(SAISIE!M67&gt;0,SAISIE!$M$6,""))))))</f>
        <v/>
      </c>
      <c r="O923" s="59" t="s">
        <v>58</v>
      </c>
    </row>
    <row r="924" spans="1:15" x14ac:dyDescent="0.25">
      <c r="A924" s="63" t="e">
        <f>IF(AND(G924="",H924=""),"SUPPR",SAISIE!$B$3)</f>
        <v>#REF!</v>
      </c>
      <c r="B924" s="63" t="e">
        <f>IF(SAISIE!#REF!="","",IF(LEN(SAISIE!B67)=1,CONCATENATE("0",SAISIE!B67,"/",SAISIE!$B$4,"/",SAISIE!$B$5),CONCATENATE(SAISIE!B67,"/",SAISIE!$B$4,"/",SAISIE!$B$5)))</f>
        <v>#REF!</v>
      </c>
      <c r="C924" s="63" t="e">
        <f>IF(SAISIE!#REF!="","",SAISIE!#REF!)</f>
        <v>#REF!</v>
      </c>
      <c r="D924" s="63" t="e">
        <f>IF(SAISIE!#REF!="","",SAISIE!E67)</f>
        <v>#REF!</v>
      </c>
      <c r="E924" s="63" t="e">
        <f>IF(SAISIE!#REF!="","",SAISIE!F67)</f>
        <v>#REF!</v>
      </c>
      <c r="F924" s="70" t="e">
        <f>IF(SAISIE!#REF!="","",IF(SAISIE!$N67="","",SAISIE!$N67))</f>
        <v>#REF!</v>
      </c>
      <c r="G924" s="63" t="e">
        <f>IF(SAISIE!#REF!="","",SAISIE!#REF!)</f>
        <v>#REF!</v>
      </c>
      <c r="H924" s="63"/>
      <c r="I924" s="63" t="e">
        <f>IF(SAISIE!#REF!="","",SAISIE!$Q67)</f>
        <v>#REF!</v>
      </c>
      <c r="J924" s="71" t="str">
        <f>IF(COUNTBLANK(SAISIE!$J$6:$M$6)=4,"",IF(SAISIE!#REF!="","",IF(SAISIE!J67&gt;0,SAISIE!$J$6,IF(SAISIE!K67&gt;0,SAISIE!$K$6,IF(SAISIE!L67&gt;0,SAISIE!$L$6,IF(SAISIE!M67&gt;0,SAISIE!$M$6,""))))))</f>
        <v/>
      </c>
      <c r="O924" s="59" t="s">
        <v>59</v>
      </c>
    </row>
    <row r="925" spans="1:15" x14ac:dyDescent="0.25">
      <c r="A925" s="63" t="e">
        <f>IF(AND(G925="",H925=""),"SUPPR",SAISIE!$B$3)</f>
        <v>#REF!</v>
      </c>
      <c r="B925" s="63" t="e">
        <f>IF(SAISIE!#REF!="","",IF(LEN(SAISIE!B67)=1,CONCATENATE("0",SAISIE!B67,"/",SAISIE!$B$4,"/",SAISIE!$B$5),CONCATENATE(SAISIE!B67,"/",SAISIE!$B$4,"/",SAISIE!$B$5)))</f>
        <v>#REF!</v>
      </c>
      <c r="C925" s="63" t="e">
        <f>IF(SAISIE!#REF!="","",SAISIE!#REF!)</f>
        <v>#REF!</v>
      </c>
      <c r="D925" s="63" t="e">
        <f>IF(SAISIE!#REF!="","",SAISIE!E67)</f>
        <v>#REF!</v>
      </c>
      <c r="E925" s="63" t="e">
        <f>IF(SAISIE!#REF!="","",SAISIE!F67)</f>
        <v>#REF!</v>
      </c>
      <c r="F925" s="70" t="e">
        <f>IF(SAISIE!#REF!="","",IF(SAISIE!$N67="","",SAISIE!$N67))</f>
        <v>#REF!</v>
      </c>
      <c r="G925" s="63" t="e">
        <f>IF(SAISIE!#REF!="","",SAISIE!#REF!)</f>
        <v>#REF!</v>
      </c>
      <c r="H925" s="63"/>
      <c r="I925" s="63" t="e">
        <f>IF(SAISIE!#REF!="","",SAISIE!$Q67)</f>
        <v>#REF!</v>
      </c>
      <c r="J925" s="71" t="str">
        <f>IF(COUNTBLANK(SAISIE!$J$6:$M$6)=4,"",IF(SAISIE!#REF!="","",IF(SAISIE!J67&gt;0,SAISIE!$J$6,IF(SAISIE!K67&gt;0,SAISIE!$K$6,IF(SAISIE!L67&gt;0,SAISIE!$L$6,IF(SAISIE!M67&gt;0,SAISIE!$M$6,""))))))</f>
        <v/>
      </c>
      <c r="O925" s="59" t="s">
        <v>60</v>
      </c>
    </row>
    <row r="926" spans="1:15" x14ac:dyDescent="0.25">
      <c r="A926" s="63" t="str">
        <f>IF(AND(G926="",H926=""),"SUPPR",SAISIE!$B$3)</f>
        <v>SUPPR</v>
      </c>
      <c r="B926" s="63" t="str">
        <f>IF(SAISIE!J67="","",IF(LEN(SAISIE!B67)=1,CONCATENATE("0",SAISIE!B67,"/",SAISIE!$B$4,"/",SAISIE!$B$5),CONCATENATE(SAISIE!B67,"/",SAISIE!$B$4,"/",SAISIE!$B$5)))</f>
        <v/>
      </c>
      <c r="C926" s="63" t="str">
        <f>IF(SAISIE!J67="","",SAISIE!$J$8)</f>
        <v/>
      </c>
      <c r="D926" s="63" t="str">
        <f>IF(SAISIE!J67="","",SAISIE!E67)</f>
        <v/>
      </c>
      <c r="E926" s="63" t="str">
        <f>IF(SAISIE!J67="","",SAISIE!F67)</f>
        <v/>
      </c>
      <c r="F926" s="70" t="str">
        <f>IF(SAISIE!$J67="","",IF(SAISIE!$N67="","",SAISIE!$N67))</f>
        <v/>
      </c>
      <c r="G926" s="63" t="str">
        <f>IF(SAISIE!J67="","",SAISIE!J67)</f>
        <v/>
      </c>
      <c r="H926" s="63"/>
      <c r="I926" s="72"/>
      <c r="J926" s="71"/>
      <c r="O926" s="73"/>
    </row>
    <row r="927" spans="1:15" x14ac:dyDescent="0.25">
      <c r="A927" s="63" t="str">
        <f>IF(AND(G927="",H927=""),"SUPPR",SAISIE!$B$3)</f>
        <v>SUPPR</v>
      </c>
      <c r="B927" s="63" t="str">
        <f>IF(SAISIE!K67="","",IF(LEN(SAISIE!B67)=1,CONCATENATE("0",SAISIE!B67,"/",SAISIE!$B$4,"/",SAISIE!$B$5),CONCATENATE(SAISIE!B67,"/",SAISIE!$B$4,"/",SAISIE!$B$5)))</f>
        <v/>
      </c>
      <c r="C927" s="63" t="str">
        <f>IF(SAISIE!K67="","",SAISIE!$K$8)</f>
        <v/>
      </c>
      <c r="D927" s="63" t="str">
        <f>IF(SAISIE!K67="","",SAISIE!E67)</f>
        <v/>
      </c>
      <c r="E927" s="63" t="str">
        <f>IF(SAISIE!K67="","",SAISIE!F67)</f>
        <v/>
      </c>
      <c r="F927" s="70" t="str">
        <f>IF(SAISIE!$K67="","",IF(SAISIE!$N67="","",SAISIE!$N67))</f>
        <v/>
      </c>
      <c r="G927" s="63" t="str">
        <f>IF(SAISIE!K67="","",SAISIE!K67)</f>
        <v/>
      </c>
      <c r="H927" s="63"/>
      <c r="I927" s="72"/>
      <c r="J927" s="71"/>
    </row>
    <row r="928" spans="1:15" x14ac:dyDescent="0.25">
      <c r="A928" s="63" t="str">
        <f>IF(AND(G928="",H928=""),"SUPPR",SAISIE!$B$3)</f>
        <v>SUPPR</v>
      </c>
      <c r="B928" s="63" t="str">
        <f>IF(SAISIE!L67="","",IF(LEN(SAISIE!B67)=1,CONCATENATE("0",SAISIE!B67,"/",SAISIE!$B$4,"/",SAISIE!$B$5),CONCATENATE(SAISIE!B67,"/",SAISIE!$B$4,"/",SAISIE!$B$5)))</f>
        <v/>
      </c>
      <c r="C928" s="63" t="str">
        <f>IF(SAISIE!L67="","",SAISIE!$L$8)</f>
        <v/>
      </c>
      <c r="D928" s="63" t="str">
        <f>IF(SAISIE!L67="","",SAISIE!E67)</f>
        <v/>
      </c>
      <c r="E928" s="63" t="str">
        <f>IF(SAISIE!L67="","",SAISIE!F67)</f>
        <v/>
      </c>
      <c r="F928" s="70" t="str">
        <f>IF(SAISIE!$L67="","",IF(SAISIE!$N67="","",SAISIE!$N67))</f>
        <v/>
      </c>
      <c r="G928" s="63" t="str">
        <f>IF(SAISIE!L67="","",SAISIE!L67)</f>
        <v/>
      </c>
      <c r="H928" s="63"/>
      <c r="I928" s="72"/>
      <c r="J928" s="71"/>
    </row>
    <row r="929" spans="1:15" x14ac:dyDescent="0.25">
      <c r="A929" s="63" t="str">
        <f>IF(AND(G929="",H929=""),"SUPPR",SAISIE!$B$3)</f>
        <v>SUPPR</v>
      </c>
      <c r="B929" s="63" t="str">
        <f>IF(SAISIE!M67="","",IF(LEN(SAISIE!B67)=1,CONCATENATE("0",SAISIE!B67,"/",SAISIE!$B$4,"/",SAISIE!$B$5),CONCATENATE(SAISIE!B67,"/",SAISIE!$B$4,"/",SAISIE!$B$5)))</f>
        <v/>
      </c>
      <c r="C929" s="74" t="str">
        <f>IF(SAISIE!M67="","",SAISIE!$M$8)</f>
        <v/>
      </c>
      <c r="D929" s="74" t="str">
        <f>IF(SAISIE!M67="","",SAISIE!E67)</f>
        <v/>
      </c>
      <c r="E929" s="74" t="str">
        <f>IF(SAISIE!M67="","",SAISIE!F67)</f>
        <v/>
      </c>
      <c r="F929" s="75" t="str">
        <f>IF(SAISIE!$M67="","",IF(SAISIE!$N67="","",SAISIE!$N67))</f>
        <v/>
      </c>
      <c r="G929" s="74" t="str">
        <f>IF(SAISIE!M67="","",SAISIE!M67)</f>
        <v/>
      </c>
      <c r="H929" s="76"/>
      <c r="I929" s="77"/>
      <c r="J929" s="78"/>
    </row>
    <row r="930" spans="1:15" x14ac:dyDescent="0.25">
      <c r="A930" s="63" t="str">
        <f>IF(AND(G930="",H930=""),"SUPPR",SAISIE!$B$3)</f>
        <v>SUPPR</v>
      </c>
      <c r="B930" s="64" t="str">
        <f>IF(SAISIE!B68="","",IF(LEN(SAISIE!B68)=1,CONCATENATE("0",SAISIE!B68,"/",SAISIE!$B$4,"/",SAISIE!$B$5),CONCATENATE(SAISIE!B68,"/",SAISIE!$B$4,"/",SAISIE!$B$5)))</f>
        <v/>
      </c>
      <c r="C930" s="64" t="str">
        <f>IF(SAISIE!B68="","",CONCATENATE($M$2,SAISIE!C68))</f>
        <v/>
      </c>
      <c r="D930" s="64" t="str">
        <f>IF(SAISIE!B68="","",SAISIE!E68)</f>
        <v/>
      </c>
      <c r="E930" s="64" t="str">
        <f>IF(SAISIE!B68="","",SAISIE!F68)</f>
        <v/>
      </c>
      <c r="F930" s="65" t="str">
        <f>IF(A930="SUPPR","",IF(SAISIE!$N68="","",SAISIE!$N68))</f>
        <v/>
      </c>
      <c r="G930" s="64"/>
      <c r="H930" s="64" t="str">
        <f>IF(SAISIE!B68="","",SAISIE!D68)</f>
        <v/>
      </c>
      <c r="I930" s="66"/>
      <c r="J930" s="67" t="str">
        <f>IF(AZ68="","","")</f>
        <v/>
      </c>
      <c r="O930" s="69">
        <f>O914+1</f>
        <v>68</v>
      </c>
    </row>
    <row r="931" spans="1:15" x14ac:dyDescent="0.25">
      <c r="A931" s="63" t="str">
        <f>IF(AND(G931="",H931=""),"SUPPR",SAISIE!$B$3)</f>
        <v>SUPPR</v>
      </c>
      <c r="B931" s="63" t="str">
        <f>IF(SAISIE!P68="","",IF(LEN(SAISIE!B68)=1,CONCATENATE("0",SAISIE!B68,"/",SAISIE!$B$4,"/",SAISIE!$B$5),CONCATENATE(SAISIE!B68,"/",SAISIE!$B$4,"/",SAISIE!$B$5)))</f>
        <v/>
      </c>
      <c r="C931" s="63" t="str">
        <f>IF(SAISIE!P68="","",SAISIE!O68)</f>
        <v/>
      </c>
      <c r="D931" s="63" t="str">
        <f>IF(SAISIE!P68="","",SAISIE!E68)</f>
        <v/>
      </c>
      <c r="E931" s="63" t="str">
        <f>IF(SAISIE!P68="","",SAISIE!F68)</f>
        <v/>
      </c>
      <c r="F931" s="70" t="str">
        <f>IF(SAISIE!$P68="","",IF(SAISIE!$N68="","",SAISIE!$N68))</f>
        <v/>
      </c>
      <c r="G931" s="63" t="str">
        <f>IF(SAISIE!P68="","",SAISIE!P68)</f>
        <v/>
      </c>
      <c r="H931" s="63"/>
      <c r="I931" s="63" t="str">
        <f>IF(SAISIE!$P68="","",SAISIE!$Q68)</f>
        <v/>
      </c>
      <c r="J931" s="71" t="str">
        <f>IF(COUNTBLANK(SAISIE!$J$6:$M$6)=4,"",IF(SAISIE!P68="","",IF(SAISIE!J68&gt;0,SAISIE!$J$6,IF(SAISIE!K68&gt;0,SAISIE!$K$6,IF(SAISIE!L68&gt;0,SAISIE!$L$6,IF(SAISIE!M68&gt;0,SAISIE!$M$6,""))))))</f>
        <v/>
      </c>
      <c r="O931" s="59" t="s">
        <v>50</v>
      </c>
    </row>
    <row r="932" spans="1:15" x14ac:dyDescent="0.25">
      <c r="A932" s="63" t="str">
        <f>IF(AND(G932="",H932=""),"SUPPR",SAISIE!$B$3)</f>
        <v>SUPPR</v>
      </c>
      <c r="B932" s="63" t="str">
        <f>IF(SAISIE!G68="","",IF(LEN(SAISIE!B68)=1,CONCATENATE("0",SAISIE!B68,"/",SAISIE!$B$4,"/",SAISIE!$B$5),CONCATENATE(SAISIE!B68,"/",SAISIE!$B$4,"/",SAISIE!$B$5)))</f>
        <v/>
      </c>
      <c r="C932" s="63" t="str">
        <f>IF(SAISIE!G68="","",SAISIE!$G$8)</f>
        <v/>
      </c>
      <c r="D932" s="63" t="str">
        <f>IF(SAISIE!G68="","",SAISIE!E68)</f>
        <v/>
      </c>
      <c r="E932" s="63" t="str">
        <f>IF(SAISIE!G68="","",SAISIE!F68)</f>
        <v/>
      </c>
      <c r="F932" s="70" t="str">
        <f>IF(SAISIE!$G68="","",IF(SAISIE!$N68="","",SAISIE!$N68))</f>
        <v/>
      </c>
      <c r="G932" s="63" t="str">
        <f>IF(SAISIE!G68="","",SAISIE!G68)</f>
        <v/>
      </c>
      <c r="H932" s="63"/>
      <c r="I932" s="63" t="str">
        <f>IF(SAISIE!$G68="","",SAISIE!$Q68)</f>
        <v/>
      </c>
      <c r="J932" s="71" t="str">
        <f>IF(COUNTBLANK(SAISIE!$J$6:$M$6)=4,"",IF(SAISIE!G68="","",IF(SAISIE!J68&gt;0,SAISIE!$J$6,IF(SAISIE!K68&gt;0,SAISIE!$K$6,IF(SAISIE!L68&gt;0,SAISIE!$L$6,IF(SAISIE!M68&gt;0,SAISIE!$M$6,""))))))</f>
        <v/>
      </c>
      <c r="O932" s="59" t="s">
        <v>51</v>
      </c>
    </row>
    <row r="933" spans="1:15" x14ac:dyDescent="0.25">
      <c r="A933" s="63" t="str">
        <f>IF(AND(G933="",H933=""),"SUPPR",SAISIE!$B$3)</f>
        <v>SUPPR</v>
      </c>
      <c r="B933" s="63" t="str">
        <f>IF(SAISIE!H68="","",IF(LEN(SAISIE!B68)=1,CONCATENATE("0",SAISIE!B68,"/",SAISIE!$B$4,"/",SAISIE!$B$5),CONCATENATE(SAISIE!B68,"/",SAISIE!$B$4,"/",SAISIE!$B$5)))</f>
        <v/>
      </c>
      <c r="C933" s="63" t="str">
        <f>IF(SAISIE!H68="","",SAISIE!$H$8)</f>
        <v/>
      </c>
      <c r="D933" s="63" t="str">
        <f>IF(SAISIE!H68="","",SAISIE!E68)</f>
        <v/>
      </c>
      <c r="E933" s="63" t="str">
        <f>IF(SAISIE!H68="","",SAISIE!F68)</f>
        <v/>
      </c>
      <c r="F933" s="70" t="str">
        <f>IF(SAISIE!$H68="","",IF(SAISIE!$N68="","",SAISIE!$N68))</f>
        <v/>
      </c>
      <c r="G933" s="63" t="str">
        <f>IF(SAISIE!H68="","",SAISIE!H68)</f>
        <v/>
      </c>
      <c r="H933" s="63"/>
      <c r="I933" s="63" t="str">
        <f>IF(SAISIE!$H68="","",SAISIE!$Q68)</f>
        <v/>
      </c>
      <c r="J933" s="71" t="str">
        <f>IF(COUNTBLANK(SAISIE!$J$6:$M$6)=4,"",IF(SAISIE!H68="","",IF(SAISIE!J68&gt;0,SAISIE!$J$6,IF(SAISIE!K68&gt;0,SAISIE!$K$6,IF(SAISIE!L68&gt;0,SAISIE!$L$6,IF(SAISIE!M68&gt;0,SAISIE!$M$6,""))))))</f>
        <v/>
      </c>
      <c r="O933" s="59" t="s">
        <v>52</v>
      </c>
    </row>
    <row r="934" spans="1:15" x14ac:dyDescent="0.25">
      <c r="A934" s="63" t="str">
        <f>IF(AND(G934="",H934=""),"SUPPR",SAISIE!$B$3)</f>
        <v>SUPPR</v>
      </c>
      <c r="B934" s="63" t="str">
        <f>IF(SAISIE!I68="","",IF(LEN(SAISIE!B68)=1,CONCATENATE("0",SAISIE!B68,"/",SAISIE!$B$4,"/",SAISIE!$B$5),CONCATENATE(SAISIE!B68,"/",SAISIE!$B$4,"/",SAISIE!$B$5)))</f>
        <v/>
      </c>
      <c r="C934" s="63" t="str">
        <f>IF(SAISIE!I68="","",SAISIE!$I$8)</f>
        <v/>
      </c>
      <c r="D934" s="63" t="str">
        <f>IF(SAISIE!I68="","",SAISIE!E68)</f>
        <v/>
      </c>
      <c r="E934" s="63" t="str">
        <f>IF(SAISIE!I68="","",SAISIE!F68)</f>
        <v/>
      </c>
      <c r="F934" s="70" t="str">
        <f>IF(SAISIE!$I68="","",IF(SAISIE!$N68="","",SAISIE!$N68))</f>
        <v/>
      </c>
      <c r="G934" s="63" t="str">
        <f>IF(SAISIE!I68="","",SAISIE!I68)</f>
        <v/>
      </c>
      <c r="H934" s="63"/>
      <c r="I934" s="63" t="str">
        <f>IF(SAISIE!$I68="","",SAISIE!$Q68)</f>
        <v/>
      </c>
      <c r="J934" s="71" t="str">
        <f>IF(COUNTBLANK(SAISIE!$J$6:$M$6)=4,"",IF(SAISIE!I68="","",IF(SAISIE!J68&gt;0,SAISIE!$J$6,IF(SAISIE!K68&gt;0,SAISIE!$K$6,IF(SAISIE!L68&gt;0,SAISIE!$L$6,IF(SAISIE!M68&gt;0,SAISIE!$M$6,""))))))</f>
        <v/>
      </c>
      <c r="O934" s="59" t="s">
        <v>53</v>
      </c>
    </row>
    <row r="935" spans="1:15" x14ac:dyDescent="0.25">
      <c r="A935" s="63" t="e">
        <f>IF(AND(G935="",H935=""),"SUPPR",SAISIE!$B$3)</f>
        <v>#REF!</v>
      </c>
      <c r="B935" s="63" t="e">
        <f>IF(SAISIE!#REF!="","",IF(LEN(SAISIE!B68)=1,CONCATENATE("0",SAISIE!B68,"/",SAISIE!$B$4,"/",SAISIE!$B$5),CONCATENATE(SAISIE!B68,"/",SAISIE!$B$4,"/",SAISIE!$B$5)))</f>
        <v>#REF!</v>
      </c>
      <c r="C935" s="63" t="e">
        <f>IF(SAISIE!#REF!="","",SAISIE!#REF!)</f>
        <v>#REF!</v>
      </c>
      <c r="D935" s="63" t="e">
        <f>IF(SAISIE!#REF!="","",SAISIE!E68)</f>
        <v>#REF!</v>
      </c>
      <c r="E935" s="63" t="e">
        <f>IF(SAISIE!#REF!="","",SAISIE!F68)</f>
        <v>#REF!</v>
      </c>
      <c r="F935" s="70" t="e">
        <f>IF(SAISIE!#REF!="","",IF(SAISIE!$N68="","",SAISIE!$N68))</f>
        <v>#REF!</v>
      </c>
      <c r="G935" s="63" t="e">
        <f>IF(SAISIE!#REF!="","",SAISIE!#REF!)</f>
        <v>#REF!</v>
      </c>
      <c r="H935" s="63"/>
      <c r="I935" s="63" t="e">
        <f>IF(SAISIE!#REF!="","",SAISIE!$Q68)</f>
        <v>#REF!</v>
      </c>
      <c r="J935" s="71" t="str">
        <f>IF(COUNTBLANK(SAISIE!$J$6:$M$6)=4,"",IF(SAISIE!#REF!="","",IF(SAISIE!J68&gt;0,SAISIE!$J$6,IF(SAISIE!K68&gt;0,SAISIE!$K$6,IF(SAISIE!L68&gt;0,SAISIE!$L$6,IF(SAISIE!M68&gt;0,SAISIE!$M$6,""))))))</f>
        <v/>
      </c>
      <c r="O935" s="59" t="s">
        <v>54</v>
      </c>
    </row>
    <row r="936" spans="1:15" x14ac:dyDescent="0.25">
      <c r="A936" s="63" t="e">
        <f>IF(AND(G936="",H936=""),"SUPPR",SAISIE!$B$3)</f>
        <v>#REF!</v>
      </c>
      <c r="B936" s="63" t="e">
        <f>IF(SAISIE!#REF!="","",IF(LEN(SAISIE!B68)=1,CONCATENATE("0",SAISIE!B68,"/",SAISIE!$B$4,"/",SAISIE!$B$5),CONCATENATE(SAISIE!B68,"/",SAISIE!$B$4,"/",SAISIE!$B$5)))</f>
        <v>#REF!</v>
      </c>
      <c r="C936" s="63" t="e">
        <f>IF(SAISIE!#REF!="","",SAISIE!#REF!)</f>
        <v>#REF!</v>
      </c>
      <c r="D936" s="63" t="e">
        <f>IF(SAISIE!#REF!="","",SAISIE!E68)</f>
        <v>#REF!</v>
      </c>
      <c r="E936" s="63" t="e">
        <f>IF(SAISIE!#REF!="","",SAISIE!F68)</f>
        <v>#REF!</v>
      </c>
      <c r="F936" s="70" t="e">
        <f>IF(SAISIE!#REF!="","",IF(SAISIE!$N68="","",SAISIE!$N68))</f>
        <v>#REF!</v>
      </c>
      <c r="G936" s="63" t="e">
        <f>IF(SAISIE!#REF!="","",SAISIE!#REF!)</f>
        <v>#REF!</v>
      </c>
      <c r="H936" s="63"/>
      <c r="I936" s="63" t="e">
        <f>IF(SAISIE!#REF!="","",SAISIE!$Q68)</f>
        <v>#REF!</v>
      </c>
      <c r="J936" s="71" t="str">
        <f>IF(COUNTBLANK(SAISIE!$J$6:$M$6)=4,"",IF(SAISIE!#REF!="","",IF(SAISIE!J68&gt;0,SAISIE!$J$6,IF(SAISIE!K68&gt;0,SAISIE!$K$6,IF(SAISIE!L68&gt;0,SAISIE!$L$6,IF(SAISIE!M68&gt;0,SAISIE!$M$6,""))))))</f>
        <v/>
      </c>
      <c r="O936" s="59" t="s">
        <v>55</v>
      </c>
    </row>
    <row r="937" spans="1:15" x14ac:dyDescent="0.25">
      <c r="A937" s="63" t="e">
        <f>IF(AND(G937="",H937=""),"SUPPR",SAISIE!$B$3)</f>
        <v>#REF!</v>
      </c>
      <c r="B937" s="63" t="e">
        <f>IF(SAISIE!#REF!="","",IF(LEN(SAISIE!B68)=1,CONCATENATE("0",SAISIE!B68,"/",SAISIE!$B$4,"/",SAISIE!$B$5),CONCATENATE(SAISIE!B68,"/",SAISIE!$B$4,"/",SAISIE!$B$5)))</f>
        <v>#REF!</v>
      </c>
      <c r="C937" s="63" t="e">
        <f>IF(SAISIE!#REF!="","",SAISIE!#REF!)</f>
        <v>#REF!</v>
      </c>
      <c r="D937" s="63" t="e">
        <f>IF(SAISIE!#REF!="","",SAISIE!E68)</f>
        <v>#REF!</v>
      </c>
      <c r="E937" s="63" t="e">
        <f>IF(SAISIE!#REF!="","",SAISIE!F68)</f>
        <v>#REF!</v>
      </c>
      <c r="F937" s="70" t="e">
        <f>IF(SAISIE!#REF!="","",IF(SAISIE!$N68="","",SAISIE!$N68))</f>
        <v>#REF!</v>
      </c>
      <c r="G937" s="63" t="e">
        <f>IF(SAISIE!#REF!="","",SAISIE!#REF!)</f>
        <v>#REF!</v>
      </c>
      <c r="H937" s="63"/>
      <c r="I937" s="63" t="e">
        <f>IF(SAISIE!#REF!="","",SAISIE!$Q68)</f>
        <v>#REF!</v>
      </c>
      <c r="J937" s="71" t="str">
        <f>IF(COUNTBLANK(SAISIE!$J$6:$M$6)=4,"",IF(SAISIE!#REF!="","",IF(SAISIE!J68&gt;0,SAISIE!$J$6,IF(SAISIE!K68&gt;0,SAISIE!$K$6,IF(SAISIE!L68&gt;0,SAISIE!$L$6,IF(SAISIE!M68&gt;0,SAISIE!$M$6,""))))))</f>
        <v/>
      </c>
      <c r="O937" s="59" t="s">
        <v>56</v>
      </c>
    </row>
    <row r="938" spans="1:15" x14ac:dyDescent="0.25">
      <c r="A938" s="63" t="e">
        <f>IF(AND(G938="",H938=""),"SUPPR",SAISIE!$B$3)</f>
        <v>#REF!</v>
      </c>
      <c r="B938" s="63" t="e">
        <f>IF(SAISIE!#REF!="","",IF(LEN(SAISIE!B68)=1,CONCATENATE("0",SAISIE!B68,"/",SAISIE!$B$4,"/",SAISIE!$B$5),CONCATENATE(SAISIE!B68,"/",SAISIE!$B$4,"/",SAISIE!$B$5)))</f>
        <v>#REF!</v>
      </c>
      <c r="C938" s="63" t="e">
        <f>IF(SAISIE!#REF!="","",SAISIE!#REF!)</f>
        <v>#REF!</v>
      </c>
      <c r="D938" s="63" t="e">
        <f>IF(SAISIE!#REF!="","",SAISIE!E68)</f>
        <v>#REF!</v>
      </c>
      <c r="E938" s="63" t="e">
        <f>IF(SAISIE!#REF!="","",SAISIE!F68)</f>
        <v>#REF!</v>
      </c>
      <c r="F938" s="70" t="e">
        <f>IF(SAISIE!#REF!="","",IF(SAISIE!$N68="","",SAISIE!$N68))</f>
        <v>#REF!</v>
      </c>
      <c r="G938" s="63" t="e">
        <f>IF(SAISIE!#REF!="","",SAISIE!#REF!)</f>
        <v>#REF!</v>
      </c>
      <c r="H938" s="63"/>
      <c r="I938" s="63" t="e">
        <f>IF(SAISIE!#REF!="","",SAISIE!$Q68)</f>
        <v>#REF!</v>
      </c>
      <c r="J938" s="71" t="str">
        <f>IF(COUNTBLANK(SAISIE!$J$6:$M$6)=4,"",IF(SAISIE!#REF!="","",IF(SAISIE!J68&gt;0,SAISIE!$J$6,IF(SAISIE!K68&gt;0,SAISIE!$K$6,IF(SAISIE!L68&gt;0,SAISIE!$L$6,IF(SAISIE!M68&gt;0,SAISIE!$M$6,""))))))</f>
        <v/>
      </c>
      <c r="O938" s="59" t="s">
        <v>57</v>
      </c>
    </row>
    <row r="939" spans="1:15" x14ac:dyDescent="0.25">
      <c r="A939" s="63" t="e">
        <f>IF(AND(G939="",H939=""),"SUPPR",SAISIE!$B$3)</f>
        <v>#REF!</v>
      </c>
      <c r="B939" s="63" t="e">
        <f>IF(SAISIE!#REF!="","",IF(LEN(SAISIE!B68)=1,CONCATENATE("0",SAISIE!B68,"/",SAISIE!$B$4,"/",SAISIE!$B$5),CONCATENATE(SAISIE!B68,"/",SAISIE!$B$4,"/",SAISIE!$B$5)))</f>
        <v>#REF!</v>
      </c>
      <c r="C939" s="63" t="e">
        <f>IF(SAISIE!#REF!="","",SAISIE!#REF!)</f>
        <v>#REF!</v>
      </c>
      <c r="D939" s="63" t="e">
        <f>IF(SAISIE!#REF!="","",SAISIE!E68)</f>
        <v>#REF!</v>
      </c>
      <c r="E939" s="63" t="e">
        <f>IF(SAISIE!#REF!="","",SAISIE!F68)</f>
        <v>#REF!</v>
      </c>
      <c r="F939" s="70" t="e">
        <f>IF(SAISIE!#REF!="","",IF(SAISIE!$N68="","",SAISIE!$N68))</f>
        <v>#REF!</v>
      </c>
      <c r="G939" s="63" t="e">
        <f>IF(SAISIE!#REF!="","",SAISIE!#REF!)</f>
        <v>#REF!</v>
      </c>
      <c r="H939" s="63"/>
      <c r="I939" s="63" t="e">
        <f>IF(SAISIE!#REF!="","",SAISIE!$Q68)</f>
        <v>#REF!</v>
      </c>
      <c r="J939" s="71" t="str">
        <f>IF(COUNTBLANK(SAISIE!$J$6:$M$6)=4,"",IF(SAISIE!#REF!="","",IF(SAISIE!J68&gt;0,SAISIE!$J$6,IF(SAISIE!K68&gt;0,SAISIE!$K$6,IF(SAISIE!L68&gt;0,SAISIE!$L$6,IF(SAISIE!M68&gt;0,SAISIE!$M$6,""))))))</f>
        <v/>
      </c>
      <c r="O939" s="59" t="s">
        <v>58</v>
      </c>
    </row>
    <row r="940" spans="1:15" x14ac:dyDescent="0.25">
      <c r="A940" s="63" t="e">
        <f>IF(AND(G940="",H940=""),"SUPPR",SAISIE!$B$3)</f>
        <v>#REF!</v>
      </c>
      <c r="B940" s="63" t="e">
        <f>IF(SAISIE!#REF!="","",IF(LEN(SAISIE!B68)=1,CONCATENATE("0",SAISIE!B68,"/",SAISIE!$B$4,"/",SAISIE!$B$5),CONCATENATE(SAISIE!B68,"/",SAISIE!$B$4,"/",SAISIE!$B$5)))</f>
        <v>#REF!</v>
      </c>
      <c r="C940" s="63" t="e">
        <f>IF(SAISIE!#REF!="","",SAISIE!#REF!)</f>
        <v>#REF!</v>
      </c>
      <c r="D940" s="63" t="e">
        <f>IF(SAISIE!#REF!="","",SAISIE!E68)</f>
        <v>#REF!</v>
      </c>
      <c r="E940" s="63" t="e">
        <f>IF(SAISIE!#REF!="","",SAISIE!F68)</f>
        <v>#REF!</v>
      </c>
      <c r="F940" s="70" t="e">
        <f>IF(SAISIE!#REF!="","",IF(SAISIE!$N68="","",SAISIE!$N68))</f>
        <v>#REF!</v>
      </c>
      <c r="G940" s="63" t="e">
        <f>IF(SAISIE!#REF!="","",SAISIE!#REF!)</f>
        <v>#REF!</v>
      </c>
      <c r="H940" s="63"/>
      <c r="I940" s="63" t="e">
        <f>IF(SAISIE!#REF!="","",SAISIE!$Q68)</f>
        <v>#REF!</v>
      </c>
      <c r="J940" s="71" t="str">
        <f>IF(COUNTBLANK(SAISIE!$J$6:$M$6)=4,"",IF(SAISIE!#REF!="","",IF(SAISIE!J68&gt;0,SAISIE!$J$6,IF(SAISIE!K68&gt;0,SAISIE!$K$6,IF(SAISIE!L68&gt;0,SAISIE!$L$6,IF(SAISIE!M68&gt;0,SAISIE!$M$6,""))))))</f>
        <v/>
      </c>
      <c r="O940" s="59" t="s">
        <v>59</v>
      </c>
    </row>
    <row r="941" spans="1:15" x14ac:dyDescent="0.25">
      <c r="A941" s="63" t="e">
        <f>IF(AND(G941="",H941=""),"SUPPR",SAISIE!$B$3)</f>
        <v>#REF!</v>
      </c>
      <c r="B941" s="63" t="e">
        <f>IF(SAISIE!#REF!="","",IF(LEN(SAISIE!B68)=1,CONCATENATE("0",SAISIE!B68,"/",SAISIE!$B$4,"/",SAISIE!$B$5),CONCATENATE(SAISIE!B68,"/",SAISIE!$B$4,"/",SAISIE!$B$5)))</f>
        <v>#REF!</v>
      </c>
      <c r="C941" s="63" t="e">
        <f>IF(SAISIE!#REF!="","",SAISIE!#REF!)</f>
        <v>#REF!</v>
      </c>
      <c r="D941" s="63" t="e">
        <f>IF(SAISIE!#REF!="","",SAISIE!E68)</f>
        <v>#REF!</v>
      </c>
      <c r="E941" s="63" t="e">
        <f>IF(SAISIE!#REF!="","",SAISIE!F68)</f>
        <v>#REF!</v>
      </c>
      <c r="F941" s="70" t="e">
        <f>IF(SAISIE!#REF!="","",IF(SAISIE!$N68="","",SAISIE!$N68))</f>
        <v>#REF!</v>
      </c>
      <c r="G941" s="63" t="e">
        <f>IF(SAISIE!#REF!="","",SAISIE!#REF!)</f>
        <v>#REF!</v>
      </c>
      <c r="H941" s="63"/>
      <c r="I941" s="63" t="e">
        <f>IF(SAISIE!#REF!="","",SAISIE!$Q68)</f>
        <v>#REF!</v>
      </c>
      <c r="J941" s="71" t="str">
        <f>IF(COUNTBLANK(SAISIE!$J$6:$M$6)=4,"",IF(SAISIE!#REF!="","",IF(SAISIE!J68&gt;0,SAISIE!$J$6,IF(SAISIE!K68&gt;0,SAISIE!$K$6,IF(SAISIE!L68&gt;0,SAISIE!$L$6,IF(SAISIE!M68&gt;0,SAISIE!$M$6,""))))))</f>
        <v/>
      </c>
      <c r="O941" s="59" t="s">
        <v>60</v>
      </c>
    </row>
    <row r="942" spans="1:15" x14ac:dyDescent="0.25">
      <c r="A942" s="63" t="str">
        <f>IF(AND(G942="",H942=""),"SUPPR",SAISIE!$B$3)</f>
        <v>SUPPR</v>
      </c>
      <c r="B942" s="63" t="str">
        <f>IF(SAISIE!J68="","",IF(LEN(SAISIE!B68)=1,CONCATENATE("0",SAISIE!B68,"/",SAISIE!$B$4,"/",SAISIE!$B$5),CONCATENATE(SAISIE!B68,"/",SAISIE!$B$4,"/",SAISIE!$B$5)))</f>
        <v/>
      </c>
      <c r="C942" s="63" t="str">
        <f>IF(SAISIE!J68="","",SAISIE!$J$8)</f>
        <v/>
      </c>
      <c r="D942" s="63" t="str">
        <f>IF(SAISIE!J68="","",SAISIE!E68)</f>
        <v/>
      </c>
      <c r="E942" s="63" t="str">
        <f>IF(SAISIE!J68="","",SAISIE!F68)</f>
        <v/>
      </c>
      <c r="F942" s="70" t="str">
        <f>IF(SAISIE!$J68="","",IF(SAISIE!$N68="","",SAISIE!$N68))</f>
        <v/>
      </c>
      <c r="G942" s="63" t="str">
        <f>IF(SAISIE!J68="","",SAISIE!J68)</f>
        <v/>
      </c>
      <c r="H942" s="63"/>
      <c r="I942" s="72"/>
      <c r="J942" s="71"/>
      <c r="O942" s="73"/>
    </row>
    <row r="943" spans="1:15" x14ac:dyDescent="0.25">
      <c r="A943" s="63" t="str">
        <f>IF(AND(G943="",H943=""),"SUPPR",SAISIE!$B$3)</f>
        <v>SUPPR</v>
      </c>
      <c r="B943" s="63" t="str">
        <f>IF(SAISIE!K68="","",IF(LEN(SAISIE!B68)=1,CONCATENATE("0",SAISIE!B68,"/",SAISIE!$B$4,"/",SAISIE!$B$5),CONCATENATE(SAISIE!B68,"/",SAISIE!$B$4,"/",SAISIE!$B$5)))</f>
        <v/>
      </c>
      <c r="C943" s="63" t="str">
        <f>IF(SAISIE!K68="","",SAISIE!$K$8)</f>
        <v/>
      </c>
      <c r="D943" s="63" t="str">
        <f>IF(SAISIE!K68="","",SAISIE!E68)</f>
        <v/>
      </c>
      <c r="E943" s="63" t="str">
        <f>IF(SAISIE!K68="","",SAISIE!F68)</f>
        <v/>
      </c>
      <c r="F943" s="70" t="str">
        <f>IF(SAISIE!$K68="","",IF(SAISIE!$N68="","",SAISIE!$N68))</f>
        <v/>
      </c>
      <c r="G943" s="63" t="str">
        <f>IF(SAISIE!K68="","",SAISIE!K68)</f>
        <v/>
      </c>
      <c r="H943" s="63"/>
      <c r="I943" s="72"/>
      <c r="J943" s="71"/>
    </row>
    <row r="944" spans="1:15" x14ac:dyDescent="0.25">
      <c r="A944" s="63" t="str">
        <f>IF(AND(G944="",H944=""),"SUPPR",SAISIE!$B$3)</f>
        <v>SUPPR</v>
      </c>
      <c r="B944" s="63" t="str">
        <f>IF(SAISIE!L68="","",IF(LEN(SAISIE!B68)=1,CONCATENATE("0",SAISIE!B68,"/",SAISIE!$B$4,"/",SAISIE!$B$5),CONCATENATE(SAISIE!B68,"/",SAISIE!$B$4,"/",SAISIE!$B$5)))</f>
        <v/>
      </c>
      <c r="C944" s="63" t="str">
        <f>IF(SAISIE!L68="","",SAISIE!$L$8)</f>
        <v/>
      </c>
      <c r="D944" s="63" t="str">
        <f>IF(SAISIE!L68="","",SAISIE!E68)</f>
        <v/>
      </c>
      <c r="E944" s="63" t="str">
        <f>IF(SAISIE!L68="","",SAISIE!F68)</f>
        <v/>
      </c>
      <c r="F944" s="70" t="str">
        <f>IF(SAISIE!$L68="","",IF(SAISIE!$N68="","",SAISIE!$N68))</f>
        <v/>
      </c>
      <c r="G944" s="63" t="str">
        <f>IF(SAISIE!L68="","",SAISIE!L68)</f>
        <v/>
      </c>
      <c r="H944" s="63"/>
      <c r="I944" s="72"/>
      <c r="J944" s="71"/>
    </row>
    <row r="945" spans="1:15" x14ac:dyDescent="0.25">
      <c r="A945" s="63" t="str">
        <f>IF(AND(G945="",H945=""),"SUPPR",SAISIE!$B$3)</f>
        <v>SUPPR</v>
      </c>
      <c r="B945" s="63" t="str">
        <f>IF(SAISIE!M68="","",IF(LEN(SAISIE!B68)=1,CONCATENATE("0",SAISIE!B68,"/",SAISIE!$B$4,"/",SAISIE!$B$5),CONCATENATE(SAISIE!B68,"/",SAISIE!$B$4,"/",SAISIE!$B$5)))</f>
        <v/>
      </c>
      <c r="C945" s="74" t="str">
        <f>IF(SAISIE!M68="","",SAISIE!$M$8)</f>
        <v/>
      </c>
      <c r="D945" s="74" t="str">
        <f>IF(SAISIE!M68="","",SAISIE!E68)</f>
        <v/>
      </c>
      <c r="E945" s="74" t="str">
        <f>IF(SAISIE!M68="","",SAISIE!F68)</f>
        <v/>
      </c>
      <c r="F945" s="75" t="str">
        <f>IF(SAISIE!$M68="","",IF(SAISIE!$N68="","",SAISIE!$N68))</f>
        <v/>
      </c>
      <c r="G945" s="74" t="str">
        <f>IF(SAISIE!M68="","",SAISIE!M68)</f>
        <v/>
      </c>
      <c r="H945" s="76"/>
      <c r="I945" s="77"/>
      <c r="J945" s="78"/>
    </row>
    <row r="946" spans="1:15" x14ac:dyDescent="0.25">
      <c r="A946" s="63" t="str">
        <f>IF(AND(G946="",H946=""),"SUPPR",SAISIE!$B$3)</f>
        <v>SUPPR</v>
      </c>
      <c r="B946" s="64" t="str">
        <f>IF(SAISIE!B69="","",IF(LEN(SAISIE!B69)=1,CONCATENATE("0",SAISIE!B69,"/",SAISIE!$B$4,"/",SAISIE!$B$5),CONCATENATE(SAISIE!B69,"/",SAISIE!$B$4,"/",SAISIE!$B$5)))</f>
        <v/>
      </c>
      <c r="C946" s="64" t="str">
        <f>IF(SAISIE!B69="","",CONCATENATE($M$2,SAISIE!C69))</f>
        <v/>
      </c>
      <c r="D946" s="64" t="str">
        <f>IF(SAISIE!B69="","",SAISIE!E69)</f>
        <v/>
      </c>
      <c r="E946" s="64" t="str">
        <f>IF(SAISIE!B69="","",SAISIE!F69)</f>
        <v/>
      </c>
      <c r="F946" s="65" t="str">
        <f>IF(A946="SUPPR","",IF(SAISIE!$N69="","",SAISIE!$N69))</f>
        <v/>
      </c>
      <c r="G946" s="64"/>
      <c r="H946" s="64" t="str">
        <f>IF(SAISIE!B69="","",SAISIE!D69)</f>
        <v/>
      </c>
      <c r="I946" s="66"/>
      <c r="J946" s="67" t="str">
        <f>IF(AZ69="","","")</f>
        <v/>
      </c>
      <c r="O946" s="69">
        <f>O930+1</f>
        <v>69</v>
      </c>
    </row>
    <row r="947" spans="1:15" x14ac:dyDescent="0.25">
      <c r="A947" s="63" t="str">
        <f>IF(AND(G947="",H947=""),"SUPPR",SAISIE!$B$3)</f>
        <v>SUPPR</v>
      </c>
      <c r="B947" s="63" t="str">
        <f>IF(SAISIE!P69="","",IF(LEN(SAISIE!B69)=1,CONCATENATE("0",SAISIE!B69,"/",SAISIE!$B$4,"/",SAISIE!$B$5),CONCATENATE(SAISIE!B69,"/",SAISIE!$B$4,"/",SAISIE!$B$5)))</f>
        <v/>
      </c>
      <c r="C947" s="63" t="str">
        <f>IF(SAISIE!P69="","",SAISIE!O69)</f>
        <v/>
      </c>
      <c r="D947" s="63" t="str">
        <f>IF(SAISIE!P69="","",SAISIE!E69)</f>
        <v/>
      </c>
      <c r="E947" s="63" t="str">
        <f>IF(SAISIE!P69="","",SAISIE!F69)</f>
        <v/>
      </c>
      <c r="F947" s="70" t="str">
        <f>IF(SAISIE!$P69="","",IF(SAISIE!$N69="","",SAISIE!$N69))</f>
        <v/>
      </c>
      <c r="G947" s="63" t="str">
        <f>IF(SAISIE!P69="","",SAISIE!P69)</f>
        <v/>
      </c>
      <c r="H947" s="63"/>
      <c r="I947" s="63" t="str">
        <f>IF(SAISIE!$P69="","",SAISIE!$Q69)</f>
        <v/>
      </c>
      <c r="J947" s="71" t="str">
        <f>IF(COUNTBLANK(SAISIE!$J$6:$M$6)=4,"",IF(SAISIE!P69="","",IF(SAISIE!J69&gt;0,SAISIE!$J$6,IF(SAISIE!K69&gt;0,SAISIE!$K$6,IF(SAISIE!L69&gt;0,SAISIE!$L$6,IF(SAISIE!M69&gt;0,SAISIE!$M$6,""))))))</f>
        <v/>
      </c>
      <c r="O947" s="59" t="s">
        <v>50</v>
      </c>
    </row>
    <row r="948" spans="1:15" x14ac:dyDescent="0.25">
      <c r="A948" s="63" t="str">
        <f>IF(AND(G948="",H948=""),"SUPPR",SAISIE!$B$3)</f>
        <v>SUPPR</v>
      </c>
      <c r="B948" s="63" t="str">
        <f>IF(SAISIE!G69="","",IF(LEN(SAISIE!B69)=1,CONCATENATE("0",SAISIE!B69,"/",SAISIE!$B$4,"/",SAISIE!$B$5),CONCATENATE(SAISIE!B69,"/",SAISIE!$B$4,"/",SAISIE!$B$5)))</f>
        <v/>
      </c>
      <c r="C948" s="63" t="str">
        <f>IF(SAISIE!G69="","",SAISIE!$G$8)</f>
        <v/>
      </c>
      <c r="D948" s="63" t="str">
        <f>IF(SAISIE!G69="","",SAISIE!E69)</f>
        <v/>
      </c>
      <c r="E948" s="63" t="str">
        <f>IF(SAISIE!G69="","",SAISIE!F69)</f>
        <v/>
      </c>
      <c r="F948" s="70" t="str">
        <f>IF(SAISIE!$G69="","",IF(SAISIE!$N69="","",SAISIE!$N69))</f>
        <v/>
      </c>
      <c r="G948" s="63" t="str">
        <f>IF(SAISIE!G69="","",SAISIE!G69)</f>
        <v/>
      </c>
      <c r="H948" s="63"/>
      <c r="I948" s="63" t="str">
        <f>IF(SAISIE!$G69="","",SAISIE!$Q69)</f>
        <v/>
      </c>
      <c r="J948" s="71" t="str">
        <f>IF(COUNTBLANK(SAISIE!$J$6:$M$6)=4,"",IF(SAISIE!G69="","",IF(SAISIE!J69&gt;0,SAISIE!$J$6,IF(SAISIE!K69&gt;0,SAISIE!$K$6,IF(SAISIE!L69&gt;0,SAISIE!$L$6,IF(SAISIE!M69&gt;0,SAISIE!$M$6,""))))))</f>
        <v/>
      </c>
      <c r="O948" s="59" t="s">
        <v>51</v>
      </c>
    </row>
    <row r="949" spans="1:15" x14ac:dyDescent="0.25">
      <c r="A949" s="63" t="str">
        <f>IF(AND(G949="",H949=""),"SUPPR",SAISIE!$B$3)</f>
        <v>SUPPR</v>
      </c>
      <c r="B949" s="63" t="str">
        <f>IF(SAISIE!H69="","",IF(LEN(SAISIE!B69)=1,CONCATENATE("0",SAISIE!B69,"/",SAISIE!$B$4,"/",SAISIE!$B$5),CONCATENATE(SAISIE!B69,"/",SAISIE!$B$4,"/",SAISIE!$B$5)))</f>
        <v/>
      </c>
      <c r="C949" s="63" t="str">
        <f>IF(SAISIE!H69="","",SAISIE!$H$8)</f>
        <v/>
      </c>
      <c r="D949" s="63" t="str">
        <f>IF(SAISIE!H69="","",SAISIE!E69)</f>
        <v/>
      </c>
      <c r="E949" s="63" t="str">
        <f>IF(SAISIE!H69="","",SAISIE!F69)</f>
        <v/>
      </c>
      <c r="F949" s="70" t="str">
        <f>IF(SAISIE!$H69="","",IF(SAISIE!$N69="","",SAISIE!$N69))</f>
        <v/>
      </c>
      <c r="G949" s="63" t="str">
        <f>IF(SAISIE!H69="","",SAISIE!H69)</f>
        <v/>
      </c>
      <c r="H949" s="63"/>
      <c r="I949" s="63" t="str">
        <f>IF(SAISIE!$H69="","",SAISIE!$Q69)</f>
        <v/>
      </c>
      <c r="J949" s="71" t="str">
        <f>IF(COUNTBLANK(SAISIE!$J$6:$M$6)=4,"",IF(SAISIE!H69="","",IF(SAISIE!J69&gt;0,SAISIE!$J$6,IF(SAISIE!K69&gt;0,SAISIE!$K$6,IF(SAISIE!L69&gt;0,SAISIE!$L$6,IF(SAISIE!M69&gt;0,SAISIE!$M$6,""))))))</f>
        <v/>
      </c>
      <c r="O949" s="59" t="s">
        <v>52</v>
      </c>
    </row>
    <row r="950" spans="1:15" x14ac:dyDescent="0.25">
      <c r="A950" s="63" t="str">
        <f>IF(AND(G950="",H950=""),"SUPPR",SAISIE!$B$3)</f>
        <v>SUPPR</v>
      </c>
      <c r="B950" s="63" t="str">
        <f>IF(SAISIE!I69="","",IF(LEN(SAISIE!B69)=1,CONCATENATE("0",SAISIE!B69,"/",SAISIE!$B$4,"/",SAISIE!$B$5),CONCATENATE(SAISIE!B69,"/",SAISIE!$B$4,"/",SAISIE!$B$5)))</f>
        <v/>
      </c>
      <c r="C950" s="63" t="str">
        <f>IF(SAISIE!I69="","",SAISIE!$I$8)</f>
        <v/>
      </c>
      <c r="D950" s="63" t="str">
        <f>IF(SAISIE!I69="","",SAISIE!E69)</f>
        <v/>
      </c>
      <c r="E950" s="63" t="str">
        <f>IF(SAISIE!I69="","",SAISIE!F69)</f>
        <v/>
      </c>
      <c r="F950" s="70" t="str">
        <f>IF(SAISIE!$I69="","",IF(SAISIE!$N69="","",SAISIE!$N69))</f>
        <v/>
      </c>
      <c r="G950" s="63" t="str">
        <f>IF(SAISIE!I69="","",SAISIE!I69)</f>
        <v/>
      </c>
      <c r="H950" s="63"/>
      <c r="I950" s="63" t="str">
        <f>IF(SAISIE!$I69="","",SAISIE!$Q69)</f>
        <v/>
      </c>
      <c r="J950" s="71" t="str">
        <f>IF(COUNTBLANK(SAISIE!$J$6:$M$6)=4,"",IF(SAISIE!I69="","",IF(SAISIE!J69&gt;0,SAISIE!$J$6,IF(SAISIE!K69&gt;0,SAISIE!$K$6,IF(SAISIE!L69&gt;0,SAISIE!$L$6,IF(SAISIE!M69&gt;0,SAISIE!$M$6,""))))))</f>
        <v/>
      </c>
      <c r="O950" s="59" t="s">
        <v>53</v>
      </c>
    </row>
    <row r="951" spans="1:15" x14ac:dyDescent="0.25">
      <c r="A951" s="63" t="e">
        <f>IF(AND(G951="",H951=""),"SUPPR",SAISIE!$B$3)</f>
        <v>#REF!</v>
      </c>
      <c r="B951" s="63" t="e">
        <f>IF(SAISIE!#REF!="","",IF(LEN(SAISIE!B69)=1,CONCATENATE("0",SAISIE!B69,"/",SAISIE!$B$4,"/",SAISIE!$B$5),CONCATENATE(SAISIE!B69,"/",SAISIE!$B$4,"/",SAISIE!$B$5)))</f>
        <v>#REF!</v>
      </c>
      <c r="C951" s="63" t="e">
        <f>IF(SAISIE!#REF!="","",SAISIE!#REF!)</f>
        <v>#REF!</v>
      </c>
      <c r="D951" s="63" t="e">
        <f>IF(SAISIE!#REF!="","",SAISIE!E69)</f>
        <v>#REF!</v>
      </c>
      <c r="E951" s="63" t="e">
        <f>IF(SAISIE!#REF!="","",SAISIE!F69)</f>
        <v>#REF!</v>
      </c>
      <c r="F951" s="70" t="e">
        <f>IF(SAISIE!#REF!="","",IF(SAISIE!$N69="","",SAISIE!$N69))</f>
        <v>#REF!</v>
      </c>
      <c r="G951" s="63" t="e">
        <f>IF(SAISIE!#REF!="","",SAISIE!#REF!)</f>
        <v>#REF!</v>
      </c>
      <c r="H951" s="63"/>
      <c r="I951" s="63" t="e">
        <f>IF(SAISIE!#REF!="","",SAISIE!$Q69)</f>
        <v>#REF!</v>
      </c>
      <c r="J951" s="71" t="str">
        <f>IF(COUNTBLANK(SAISIE!$J$6:$M$6)=4,"",IF(SAISIE!#REF!="","",IF(SAISIE!J69&gt;0,SAISIE!$J$6,IF(SAISIE!K69&gt;0,SAISIE!$K$6,IF(SAISIE!L69&gt;0,SAISIE!$L$6,IF(SAISIE!M69&gt;0,SAISIE!$M$6,""))))))</f>
        <v/>
      </c>
      <c r="O951" s="59" t="s">
        <v>54</v>
      </c>
    </row>
    <row r="952" spans="1:15" x14ac:dyDescent="0.25">
      <c r="A952" s="63" t="e">
        <f>IF(AND(G952="",H952=""),"SUPPR",SAISIE!$B$3)</f>
        <v>#REF!</v>
      </c>
      <c r="B952" s="63" t="e">
        <f>IF(SAISIE!#REF!="","",IF(LEN(SAISIE!B69)=1,CONCATENATE("0",SAISIE!B69,"/",SAISIE!$B$4,"/",SAISIE!$B$5),CONCATENATE(SAISIE!B69,"/",SAISIE!$B$4,"/",SAISIE!$B$5)))</f>
        <v>#REF!</v>
      </c>
      <c r="C952" s="63" t="e">
        <f>IF(SAISIE!#REF!="","",SAISIE!#REF!)</f>
        <v>#REF!</v>
      </c>
      <c r="D952" s="63" t="e">
        <f>IF(SAISIE!#REF!="","",SAISIE!E69)</f>
        <v>#REF!</v>
      </c>
      <c r="E952" s="63" t="e">
        <f>IF(SAISIE!#REF!="","",SAISIE!F69)</f>
        <v>#REF!</v>
      </c>
      <c r="F952" s="70" t="e">
        <f>IF(SAISIE!#REF!="","",IF(SAISIE!$N69="","",SAISIE!$N69))</f>
        <v>#REF!</v>
      </c>
      <c r="G952" s="63" t="e">
        <f>IF(SAISIE!#REF!="","",SAISIE!#REF!)</f>
        <v>#REF!</v>
      </c>
      <c r="H952" s="63"/>
      <c r="I952" s="63" t="e">
        <f>IF(SAISIE!#REF!="","",SAISIE!$Q69)</f>
        <v>#REF!</v>
      </c>
      <c r="J952" s="71" t="str">
        <f>IF(COUNTBLANK(SAISIE!$J$6:$M$6)=4,"",IF(SAISIE!#REF!="","",IF(SAISIE!J69&gt;0,SAISIE!$J$6,IF(SAISIE!K69&gt;0,SAISIE!$K$6,IF(SAISIE!L69&gt;0,SAISIE!$L$6,IF(SAISIE!M69&gt;0,SAISIE!$M$6,""))))))</f>
        <v/>
      </c>
      <c r="O952" s="59" t="s">
        <v>55</v>
      </c>
    </row>
    <row r="953" spans="1:15" x14ac:dyDescent="0.25">
      <c r="A953" s="63" t="e">
        <f>IF(AND(G953="",H953=""),"SUPPR",SAISIE!$B$3)</f>
        <v>#REF!</v>
      </c>
      <c r="B953" s="63" t="e">
        <f>IF(SAISIE!#REF!="","",IF(LEN(SAISIE!B69)=1,CONCATENATE("0",SAISIE!B69,"/",SAISIE!$B$4,"/",SAISIE!$B$5),CONCATENATE(SAISIE!B69,"/",SAISIE!$B$4,"/",SAISIE!$B$5)))</f>
        <v>#REF!</v>
      </c>
      <c r="C953" s="63" t="e">
        <f>IF(SAISIE!#REF!="","",SAISIE!#REF!)</f>
        <v>#REF!</v>
      </c>
      <c r="D953" s="63" t="e">
        <f>IF(SAISIE!#REF!="","",SAISIE!E69)</f>
        <v>#REF!</v>
      </c>
      <c r="E953" s="63" t="e">
        <f>IF(SAISIE!#REF!="","",SAISIE!F69)</f>
        <v>#REF!</v>
      </c>
      <c r="F953" s="70" t="e">
        <f>IF(SAISIE!#REF!="","",IF(SAISIE!$N69="","",SAISIE!$N69))</f>
        <v>#REF!</v>
      </c>
      <c r="G953" s="63" t="e">
        <f>IF(SAISIE!#REF!="","",SAISIE!#REF!)</f>
        <v>#REF!</v>
      </c>
      <c r="H953" s="63"/>
      <c r="I953" s="63" t="e">
        <f>IF(SAISIE!#REF!="","",SAISIE!$Q69)</f>
        <v>#REF!</v>
      </c>
      <c r="J953" s="71" t="str">
        <f>IF(COUNTBLANK(SAISIE!$J$6:$M$6)=4,"",IF(SAISIE!#REF!="","",IF(SAISIE!J69&gt;0,SAISIE!$J$6,IF(SAISIE!K69&gt;0,SAISIE!$K$6,IF(SAISIE!L69&gt;0,SAISIE!$L$6,IF(SAISIE!M69&gt;0,SAISIE!$M$6,""))))))</f>
        <v/>
      </c>
      <c r="O953" s="59" t="s">
        <v>56</v>
      </c>
    </row>
    <row r="954" spans="1:15" x14ac:dyDescent="0.25">
      <c r="A954" s="63" t="e">
        <f>IF(AND(G954="",H954=""),"SUPPR",SAISIE!$B$3)</f>
        <v>#REF!</v>
      </c>
      <c r="B954" s="63" t="e">
        <f>IF(SAISIE!#REF!="","",IF(LEN(SAISIE!B69)=1,CONCATENATE("0",SAISIE!B69,"/",SAISIE!$B$4,"/",SAISIE!$B$5),CONCATENATE(SAISIE!B69,"/",SAISIE!$B$4,"/",SAISIE!$B$5)))</f>
        <v>#REF!</v>
      </c>
      <c r="C954" s="63" t="e">
        <f>IF(SAISIE!#REF!="","",SAISIE!#REF!)</f>
        <v>#REF!</v>
      </c>
      <c r="D954" s="63" t="e">
        <f>IF(SAISIE!#REF!="","",SAISIE!E69)</f>
        <v>#REF!</v>
      </c>
      <c r="E954" s="63" t="e">
        <f>IF(SAISIE!#REF!="","",SAISIE!F69)</f>
        <v>#REF!</v>
      </c>
      <c r="F954" s="70" t="e">
        <f>IF(SAISIE!#REF!="","",IF(SAISIE!$N69="","",SAISIE!$N69))</f>
        <v>#REF!</v>
      </c>
      <c r="G954" s="63" t="e">
        <f>IF(SAISIE!#REF!="","",SAISIE!#REF!)</f>
        <v>#REF!</v>
      </c>
      <c r="H954" s="63"/>
      <c r="I954" s="63" t="e">
        <f>IF(SAISIE!#REF!="","",SAISIE!$Q69)</f>
        <v>#REF!</v>
      </c>
      <c r="J954" s="71" t="str">
        <f>IF(COUNTBLANK(SAISIE!$J$6:$M$6)=4,"",IF(SAISIE!#REF!="","",IF(SAISIE!J69&gt;0,SAISIE!$J$6,IF(SAISIE!K69&gt;0,SAISIE!$K$6,IF(SAISIE!L69&gt;0,SAISIE!$L$6,IF(SAISIE!M69&gt;0,SAISIE!$M$6,""))))))</f>
        <v/>
      </c>
      <c r="O954" s="59" t="s">
        <v>57</v>
      </c>
    </row>
    <row r="955" spans="1:15" x14ac:dyDescent="0.25">
      <c r="A955" s="63" t="e">
        <f>IF(AND(G955="",H955=""),"SUPPR",SAISIE!$B$3)</f>
        <v>#REF!</v>
      </c>
      <c r="B955" s="63" t="e">
        <f>IF(SAISIE!#REF!="","",IF(LEN(SAISIE!B69)=1,CONCATENATE("0",SAISIE!B69,"/",SAISIE!$B$4,"/",SAISIE!$B$5),CONCATENATE(SAISIE!B69,"/",SAISIE!$B$4,"/",SAISIE!$B$5)))</f>
        <v>#REF!</v>
      </c>
      <c r="C955" s="63" t="e">
        <f>IF(SAISIE!#REF!="","",SAISIE!#REF!)</f>
        <v>#REF!</v>
      </c>
      <c r="D955" s="63" t="e">
        <f>IF(SAISIE!#REF!="","",SAISIE!E69)</f>
        <v>#REF!</v>
      </c>
      <c r="E955" s="63" t="e">
        <f>IF(SAISIE!#REF!="","",SAISIE!F69)</f>
        <v>#REF!</v>
      </c>
      <c r="F955" s="70" t="e">
        <f>IF(SAISIE!#REF!="","",IF(SAISIE!$N69="","",SAISIE!$N69))</f>
        <v>#REF!</v>
      </c>
      <c r="G955" s="63" t="e">
        <f>IF(SAISIE!#REF!="","",SAISIE!#REF!)</f>
        <v>#REF!</v>
      </c>
      <c r="H955" s="63"/>
      <c r="I955" s="63" t="e">
        <f>IF(SAISIE!#REF!="","",SAISIE!$Q69)</f>
        <v>#REF!</v>
      </c>
      <c r="J955" s="71" t="str">
        <f>IF(COUNTBLANK(SAISIE!$J$6:$M$6)=4,"",IF(SAISIE!#REF!="","",IF(SAISIE!J69&gt;0,SAISIE!$J$6,IF(SAISIE!K69&gt;0,SAISIE!$K$6,IF(SAISIE!L69&gt;0,SAISIE!$L$6,IF(SAISIE!M69&gt;0,SAISIE!$M$6,""))))))</f>
        <v/>
      </c>
      <c r="O955" s="59" t="s">
        <v>58</v>
      </c>
    </row>
    <row r="956" spans="1:15" x14ac:dyDescent="0.25">
      <c r="A956" s="63" t="e">
        <f>IF(AND(G956="",H956=""),"SUPPR",SAISIE!$B$3)</f>
        <v>#REF!</v>
      </c>
      <c r="B956" s="63" t="e">
        <f>IF(SAISIE!#REF!="","",IF(LEN(SAISIE!B69)=1,CONCATENATE("0",SAISIE!B69,"/",SAISIE!$B$4,"/",SAISIE!$B$5),CONCATENATE(SAISIE!B69,"/",SAISIE!$B$4,"/",SAISIE!$B$5)))</f>
        <v>#REF!</v>
      </c>
      <c r="C956" s="63" t="e">
        <f>IF(SAISIE!#REF!="","",SAISIE!#REF!)</f>
        <v>#REF!</v>
      </c>
      <c r="D956" s="63" t="e">
        <f>IF(SAISIE!#REF!="","",SAISIE!E69)</f>
        <v>#REF!</v>
      </c>
      <c r="E956" s="63" t="e">
        <f>IF(SAISIE!#REF!="","",SAISIE!F69)</f>
        <v>#REF!</v>
      </c>
      <c r="F956" s="70" t="e">
        <f>IF(SAISIE!#REF!="","",IF(SAISIE!$N69="","",SAISIE!$N69))</f>
        <v>#REF!</v>
      </c>
      <c r="G956" s="63" t="e">
        <f>IF(SAISIE!#REF!="","",SAISIE!#REF!)</f>
        <v>#REF!</v>
      </c>
      <c r="H956" s="63"/>
      <c r="I956" s="63" t="e">
        <f>IF(SAISIE!#REF!="","",SAISIE!$Q69)</f>
        <v>#REF!</v>
      </c>
      <c r="J956" s="71" t="str">
        <f>IF(COUNTBLANK(SAISIE!$J$6:$M$6)=4,"",IF(SAISIE!#REF!="","",IF(SAISIE!J69&gt;0,SAISIE!$J$6,IF(SAISIE!K69&gt;0,SAISIE!$K$6,IF(SAISIE!L69&gt;0,SAISIE!$L$6,IF(SAISIE!M69&gt;0,SAISIE!$M$6,""))))))</f>
        <v/>
      </c>
      <c r="O956" s="59" t="s">
        <v>59</v>
      </c>
    </row>
    <row r="957" spans="1:15" x14ac:dyDescent="0.25">
      <c r="A957" s="63" t="e">
        <f>IF(AND(G957="",H957=""),"SUPPR",SAISIE!$B$3)</f>
        <v>#REF!</v>
      </c>
      <c r="B957" s="63" t="e">
        <f>IF(SAISIE!#REF!="","",IF(LEN(SAISIE!B69)=1,CONCATENATE("0",SAISIE!B69,"/",SAISIE!$B$4,"/",SAISIE!$B$5),CONCATENATE(SAISIE!B69,"/",SAISIE!$B$4,"/",SAISIE!$B$5)))</f>
        <v>#REF!</v>
      </c>
      <c r="C957" s="63" t="e">
        <f>IF(SAISIE!#REF!="","",SAISIE!#REF!)</f>
        <v>#REF!</v>
      </c>
      <c r="D957" s="63" t="e">
        <f>IF(SAISIE!#REF!="","",SAISIE!E69)</f>
        <v>#REF!</v>
      </c>
      <c r="E957" s="63" t="e">
        <f>IF(SAISIE!#REF!="","",SAISIE!F69)</f>
        <v>#REF!</v>
      </c>
      <c r="F957" s="70" t="e">
        <f>IF(SAISIE!#REF!="","",IF(SAISIE!$N69="","",SAISIE!$N69))</f>
        <v>#REF!</v>
      </c>
      <c r="G957" s="63" t="e">
        <f>IF(SAISIE!#REF!="","",SAISIE!#REF!)</f>
        <v>#REF!</v>
      </c>
      <c r="H957" s="63"/>
      <c r="I957" s="63" t="e">
        <f>IF(SAISIE!#REF!="","",SAISIE!$Q69)</f>
        <v>#REF!</v>
      </c>
      <c r="J957" s="71" t="str">
        <f>IF(COUNTBLANK(SAISIE!$J$6:$M$6)=4,"",IF(SAISIE!#REF!="","",IF(SAISIE!J69&gt;0,SAISIE!$J$6,IF(SAISIE!K69&gt;0,SAISIE!$K$6,IF(SAISIE!L69&gt;0,SAISIE!$L$6,IF(SAISIE!M69&gt;0,SAISIE!$M$6,""))))))</f>
        <v/>
      </c>
      <c r="O957" s="59" t="s">
        <v>60</v>
      </c>
    </row>
    <row r="958" spans="1:15" x14ac:dyDescent="0.25">
      <c r="A958" s="63" t="str">
        <f>IF(AND(G958="",H958=""),"SUPPR",SAISIE!$B$3)</f>
        <v>SUPPR</v>
      </c>
      <c r="B958" s="63" t="str">
        <f>IF(SAISIE!J69="","",IF(LEN(SAISIE!B69)=1,CONCATENATE("0",SAISIE!B69,"/",SAISIE!$B$4,"/",SAISIE!$B$5),CONCATENATE(SAISIE!B69,"/",SAISIE!$B$4,"/",SAISIE!$B$5)))</f>
        <v/>
      </c>
      <c r="C958" s="63" t="str">
        <f>IF(SAISIE!J69="","",SAISIE!$J$8)</f>
        <v/>
      </c>
      <c r="D958" s="63" t="str">
        <f>IF(SAISIE!J69="","",SAISIE!E69)</f>
        <v/>
      </c>
      <c r="E958" s="63" t="str">
        <f>IF(SAISIE!J69="","",SAISIE!F69)</f>
        <v/>
      </c>
      <c r="F958" s="70" t="str">
        <f>IF(SAISIE!$J69="","",IF(SAISIE!$N69="","",SAISIE!$N69))</f>
        <v/>
      </c>
      <c r="G958" s="63" t="str">
        <f>IF(SAISIE!J69="","",SAISIE!J69)</f>
        <v/>
      </c>
      <c r="H958" s="63"/>
      <c r="I958" s="72"/>
      <c r="J958" s="71"/>
      <c r="O958" s="73"/>
    </row>
    <row r="959" spans="1:15" x14ac:dyDescent="0.25">
      <c r="A959" s="63" t="str">
        <f>IF(AND(G959="",H959=""),"SUPPR",SAISIE!$B$3)</f>
        <v>SUPPR</v>
      </c>
      <c r="B959" s="63" t="str">
        <f>IF(SAISIE!K69="","",IF(LEN(SAISIE!B69)=1,CONCATENATE("0",SAISIE!B69,"/",SAISIE!$B$4,"/",SAISIE!$B$5),CONCATENATE(SAISIE!B69,"/",SAISIE!$B$4,"/",SAISIE!$B$5)))</f>
        <v/>
      </c>
      <c r="C959" s="63" t="str">
        <f>IF(SAISIE!K69="","",SAISIE!$K$8)</f>
        <v/>
      </c>
      <c r="D959" s="63" t="str">
        <f>IF(SAISIE!K69="","",SAISIE!E69)</f>
        <v/>
      </c>
      <c r="E959" s="63" t="str">
        <f>IF(SAISIE!K69="","",SAISIE!F69)</f>
        <v/>
      </c>
      <c r="F959" s="70" t="str">
        <f>IF(SAISIE!$K69="","",IF(SAISIE!$N69="","",SAISIE!$N69))</f>
        <v/>
      </c>
      <c r="G959" s="63" t="str">
        <f>IF(SAISIE!K69="","",SAISIE!K69)</f>
        <v/>
      </c>
      <c r="H959" s="63"/>
      <c r="I959" s="72"/>
      <c r="J959" s="71"/>
    </row>
    <row r="960" spans="1:15" x14ac:dyDescent="0.25">
      <c r="A960" s="63" t="str">
        <f>IF(AND(G960="",H960=""),"SUPPR",SAISIE!$B$3)</f>
        <v>SUPPR</v>
      </c>
      <c r="B960" s="63" t="str">
        <f>IF(SAISIE!L69="","",IF(LEN(SAISIE!B69)=1,CONCATENATE("0",SAISIE!B69,"/",SAISIE!$B$4,"/",SAISIE!$B$5),CONCATENATE(SAISIE!B69,"/",SAISIE!$B$4,"/",SAISIE!$B$5)))</f>
        <v/>
      </c>
      <c r="C960" s="63" t="str">
        <f>IF(SAISIE!L69="","",SAISIE!$L$8)</f>
        <v/>
      </c>
      <c r="D960" s="63" t="str">
        <f>IF(SAISIE!L69="","",SAISIE!E69)</f>
        <v/>
      </c>
      <c r="E960" s="63" t="str">
        <f>IF(SAISIE!L69="","",SAISIE!F69)</f>
        <v/>
      </c>
      <c r="F960" s="70" t="str">
        <f>IF(SAISIE!$L69="","",IF(SAISIE!$N69="","",SAISIE!$N69))</f>
        <v/>
      </c>
      <c r="G960" s="63" t="str">
        <f>IF(SAISIE!L69="","",SAISIE!L69)</f>
        <v/>
      </c>
      <c r="H960" s="63"/>
      <c r="I960" s="72"/>
      <c r="J960" s="71"/>
    </row>
    <row r="961" spans="1:15" x14ac:dyDescent="0.25">
      <c r="A961" s="63" t="str">
        <f>IF(AND(G961="",H961=""),"SUPPR",SAISIE!$B$3)</f>
        <v>SUPPR</v>
      </c>
      <c r="B961" s="63" t="str">
        <f>IF(SAISIE!M69="","",IF(LEN(SAISIE!B69)=1,CONCATENATE("0",SAISIE!B69,"/",SAISIE!$B$4,"/",SAISIE!$B$5),CONCATENATE(SAISIE!B69,"/",SAISIE!$B$4,"/",SAISIE!$B$5)))</f>
        <v/>
      </c>
      <c r="C961" s="74" t="str">
        <f>IF(SAISIE!M69="","",SAISIE!$M$8)</f>
        <v/>
      </c>
      <c r="D961" s="74" t="str">
        <f>IF(SAISIE!M69="","",SAISIE!E69)</f>
        <v/>
      </c>
      <c r="E961" s="74" t="str">
        <f>IF(SAISIE!M69="","",SAISIE!F69)</f>
        <v/>
      </c>
      <c r="F961" s="75" t="str">
        <f>IF(SAISIE!$M69="","",IF(SAISIE!$N69="","",SAISIE!$N69))</f>
        <v/>
      </c>
      <c r="G961" s="74" t="str">
        <f>IF(SAISIE!M69="","",SAISIE!M69)</f>
        <v/>
      </c>
      <c r="H961" s="76"/>
      <c r="I961" s="77"/>
      <c r="J961" s="78"/>
    </row>
    <row r="962" spans="1:15" x14ac:dyDescent="0.25">
      <c r="A962" s="63" t="str">
        <f>IF(AND(G962="",H962=""),"SUPPR",SAISIE!$B$3)</f>
        <v>SUPPR</v>
      </c>
      <c r="B962" s="64" t="str">
        <f>IF(SAISIE!B70="","",IF(LEN(SAISIE!B70)=1,CONCATENATE("0",SAISIE!B70,"/",SAISIE!$B$4,"/",SAISIE!$B$5),CONCATENATE(SAISIE!B70,"/",SAISIE!$B$4,"/",SAISIE!$B$5)))</f>
        <v/>
      </c>
      <c r="C962" s="64" t="str">
        <f>IF(SAISIE!B70="","",CONCATENATE($M$2,SAISIE!C70))</f>
        <v/>
      </c>
      <c r="D962" s="64" t="str">
        <f>IF(SAISIE!B70="","",SAISIE!E70)</f>
        <v/>
      </c>
      <c r="E962" s="64" t="str">
        <f>IF(SAISIE!B70="","",SAISIE!F70)</f>
        <v/>
      </c>
      <c r="F962" s="65" t="str">
        <f>IF(A962="SUPPR","",IF(SAISIE!$N70="","",SAISIE!$N70))</f>
        <v/>
      </c>
      <c r="G962" s="64"/>
      <c r="H962" s="64" t="str">
        <f>IF(SAISIE!B70="","",SAISIE!D70)</f>
        <v/>
      </c>
      <c r="I962" s="66"/>
      <c r="J962" s="67" t="str">
        <f>IF(AZ70="","","")</f>
        <v/>
      </c>
      <c r="O962" s="69">
        <f>O946+1</f>
        <v>70</v>
      </c>
    </row>
    <row r="963" spans="1:15" x14ac:dyDescent="0.25">
      <c r="A963" s="63" t="str">
        <f>IF(AND(G963="",H963=""),"SUPPR",SAISIE!$B$3)</f>
        <v>SUPPR</v>
      </c>
      <c r="B963" s="63" t="str">
        <f>IF(SAISIE!P70="","",IF(LEN(SAISIE!B70)=1,CONCATENATE("0",SAISIE!B70,"/",SAISIE!$B$4,"/",SAISIE!$B$5),CONCATENATE(SAISIE!B70,"/",SAISIE!$B$4,"/",SAISIE!$B$5)))</f>
        <v/>
      </c>
      <c r="C963" s="63" t="str">
        <f>IF(SAISIE!P70="","",SAISIE!O70)</f>
        <v/>
      </c>
      <c r="D963" s="63" t="str">
        <f>IF(SAISIE!P70="","",SAISIE!E70)</f>
        <v/>
      </c>
      <c r="E963" s="63" t="str">
        <f>IF(SAISIE!P70="","",SAISIE!F70)</f>
        <v/>
      </c>
      <c r="F963" s="70" t="str">
        <f>IF(SAISIE!$P70="","",IF(SAISIE!$N70="","",SAISIE!$N70))</f>
        <v/>
      </c>
      <c r="G963" s="63" t="str">
        <f>IF(SAISIE!P70="","",SAISIE!P70)</f>
        <v/>
      </c>
      <c r="H963" s="63"/>
      <c r="I963" s="63" t="str">
        <f>IF(SAISIE!$P70="","",SAISIE!$Q70)</f>
        <v/>
      </c>
      <c r="J963" s="71" t="str">
        <f>IF(COUNTBLANK(SAISIE!$J$6:$M$6)=4,"",IF(SAISIE!P70="","",IF(SAISIE!J70&gt;0,SAISIE!$J$6,IF(SAISIE!K70&gt;0,SAISIE!$K$6,IF(SAISIE!L70&gt;0,SAISIE!$L$6,IF(SAISIE!M70&gt;0,SAISIE!$M$6,""))))))</f>
        <v/>
      </c>
      <c r="O963" s="59" t="s">
        <v>50</v>
      </c>
    </row>
    <row r="964" spans="1:15" x14ac:dyDescent="0.25">
      <c r="A964" s="63" t="str">
        <f>IF(AND(G964="",H964=""),"SUPPR",SAISIE!$B$3)</f>
        <v>SUPPR</v>
      </c>
      <c r="B964" s="63" t="str">
        <f>IF(SAISIE!G70="","",IF(LEN(SAISIE!B70)=1,CONCATENATE("0",SAISIE!B70,"/",SAISIE!$B$4,"/",SAISIE!$B$5),CONCATENATE(SAISIE!B70,"/",SAISIE!$B$4,"/",SAISIE!$B$5)))</f>
        <v/>
      </c>
      <c r="C964" s="63" t="str">
        <f>IF(SAISIE!G70="","",SAISIE!$G$8)</f>
        <v/>
      </c>
      <c r="D964" s="63" t="str">
        <f>IF(SAISIE!G70="","",SAISIE!E70)</f>
        <v/>
      </c>
      <c r="E964" s="63" t="str">
        <f>IF(SAISIE!G70="","",SAISIE!F70)</f>
        <v/>
      </c>
      <c r="F964" s="70" t="str">
        <f>IF(SAISIE!$G70="","",IF(SAISIE!$N70="","",SAISIE!$N70))</f>
        <v/>
      </c>
      <c r="G964" s="63" t="str">
        <f>IF(SAISIE!G70="","",SAISIE!G70)</f>
        <v/>
      </c>
      <c r="H964" s="63"/>
      <c r="I964" s="63" t="str">
        <f>IF(SAISIE!$G70="","",SAISIE!$Q70)</f>
        <v/>
      </c>
      <c r="J964" s="71" t="str">
        <f>IF(COUNTBLANK(SAISIE!$J$6:$M$6)=4,"",IF(SAISIE!G70="","",IF(SAISIE!J70&gt;0,SAISIE!$J$6,IF(SAISIE!K70&gt;0,SAISIE!$K$6,IF(SAISIE!L70&gt;0,SAISIE!$L$6,IF(SAISIE!M70&gt;0,SAISIE!$M$6,""))))))</f>
        <v/>
      </c>
      <c r="O964" s="59" t="s">
        <v>51</v>
      </c>
    </row>
    <row r="965" spans="1:15" x14ac:dyDescent="0.25">
      <c r="A965" s="63" t="str">
        <f>IF(AND(G965="",H965=""),"SUPPR",SAISIE!$B$3)</f>
        <v>SUPPR</v>
      </c>
      <c r="B965" s="63" t="str">
        <f>IF(SAISIE!H70="","",IF(LEN(SAISIE!B70)=1,CONCATENATE("0",SAISIE!B70,"/",SAISIE!$B$4,"/",SAISIE!$B$5),CONCATENATE(SAISIE!B70,"/",SAISIE!$B$4,"/",SAISIE!$B$5)))</f>
        <v/>
      </c>
      <c r="C965" s="63" t="str">
        <f>IF(SAISIE!H70="","",SAISIE!$H$8)</f>
        <v/>
      </c>
      <c r="D965" s="63" t="str">
        <f>IF(SAISIE!H70="","",SAISIE!E70)</f>
        <v/>
      </c>
      <c r="E965" s="63" t="str">
        <f>IF(SAISIE!H70="","",SAISIE!F70)</f>
        <v/>
      </c>
      <c r="F965" s="70" t="str">
        <f>IF(SAISIE!$H70="","",IF(SAISIE!$N70="","",SAISIE!$N70))</f>
        <v/>
      </c>
      <c r="G965" s="63" t="str">
        <f>IF(SAISIE!H70="","",SAISIE!H70)</f>
        <v/>
      </c>
      <c r="H965" s="63"/>
      <c r="I965" s="63" t="str">
        <f>IF(SAISIE!$H70="","",SAISIE!$Q70)</f>
        <v/>
      </c>
      <c r="J965" s="71" t="str">
        <f>IF(COUNTBLANK(SAISIE!$J$6:$M$6)=4,"",IF(SAISIE!H70="","",IF(SAISIE!J70&gt;0,SAISIE!$J$6,IF(SAISIE!K70&gt;0,SAISIE!$K$6,IF(SAISIE!L70&gt;0,SAISIE!$L$6,IF(SAISIE!M70&gt;0,SAISIE!$M$6,""))))))</f>
        <v/>
      </c>
      <c r="O965" s="59" t="s">
        <v>52</v>
      </c>
    </row>
    <row r="966" spans="1:15" x14ac:dyDescent="0.25">
      <c r="A966" s="63" t="str">
        <f>IF(AND(G966="",H966=""),"SUPPR",SAISIE!$B$3)</f>
        <v>SUPPR</v>
      </c>
      <c r="B966" s="63" t="str">
        <f>IF(SAISIE!I70="","",IF(LEN(SAISIE!B70)=1,CONCATENATE("0",SAISIE!B70,"/",SAISIE!$B$4,"/",SAISIE!$B$5),CONCATENATE(SAISIE!B70,"/",SAISIE!$B$4,"/",SAISIE!$B$5)))</f>
        <v/>
      </c>
      <c r="C966" s="63" t="str">
        <f>IF(SAISIE!I70="","",SAISIE!$I$8)</f>
        <v/>
      </c>
      <c r="D966" s="63" t="str">
        <f>IF(SAISIE!I70="","",SAISIE!E70)</f>
        <v/>
      </c>
      <c r="E966" s="63" t="str">
        <f>IF(SAISIE!I70="","",SAISIE!F70)</f>
        <v/>
      </c>
      <c r="F966" s="70" t="str">
        <f>IF(SAISIE!$I70="","",IF(SAISIE!$N70="","",SAISIE!$N70))</f>
        <v/>
      </c>
      <c r="G966" s="63" t="str">
        <f>IF(SAISIE!I70="","",SAISIE!I70)</f>
        <v/>
      </c>
      <c r="H966" s="63"/>
      <c r="I966" s="63" t="str">
        <f>IF(SAISIE!$I70="","",SAISIE!$Q70)</f>
        <v/>
      </c>
      <c r="J966" s="71" t="str">
        <f>IF(COUNTBLANK(SAISIE!$J$6:$M$6)=4,"",IF(SAISIE!I70="","",IF(SAISIE!J70&gt;0,SAISIE!$J$6,IF(SAISIE!K70&gt;0,SAISIE!$K$6,IF(SAISIE!L70&gt;0,SAISIE!$L$6,IF(SAISIE!M70&gt;0,SAISIE!$M$6,""))))))</f>
        <v/>
      </c>
      <c r="O966" s="59" t="s">
        <v>53</v>
      </c>
    </row>
    <row r="967" spans="1:15" x14ac:dyDescent="0.25">
      <c r="A967" s="63" t="e">
        <f>IF(AND(G967="",H967=""),"SUPPR",SAISIE!$B$3)</f>
        <v>#REF!</v>
      </c>
      <c r="B967" s="63" t="e">
        <f>IF(SAISIE!#REF!="","",IF(LEN(SAISIE!B70)=1,CONCATENATE("0",SAISIE!B70,"/",SAISIE!$B$4,"/",SAISIE!$B$5),CONCATENATE(SAISIE!B70,"/",SAISIE!$B$4,"/",SAISIE!$B$5)))</f>
        <v>#REF!</v>
      </c>
      <c r="C967" s="63" t="e">
        <f>IF(SAISIE!#REF!="","",SAISIE!#REF!)</f>
        <v>#REF!</v>
      </c>
      <c r="D967" s="63" t="e">
        <f>IF(SAISIE!#REF!="","",SAISIE!E70)</f>
        <v>#REF!</v>
      </c>
      <c r="E967" s="63" t="e">
        <f>IF(SAISIE!#REF!="","",SAISIE!F70)</f>
        <v>#REF!</v>
      </c>
      <c r="F967" s="70" t="e">
        <f>IF(SAISIE!#REF!="","",IF(SAISIE!$N70="","",SAISIE!$N70))</f>
        <v>#REF!</v>
      </c>
      <c r="G967" s="63" t="e">
        <f>IF(SAISIE!#REF!="","",SAISIE!#REF!)</f>
        <v>#REF!</v>
      </c>
      <c r="H967" s="63"/>
      <c r="I967" s="63" t="e">
        <f>IF(SAISIE!#REF!="","",SAISIE!$Q70)</f>
        <v>#REF!</v>
      </c>
      <c r="J967" s="71" t="str">
        <f>IF(COUNTBLANK(SAISIE!$J$6:$M$6)=4,"",IF(SAISIE!#REF!="","",IF(SAISIE!J70&gt;0,SAISIE!$J$6,IF(SAISIE!K70&gt;0,SAISIE!$K$6,IF(SAISIE!L70&gt;0,SAISIE!$L$6,IF(SAISIE!M70&gt;0,SAISIE!$M$6,""))))))</f>
        <v/>
      </c>
      <c r="O967" s="59" t="s">
        <v>54</v>
      </c>
    </row>
    <row r="968" spans="1:15" x14ac:dyDescent="0.25">
      <c r="A968" s="63" t="e">
        <f>IF(AND(G968="",H968=""),"SUPPR",SAISIE!$B$3)</f>
        <v>#REF!</v>
      </c>
      <c r="B968" s="63" t="e">
        <f>IF(SAISIE!#REF!="","",IF(LEN(SAISIE!B70)=1,CONCATENATE("0",SAISIE!B70,"/",SAISIE!$B$4,"/",SAISIE!$B$5),CONCATENATE(SAISIE!B70,"/",SAISIE!$B$4,"/",SAISIE!$B$5)))</f>
        <v>#REF!</v>
      </c>
      <c r="C968" s="63" t="e">
        <f>IF(SAISIE!#REF!="","",SAISIE!#REF!)</f>
        <v>#REF!</v>
      </c>
      <c r="D968" s="63" t="e">
        <f>IF(SAISIE!#REF!="","",SAISIE!E70)</f>
        <v>#REF!</v>
      </c>
      <c r="E968" s="63" t="e">
        <f>IF(SAISIE!#REF!="","",SAISIE!F70)</f>
        <v>#REF!</v>
      </c>
      <c r="F968" s="70" t="e">
        <f>IF(SAISIE!#REF!="","",IF(SAISIE!$N70="","",SAISIE!$N70))</f>
        <v>#REF!</v>
      </c>
      <c r="G968" s="63" t="e">
        <f>IF(SAISIE!#REF!="","",SAISIE!#REF!)</f>
        <v>#REF!</v>
      </c>
      <c r="H968" s="63"/>
      <c r="I968" s="63" t="e">
        <f>IF(SAISIE!#REF!="","",SAISIE!$Q70)</f>
        <v>#REF!</v>
      </c>
      <c r="J968" s="71" t="str">
        <f>IF(COUNTBLANK(SAISIE!$J$6:$M$6)=4,"",IF(SAISIE!#REF!="","",IF(SAISIE!J70&gt;0,SAISIE!$J$6,IF(SAISIE!K70&gt;0,SAISIE!$K$6,IF(SAISIE!L70&gt;0,SAISIE!$L$6,IF(SAISIE!M70&gt;0,SAISIE!$M$6,""))))))</f>
        <v/>
      </c>
      <c r="O968" s="59" t="s">
        <v>55</v>
      </c>
    </row>
    <row r="969" spans="1:15" x14ac:dyDescent="0.25">
      <c r="A969" s="63" t="e">
        <f>IF(AND(G969="",H969=""),"SUPPR",SAISIE!$B$3)</f>
        <v>#REF!</v>
      </c>
      <c r="B969" s="63" t="e">
        <f>IF(SAISIE!#REF!="","",IF(LEN(SAISIE!B70)=1,CONCATENATE("0",SAISIE!B70,"/",SAISIE!$B$4,"/",SAISIE!$B$5),CONCATENATE(SAISIE!B70,"/",SAISIE!$B$4,"/",SAISIE!$B$5)))</f>
        <v>#REF!</v>
      </c>
      <c r="C969" s="63" t="e">
        <f>IF(SAISIE!#REF!="","",SAISIE!#REF!)</f>
        <v>#REF!</v>
      </c>
      <c r="D969" s="63" t="e">
        <f>IF(SAISIE!#REF!="","",SAISIE!E70)</f>
        <v>#REF!</v>
      </c>
      <c r="E969" s="63" t="e">
        <f>IF(SAISIE!#REF!="","",SAISIE!F70)</f>
        <v>#REF!</v>
      </c>
      <c r="F969" s="70" t="e">
        <f>IF(SAISIE!#REF!="","",IF(SAISIE!$N70="","",SAISIE!$N70))</f>
        <v>#REF!</v>
      </c>
      <c r="G969" s="63" t="e">
        <f>IF(SAISIE!#REF!="","",SAISIE!#REF!)</f>
        <v>#REF!</v>
      </c>
      <c r="H969" s="63"/>
      <c r="I969" s="63" t="e">
        <f>IF(SAISIE!#REF!="","",SAISIE!$Q70)</f>
        <v>#REF!</v>
      </c>
      <c r="J969" s="71" t="str">
        <f>IF(COUNTBLANK(SAISIE!$J$6:$M$6)=4,"",IF(SAISIE!#REF!="","",IF(SAISIE!J70&gt;0,SAISIE!$J$6,IF(SAISIE!K70&gt;0,SAISIE!$K$6,IF(SAISIE!L70&gt;0,SAISIE!$L$6,IF(SAISIE!M70&gt;0,SAISIE!$M$6,""))))))</f>
        <v/>
      </c>
      <c r="O969" s="59" t="s">
        <v>56</v>
      </c>
    </row>
    <row r="970" spans="1:15" x14ac:dyDescent="0.25">
      <c r="A970" s="63" t="e">
        <f>IF(AND(G970="",H970=""),"SUPPR",SAISIE!$B$3)</f>
        <v>#REF!</v>
      </c>
      <c r="B970" s="63" t="e">
        <f>IF(SAISIE!#REF!="","",IF(LEN(SAISIE!B70)=1,CONCATENATE("0",SAISIE!B70,"/",SAISIE!$B$4,"/",SAISIE!$B$5),CONCATENATE(SAISIE!B70,"/",SAISIE!$B$4,"/",SAISIE!$B$5)))</f>
        <v>#REF!</v>
      </c>
      <c r="C970" s="63" t="e">
        <f>IF(SAISIE!#REF!="","",SAISIE!#REF!)</f>
        <v>#REF!</v>
      </c>
      <c r="D970" s="63" t="e">
        <f>IF(SAISIE!#REF!="","",SAISIE!E70)</f>
        <v>#REF!</v>
      </c>
      <c r="E970" s="63" t="e">
        <f>IF(SAISIE!#REF!="","",SAISIE!F70)</f>
        <v>#REF!</v>
      </c>
      <c r="F970" s="70" t="e">
        <f>IF(SAISIE!#REF!="","",IF(SAISIE!$N70="","",SAISIE!$N70))</f>
        <v>#REF!</v>
      </c>
      <c r="G970" s="63" t="e">
        <f>IF(SAISIE!#REF!="","",SAISIE!#REF!)</f>
        <v>#REF!</v>
      </c>
      <c r="H970" s="63"/>
      <c r="I970" s="63" t="e">
        <f>IF(SAISIE!#REF!="","",SAISIE!$Q70)</f>
        <v>#REF!</v>
      </c>
      <c r="J970" s="71" t="str">
        <f>IF(COUNTBLANK(SAISIE!$J$6:$M$6)=4,"",IF(SAISIE!#REF!="","",IF(SAISIE!J70&gt;0,SAISIE!$J$6,IF(SAISIE!K70&gt;0,SAISIE!$K$6,IF(SAISIE!L70&gt;0,SAISIE!$L$6,IF(SAISIE!M70&gt;0,SAISIE!$M$6,""))))))</f>
        <v/>
      </c>
      <c r="O970" s="59" t="s">
        <v>57</v>
      </c>
    </row>
    <row r="971" spans="1:15" x14ac:dyDescent="0.25">
      <c r="A971" s="63" t="e">
        <f>IF(AND(G971="",H971=""),"SUPPR",SAISIE!$B$3)</f>
        <v>#REF!</v>
      </c>
      <c r="B971" s="63" t="e">
        <f>IF(SAISIE!#REF!="","",IF(LEN(SAISIE!B70)=1,CONCATENATE("0",SAISIE!B70,"/",SAISIE!$B$4,"/",SAISIE!$B$5),CONCATENATE(SAISIE!B70,"/",SAISIE!$B$4,"/",SAISIE!$B$5)))</f>
        <v>#REF!</v>
      </c>
      <c r="C971" s="63" t="e">
        <f>IF(SAISIE!#REF!="","",SAISIE!#REF!)</f>
        <v>#REF!</v>
      </c>
      <c r="D971" s="63" t="e">
        <f>IF(SAISIE!#REF!="","",SAISIE!E70)</f>
        <v>#REF!</v>
      </c>
      <c r="E971" s="63" t="e">
        <f>IF(SAISIE!#REF!="","",SAISIE!F70)</f>
        <v>#REF!</v>
      </c>
      <c r="F971" s="70" t="e">
        <f>IF(SAISIE!#REF!="","",IF(SAISIE!$N70="","",SAISIE!$N70))</f>
        <v>#REF!</v>
      </c>
      <c r="G971" s="63" t="e">
        <f>IF(SAISIE!#REF!="","",SAISIE!#REF!)</f>
        <v>#REF!</v>
      </c>
      <c r="H971" s="63"/>
      <c r="I971" s="63" t="e">
        <f>IF(SAISIE!#REF!="","",SAISIE!$Q70)</f>
        <v>#REF!</v>
      </c>
      <c r="J971" s="71" t="str">
        <f>IF(COUNTBLANK(SAISIE!$J$6:$M$6)=4,"",IF(SAISIE!#REF!="","",IF(SAISIE!J70&gt;0,SAISIE!$J$6,IF(SAISIE!K70&gt;0,SAISIE!$K$6,IF(SAISIE!L70&gt;0,SAISIE!$L$6,IF(SAISIE!M70&gt;0,SAISIE!$M$6,""))))))</f>
        <v/>
      </c>
      <c r="O971" s="59" t="s">
        <v>58</v>
      </c>
    </row>
    <row r="972" spans="1:15" x14ac:dyDescent="0.25">
      <c r="A972" s="63" t="e">
        <f>IF(AND(G972="",H972=""),"SUPPR",SAISIE!$B$3)</f>
        <v>#REF!</v>
      </c>
      <c r="B972" s="63" t="e">
        <f>IF(SAISIE!#REF!="","",IF(LEN(SAISIE!B70)=1,CONCATENATE("0",SAISIE!B70,"/",SAISIE!$B$4,"/",SAISIE!$B$5),CONCATENATE(SAISIE!B70,"/",SAISIE!$B$4,"/",SAISIE!$B$5)))</f>
        <v>#REF!</v>
      </c>
      <c r="C972" s="63" t="e">
        <f>IF(SAISIE!#REF!="","",SAISIE!#REF!)</f>
        <v>#REF!</v>
      </c>
      <c r="D972" s="63" t="e">
        <f>IF(SAISIE!#REF!="","",SAISIE!E70)</f>
        <v>#REF!</v>
      </c>
      <c r="E972" s="63" t="e">
        <f>IF(SAISIE!#REF!="","",SAISIE!F70)</f>
        <v>#REF!</v>
      </c>
      <c r="F972" s="70" t="e">
        <f>IF(SAISIE!#REF!="","",IF(SAISIE!$N70="","",SAISIE!$N70))</f>
        <v>#REF!</v>
      </c>
      <c r="G972" s="63" t="e">
        <f>IF(SAISIE!#REF!="","",SAISIE!#REF!)</f>
        <v>#REF!</v>
      </c>
      <c r="H972" s="63"/>
      <c r="I972" s="63" t="e">
        <f>IF(SAISIE!#REF!="","",SAISIE!$Q70)</f>
        <v>#REF!</v>
      </c>
      <c r="J972" s="71" t="str">
        <f>IF(COUNTBLANK(SAISIE!$J$6:$M$6)=4,"",IF(SAISIE!#REF!="","",IF(SAISIE!J70&gt;0,SAISIE!$J$6,IF(SAISIE!K70&gt;0,SAISIE!$K$6,IF(SAISIE!L70&gt;0,SAISIE!$L$6,IF(SAISIE!M70&gt;0,SAISIE!$M$6,""))))))</f>
        <v/>
      </c>
      <c r="O972" s="59" t="s">
        <v>59</v>
      </c>
    </row>
    <row r="973" spans="1:15" x14ac:dyDescent="0.25">
      <c r="A973" s="63" t="e">
        <f>IF(AND(G973="",H973=""),"SUPPR",SAISIE!$B$3)</f>
        <v>#REF!</v>
      </c>
      <c r="B973" s="63" t="e">
        <f>IF(SAISIE!#REF!="","",IF(LEN(SAISIE!B70)=1,CONCATENATE("0",SAISIE!B70,"/",SAISIE!$B$4,"/",SAISIE!$B$5),CONCATENATE(SAISIE!B70,"/",SAISIE!$B$4,"/",SAISIE!$B$5)))</f>
        <v>#REF!</v>
      </c>
      <c r="C973" s="63" t="e">
        <f>IF(SAISIE!#REF!="","",SAISIE!#REF!)</f>
        <v>#REF!</v>
      </c>
      <c r="D973" s="63" t="e">
        <f>IF(SAISIE!#REF!="","",SAISIE!E70)</f>
        <v>#REF!</v>
      </c>
      <c r="E973" s="63" t="e">
        <f>IF(SAISIE!#REF!="","",SAISIE!F70)</f>
        <v>#REF!</v>
      </c>
      <c r="F973" s="70" t="e">
        <f>IF(SAISIE!#REF!="","",IF(SAISIE!$N70="","",SAISIE!$N70))</f>
        <v>#REF!</v>
      </c>
      <c r="G973" s="63" t="e">
        <f>IF(SAISIE!#REF!="","",SAISIE!#REF!)</f>
        <v>#REF!</v>
      </c>
      <c r="H973" s="63"/>
      <c r="I973" s="63" t="e">
        <f>IF(SAISIE!#REF!="","",SAISIE!$Q70)</f>
        <v>#REF!</v>
      </c>
      <c r="J973" s="71" t="str">
        <f>IF(COUNTBLANK(SAISIE!$J$6:$M$6)=4,"",IF(SAISIE!#REF!="","",IF(SAISIE!J70&gt;0,SAISIE!$J$6,IF(SAISIE!K70&gt;0,SAISIE!$K$6,IF(SAISIE!L70&gt;0,SAISIE!$L$6,IF(SAISIE!M70&gt;0,SAISIE!$M$6,""))))))</f>
        <v/>
      </c>
      <c r="O973" s="59" t="s">
        <v>60</v>
      </c>
    </row>
    <row r="974" spans="1:15" x14ac:dyDescent="0.25">
      <c r="A974" s="63" t="str">
        <f>IF(AND(G974="",H974=""),"SUPPR",SAISIE!$B$3)</f>
        <v>SUPPR</v>
      </c>
      <c r="B974" s="63" t="str">
        <f>IF(SAISIE!J70="","",IF(LEN(SAISIE!B70)=1,CONCATENATE("0",SAISIE!B70,"/",SAISIE!$B$4,"/",SAISIE!$B$5),CONCATENATE(SAISIE!B70,"/",SAISIE!$B$4,"/",SAISIE!$B$5)))</f>
        <v/>
      </c>
      <c r="C974" s="63" t="str">
        <f>IF(SAISIE!J70="","",SAISIE!$J$8)</f>
        <v/>
      </c>
      <c r="D974" s="63" t="str">
        <f>IF(SAISIE!J70="","",SAISIE!E70)</f>
        <v/>
      </c>
      <c r="E974" s="63" t="str">
        <f>IF(SAISIE!J70="","",SAISIE!F70)</f>
        <v/>
      </c>
      <c r="F974" s="70" t="str">
        <f>IF(SAISIE!$J70="","",IF(SAISIE!$N70="","",SAISIE!$N70))</f>
        <v/>
      </c>
      <c r="G974" s="63" t="str">
        <f>IF(SAISIE!J70="","",SAISIE!J70)</f>
        <v/>
      </c>
      <c r="H974" s="63"/>
      <c r="I974" s="72"/>
      <c r="J974" s="71"/>
      <c r="O974" s="73"/>
    </row>
    <row r="975" spans="1:15" x14ac:dyDescent="0.25">
      <c r="A975" s="63" t="str">
        <f>IF(AND(G975="",H975=""),"SUPPR",SAISIE!$B$3)</f>
        <v>SUPPR</v>
      </c>
      <c r="B975" s="63" t="str">
        <f>IF(SAISIE!K70="","",IF(LEN(SAISIE!B70)=1,CONCATENATE("0",SAISIE!B70,"/",SAISIE!$B$4,"/",SAISIE!$B$5),CONCATENATE(SAISIE!B70,"/",SAISIE!$B$4,"/",SAISIE!$B$5)))</f>
        <v/>
      </c>
      <c r="C975" s="63" t="str">
        <f>IF(SAISIE!K70="","",SAISIE!$K$8)</f>
        <v/>
      </c>
      <c r="D975" s="63" t="str">
        <f>IF(SAISIE!K70="","",SAISIE!E70)</f>
        <v/>
      </c>
      <c r="E975" s="63" t="str">
        <f>IF(SAISIE!K70="","",SAISIE!F70)</f>
        <v/>
      </c>
      <c r="F975" s="70" t="str">
        <f>IF(SAISIE!$K70="","",IF(SAISIE!$N70="","",SAISIE!$N70))</f>
        <v/>
      </c>
      <c r="G975" s="63" t="str">
        <f>IF(SAISIE!K70="","",SAISIE!K70)</f>
        <v/>
      </c>
      <c r="H975" s="63"/>
      <c r="I975" s="72"/>
      <c r="J975" s="71"/>
    </row>
    <row r="976" spans="1:15" x14ac:dyDescent="0.25">
      <c r="A976" s="63" t="str">
        <f>IF(AND(G976="",H976=""),"SUPPR",SAISIE!$B$3)</f>
        <v>SUPPR</v>
      </c>
      <c r="B976" s="63" t="str">
        <f>IF(SAISIE!L70="","",IF(LEN(SAISIE!B70)=1,CONCATENATE("0",SAISIE!B70,"/",SAISIE!$B$4,"/",SAISIE!$B$5),CONCATENATE(SAISIE!B70,"/",SAISIE!$B$4,"/",SAISIE!$B$5)))</f>
        <v/>
      </c>
      <c r="C976" s="63" t="str">
        <f>IF(SAISIE!L70="","",SAISIE!$L$8)</f>
        <v/>
      </c>
      <c r="D976" s="63" t="str">
        <f>IF(SAISIE!L70="","",SAISIE!E70)</f>
        <v/>
      </c>
      <c r="E976" s="63" t="str">
        <f>IF(SAISIE!L70="","",SAISIE!F70)</f>
        <v/>
      </c>
      <c r="F976" s="70" t="str">
        <f>IF(SAISIE!$L70="","",IF(SAISIE!$N70="","",SAISIE!$N70))</f>
        <v/>
      </c>
      <c r="G976" s="63" t="str">
        <f>IF(SAISIE!L70="","",SAISIE!L70)</f>
        <v/>
      </c>
      <c r="H976" s="63"/>
      <c r="I976" s="72"/>
      <c r="J976" s="71"/>
    </row>
    <row r="977" spans="1:15" x14ac:dyDescent="0.25">
      <c r="A977" s="63" t="str">
        <f>IF(AND(G977="",H977=""),"SUPPR",SAISIE!$B$3)</f>
        <v>SUPPR</v>
      </c>
      <c r="B977" s="63" t="str">
        <f>IF(SAISIE!M70="","",IF(LEN(SAISIE!B70)=1,CONCATENATE("0",SAISIE!B70,"/",SAISIE!$B$4,"/",SAISIE!$B$5),CONCATENATE(SAISIE!B70,"/",SAISIE!$B$4,"/",SAISIE!$B$5)))</f>
        <v/>
      </c>
      <c r="C977" s="74" t="str">
        <f>IF(SAISIE!M70="","",SAISIE!$M$8)</f>
        <v/>
      </c>
      <c r="D977" s="74" t="str">
        <f>IF(SAISIE!M70="","",SAISIE!E70)</f>
        <v/>
      </c>
      <c r="E977" s="74" t="str">
        <f>IF(SAISIE!M70="","",SAISIE!F70)</f>
        <v/>
      </c>
      <c r="F977" s="75" t="str">
        <f>IF(SAISIE!$M70="","",IF(SAISIE!$N70="","",SAISIE!$N70))</f>
        <v/>
      </c>
      <c r="G977" s="74" t="str">
        <f>IF(SAISIE!M70="","",SAISIE!M70)</f>
        <v/>
      </c>
      <c r="H977" s="76"/>
      <c r="I977" s="77"/>
      <c r="J977" s="78"/>
    </row>
    <row r="978" spans="1:15" x14ac:dyDescent="0.25">
      <c r="A978" s="63" t="str">
        <f>IF(AND(G978="",H978=""),"SUPPR",SAISIE!$B$3)</f>
        <v>SUPPR</v>
      </c>
      <c r="B978" s="64" t="str">
        <f>IF(SAISIE!B71="","",IF(LEN(SAISIE!B71)=1,CONCATENATE("0",SAISIE!B71,"/",SAISIE!$B$4,"/",SAISIE!$B$5),CONCATENATE(SAISIE!B71,"/",SAISIE!$B$4,"/",SAISIE!$B$5)))</f>
        <v/>
      </c>
      <c r="C978" s="64" t="str">
        <f>IF(SAISIE!B71="","",CONCATENATE($M$2,SAISIE!C71))</f>
        <v/>
      </c>
      <c r="D978" s="64" t="str">
        <f>IF(SAISIE!B71="","",SAISIE!E71)</f>
        <v/>
      </c>
      <c r="E978" s="64" t="str">
        <f>IF(SAISIE!B71="","",SAISIE!F71)</f>
        <v/>
      </c>
      <c r="F978" s="65" t="str">
        <f>IF(A978="SUPPR","",IF(SAISIE!$N71="","",SAISIE!$N71))</f>
        <v/>
      </c>
      <c r="G978" s="64"/>
      <c r="H978" s="64" t="str">
        <f>IF(SAISIE!B71="","",SAISIE!D71)</f>
        <v/>
      </c>
      <c r="I978" s="66"/>
      <c r="J978" s="67" t="str">
        <f>IF(AZ71="","","")</f>
        <v/>
      </c>
      <c r="O978" s="69">
        <f>O962+1</f>
        <v>71</v>
      </c>
    </row>
    <row r="979" spans="1:15" x14ac:dyDescent="0.25">
      <c r="A979" s="63" t="str">
        <f>IF(AND(G979="",H979=""),"SUPPR",SAISIE!$B$3)</f>
        <v>SUPPR</v>
      </c>
      <c r="B979" s="63" t="str">
        <f>IF(SAISIE!P71="","",IF(LEN(SAISIE!B71)=1,CONCATENATE("0",SAISIE!B71,"/",SAISIE!$B$4,"/",SAISIE!$B$5),CONCATENATE(SAISIE!B71,"/",SAISIE!$B$4,"/",SAISIE!$B$5)))</f>
        <v/>
      </c>
      <c r="C979" s="63" t="str">
        <f>IF(SAISIE!P71="","",SAISIE!O71)</f>
        <v/>
      </c>
      <c r="D979" s="63" t="str">
        <f>IF(SAISIE!P71="","",SAISIE!E71)</f>
        <v/>
      </c>
      <c r="E979" s="63" t="str">
        <f>IF(SAISIE!P71="","",SAISIE!F71)</f>
        <v/>
      </c>
      <c r="F979" s="70" t="str">
        <f>IF(SAISIE!$P71="","",IF(SAISIE!$N71="","",SAISIE!$N71))</f>
        <v/>
      </c>
      <c r="G979" s="63" t="str">
        <f>IF(SAISIE!P71="","",SAISIE!P71)</f>
        <v/>
      </c>
      <c r="H979" s="63"/>
      <c r="I979" s="63" t="str">
        <f>IF(SAISIE!$P71="","",SAISIE!$Q71)</f>
        <v/>
      </c>
      <c r="J979" s="71" t="str">
        <f>IF(COUNTBLANK(SAISIE!$J$6:$M$6)=4,"",IF(SAISIE!P71="","",IF(SAISIE!J71&gt;0,SAISIE!$J$6,IF(SAISIE!K71&gt;0,SAISIE!$K$6,IF(SAISIE!L71&gt;0,SAISIE!$L$6,IF(SAISIE!M71&gt;0,SAISIE!$M$6,""))))))</f>
        <v/>
      </c>
      <c r="O979" s="59" t="s">
        <v>50</v>
      </c>
    </row>
    <row r="980" spans="1:15" x14ac:dyDescent="0.25">
      <c r="A980" s="63" t="str">
        <f>IF(AND(G980="",H980=""),"SUPPR",SAISIE!$B$3)</f>
        <v>SUPPR</v>
      </c>
      <c r="B980" s="63" t="str">
        <f>IF(SAISIE!G71="","",IF(LEN(SAISIE!B71)=1,CONCATENATE("0",SAISIE!B71,"/",SAISIE!$B$4,"/",SAISIE!$B$5),CONCATENATE(SAISIE!B71,"/",SAISIE!$B$4,"/",SAISIE!$B$5)))</f>
        <v/>
      </c>
      <c r="C980" s="63" t="str">
        <f>IF(SAISIE!G71="","",SAISIE!$G$8)</f>
        <v/>
      </c>
      <c r="D980" s="63" t="str">
        <f>IF(SAISIE!G71="","",SAISIE!E71)</f>
        <v/>
      </c>
      <c r="E980" s="63" t="str">
        <f>IF(SAISIE!G71="","",SAISIE!F71)</f>
        <v/>
      </c>
      <c r="F980" s="70" t="str">
        <f>IF(SAISIE!$G71="","",IF(SAISIE!$N71="","",SAISIE!$N71))</f>
        <v/>
      </c>
      <c r="G980" s="63" t="str">
        <f>IF(SAISIE!G71="","",SAISIE!G71)</f>
        <v/>
      </c>
      <c r="H980" s="63"/>
      <c r="I980" s="63" t="str">
        <f>IF(SAISIE!$G71="","",SAISIE!$Q71)</f>
        <v/>
      </c>
      <c r="J980" s="71" t="str">
        <f>IF(COUNTBLANK(SAISIE!$J$6:$M$6)=4,"",IF(SAISIE!G71="","",IF(SAISIE!J71&gt;0,SAISIE!$J$6,IF(SAISIE!K71&gt;0,SAISIE!$K$6,IF(SAISIE!L71&gt;0,SAISIE!$L$6,IF(SAISIE!M71&gt;0,SAISIE!$M$6,""))))))</f>
        <v/>
      </c>
      <c r="O980" s="59" t="s">
        <v>51</v>
      </c>
    </row>
    <row r="981" spans="1:15" x14ac:dyDescent="0.25">
      <c r="A981" s="63" t="str">
        <f>IF(AND(G981="",H981=""),"SUPPR",SAISIE!$B$3)</f>
        <v>SUPPR</v>
      </c>
      <c r="B981" s="63" t="str">
        <f>IF(SAISIE!H71="","",IF(LEN(SAISIE!B71)=1,CONCATENATE("0",SAISIE!B71,"/",SAISIE!$B$4,"/",SAISIE!$B$5),CONCATENATE(SAISIE!B71,"/",SAISIE!$B$4,"/",SAISIE!$B$5)))</f>
        <v/>
      </c>
      <c r="C981" s="63" t="str">
        <f>IF(SAISIE!H71="","",SAISIE!$H$8)</f>
        <v/>
      </c>
      <c r="D981" s="63" t="str">
        <f>IF(SAISIE!H71="","",SAISIE!E71)</f>
        <v/>
      </c>
      <c r="E981" s="63" t="str">
        <f>IF(SAISIE!H71="","",SAISIE!F71)</f>
        <v/>
      </c>
      <c r="F981" s="70" t="str">
        <f>IF(SAISIE!$H71="","",IF(SAISIE!$N71="","",SAISIE!$N71))</f>
        <v/>
      </c>
      <c r="G981" s="63" t="str">
        <f>IF(SAISIE!H71="","",SAISIE!H71)</f>
        <v/>
      </c>
      <c r="H981" s="63"/>
      <c r="I981" s="63" t="str">
        <f>IF(SAISIE!$H71="","",SAISIE!$Q71)</f>
        <v/>
      </c>
      <c r="J981" s="71" t="str">
        <f>IF(COUNTBLANK(SAISIE!$J$6:$M$6)=4,"",IF(SAISIE!H71="","",IF(SAISIE!J71&gt;0,SAISIE!$J$6,IF(SAISIE!K71&gt;0,SAISIE!$K$6,IF(SAISIE!L71&gt;0,SAISIE!$L$6,IF(SAISIE!M71&gt;0,SAISIE!$M$6,""))))))</f>
        <v/>
      </c>
      <c r="O981" s="59" t="s">
        <v>52</v>
      </c>
    </row>
    <row r="982" spans="1:15" x14ac:dyDescent="0.25">
      <c r="A982" s="63" t="str">
        <f>IF(AND(G982="",H982=""),"SUPPR",SAISIE!$B$3)</f>
        <v>SUPPR</v>
      </c>
      <c r="B982" s="63" t="str">
        <f>IF(SAISIE!I71="","",IF(LEN(SAISIE!B71)=1,CONCATENATE("0",SAISIE!B71,"/",SAISIE!$B$4,"/",SAISIE!$B$5),CONCATENATE(SAISIE!B71,"/",SAISIE!$B$4,"/",SAISIE!$B$5)))</f>
        <v/>
      </c>
      <c r="C982" s="63" t="str">
        <f>IF(SAISIE!I71="","",SAISIE!$I$8)</f>
        <v/>
      </c>
      <c r="D982" s="63" t="str">
        <f>IF(SAISIE!I71="","",SAISIE!E71)</f>
        <v/>
      </c>
      <c r="E982" s="63" t="str">
        <f>IF(SAISIE!I71="","",SAISIE!F71)</f>
        <v/>
      </c>
      <c r="F982" s="70" t="str">
        <f>IF(SAISIE!$I71="","",IF(SAISIE!$N71="","",SAISIE!$N71))</f>
        <v/>
      </c>
      <c r="G982" s="63" t="str">
        <f>IF(SAISIE!I71="","",SAISIE!I71)</f>
        <v/>
      </c>
      <c r="H982" s="63"/>
      <c r="I982" s="63" t="str">
        <f>IF(SAISIE!$I71="","",SAISIE!$Q71)</f>
        <v/>
      </c>
      <c r="J982" s="71" t="str">
        <f>IF(COUNTBLANK(SAISIE!$J$6:$M$6)=4,"",IF(SAISIE!I71="","",IF(SAISIE!J71&gt;0,SAISIE!$J$6,IF(SAISIE!K71&gt;0,SAISIE!$K$6,IF(SAISIE!L71&gt;0,SAISIE!$L$6,IF(SAISIE!M71&gt;0,SAISIE!$M$6,""))))))</f>
        <v/>
      </c>
      <c r="O982" s="59" t="s">
        <v>53</v>
      </c>
    </row>
    <row r="983" spans="1:15" x14ac:dyDescent="0.25">
      <c r="A983" s="63" t="e">
        <f>IF(AND(G983="",H983=""),"SUPPR",SAISIE!$B$3)</f>
        <v>#REF!</v>
      </c>
      <c r="B983" s="63" t="e">
        <f>IF(SAISIE!#REF!="","",IF(LEN(SAISIE!B71)=1,CONCATENATE("0",SAISIE!B71,"/",SAISIE!$B$4,"/",SAISIE!$B$5),CONCATENATE(SAISIE!B71,"/",SAISIE!$B$4,"/",SAISIE!$B$5)))</f>
        <v>#REF!</v>
      </c>
      <c r="C983" s="63" t="e">
        <f>IF(SAISIE!#REF!="","",SAISIE!#REF!)</f>
        <v>#REF!</v>
      </c>
      <c r="D983" s="63" t="e">
        <f>IF(SAISIE!#REF!="","",SAISIE!E71)</f>
        <v>#REF!</v>
      </c>
      <c r="E983" s="63" t="e">
        <f>IF(SAISIE!#REF!="","",SAISIE!F71)</f>
        <v>#REF!</v>
      </c>
      <c r="F983" s="70" t="e">
        <f>IF(SAISIE!#REF!="","",IF(SAISIE!$N71="","",SAISIE!$N71))</f>
        <v>#REF!</v>
      </c>
      <c r="G983" s="63" t="e">
        <f>IF(SAISIE!#REF!="","",SAISIE!#REF!)</f>
        <v>#REF!</v>
      </c>
      <c r="H983" s="63"/>
      <c r="I983" s="63" t="e">
        <f>IF(SAISIE!#REF!="","",SAISIE!$Q71)</f>
        <v>#REF!</v>
      </c>
      <c r="J983" s="71" t="str">
        <f>IF(COUNTBLANK(SAISIE!$J$6:$M$6)=4,"",IF(SAISIE!#REF!="","",IF(SAISIE!J71&gt;0,SAISIE!$J$6,IF(SAISIE!K71&gt;0,SAISIE!$K$6,IF(SAISIE!L71&gt;0,SAISIE!$L$6,IF(SAISIE!M71&gt;0,SAISIE!$M$6,""))))))</f>
        <v/>
      </c>
      <c r="O983" s="59" t="s">
        <v>54</v>
      </c>
    </row>
    <row r="984" spans="1:15" x14ac:dyDescent="0.25">
      <c r="A984" s="63" t="e">
        <f>IF(AND(G984="",H984=""),"SUPPR",SAISIE!$B$3)</f>
        <v>#REF!</v>
      </c>
      <c r="B984" s="63" t="e">
        <f>IF(SAISIE!#REF!="","",IF(LEN(SAISIE!B71)=1,CONCATENATE("0",SAISIE!B71,"/",SAISIE!$B$4,"/",SAISIE!$B$5),CONCATENATE(SAISIE!B71,"/",SAISIE!$B$4,"/",SAISIE!$B$5)))</f>
        <v>#REF!</v>
      </c>
      <c r="C984" s="63" t="e">
        <f>IF(SAISIE!#REF!="","",SAISIE!#REF!)</f>
        <v>#REF!</v>
      </c>
      <c r="D984" s="63" t="e">
        <f>IF(SAISIE!#REF!="","",SAISIE!E71)</f>
        <v>#REF!</v>
      </c>
      <c r="E984" s="63" t="e">
        <f>IF(SAISIE!#REF!="","",SAISIE!F71)</f>
        <v>#REF!</v>
      </c>
      <c r="F984" s="70" t="e">
        <f>IF(SAISIE!#REF!="","",IF(SAISIE!$N71="","",SAISIE!$N71))</f>
        <v>#REF!</v>
      </c>
      <c r="G984" s="63" t="e">
        <f>IF(SAISIE!#REF!="","",SAISIE!#REF!)</f>
        <v>#REF!</v>
      </c>
      <c r="H984" s="63"/>
      <c r="I984" s="63" t="e">
        <f>IF(SAISIE!#REF!="","",SAISIE!$Q71)</f>
        <v>#REF!</v>
      </c>
      <c r="J984" s="71" t="str">
        <f>IF(COUNTBLANK(SAISIE!$J$6:$M$6)=4,"",IF(SAISIE!#REF!="","",IF(SAISIE!J71&gt;0,SAISIE!$J$6,IF(SAISIE!K71&gt;0,SAISIE!$K$6,IF(SAISIE!L71&gt;0,SAISIE!$L$6,IF(SAISIE!M71&gt;0,SAISIE!$M$6,""))))))</f>
        <v/>
      </c>
      <c r="O984" s="59" t="s">
        <v>55</v>
      </c>
    </row>
    <row r="985" spans="1:15" x14ac:dyDescent="0.25">
      <c r="A985" s="63" t="e">
        <f>IF(AND(G985="",H985=""),"SUPPR",SAISIE!$B$3)</f>
        <v>#REF!</v>
      </c>
      <c r="B985" s="63" t="e">
        <f>IF(SAISIE!#REF!="","",IF(LEN(SAISIE!B71)=1,CONCATENATE("0",SAISIE!B71,"/",SAISIE!$B$4,"/",SAISIE!$B$5),CONCATENATE(SAISIE!B71,"/",SAISIE!$B$4,"/",SAISIE!$B$5)))</f>
        <v>#REF!</v>
      </c>
      <c r="C985" s="63" t="e">
        <f>IF(SAISIE!#REF!="","",SAISIE!#REF!)</f>
        <v>#REF!</v>
      </c>
      <c r="D985" s="63" t="e">
        <f>IF(SAISIE!#REF!="","",SAISIE!E71)</f>
        <v>#REF!</v>
      </c>
      <c r="E985" s="63" t="e">
        <f>IF(SAISIE!#REF!="","",SAISIE!F71)</f>
        <v>#REF!</v>
      </c>
      <c r="F985" s="70" t="e">
        <f>IF(SAISIE!#REF!="","",IF(SAISIE!$N71="","",SAISIE!$N71))</f>
        <v>#REF!</v>
      </c>
      <c r="G985" s="63" t="e">
        <f>IF(SAISIE!#REF!="","",SAISIE!#REF!)</f>
        <v>#REF!</v>
      </c>
      <c r="H985" s="63"/>
      <c r="I985" s="63" t="e">
        <f>IF(SAISIE!#REF!="","",SAISIE!$Q71)</f>
        <v>#REF!</v>
      </c>
      <c r="J985" s="71" t="str">
        <f>IF(COUNTBLANK(SAISIE!$J$6:$M$6)=4,"",IF(SAISIE!#REF!="","",IF(SAISIE!J71&gt;0,SAISIE!$J$6,IF(SAISIE!K71&gt;0,SAISIE!$K$6,IF(SAISIE!L71&gt;0,SAISIE!$L$6,IF(SAISIE!M71&gt;0,SAISIE!$M$6,""))))))</f>
        <v/>
      </c>
      <c r="O985" s="59" t="s">
        <v>56</v>
      </c>
    </row>
    <row r="986" spans="1:15" x14ac:dyDescent="0.25">
      <c r="A986" s="63" t="e">
        <f>IF(AND(G986="",H986=""),"SUPPR",SAISIE!$B$3)</f>
        <v>#REF!</v>
      </c>
      <c r="B986" s="63" t="e">
        <f>IF(SAISIE!#REF!="","",IF(LEN(SAISIE!B71)=1,CONCATENATE("0",SAISIE!B71,"/",SAISIE!$B$4,"/",SAISIE!$B$5),CONCATENATE(SAISIE!B71,"/",SAISIE!$B$4,"/",SAISIE!$B$5)))</f>
        <v>#REF!</v>
      </c>
      <c r="C986" s="63" t="e">
        <f>IF(SAISIE!#REF!="","",SAISIE!#REF!)</f>
        <v>#REF!</v>
      </c>
      <c r="D986" s="63" t="e">
        <f>IF(SAISIE!#REF!="","",SAISIE!E71)</f>
        <v>#REF!</v>
      </c>
      <c r="E986" s="63" t="e">
        <f>IF(SAISIE!#REF!="","",SAISIE!F71)</f>
        <v>#REF!</v>
      </c>
      <c r="F986" s="70" t="e">
        <f>IF(SAISIE!#REF!="","",IF(SAISIE!$N71="","",SAISIE!$N71))</f>
        <v>#REF!</v>
      </c>
      <c r="G986" s="63" t="e">
        <f>IF(SAISIE!#REF!="","",SAISIE!#REF!)</f>
        <v>#REF!</v>
      </c>
      <c r="H986" s="63"/>
      <c r="I986" s="63" t="e">
        <f>IF(SAISIE!#REF!="","",SAISIE!$Q71)</f>
        <v>#REF!</v>
      </c>
      <c r="J986" s="71" t="str">
        <f>IF(COUNTBLANK(SAISIE!$J$6:$M$6)=4,"",IF(SAISIE!#REF!="","",IF(SAISIE!J71&gt;0,SAISIE!$J$6,IF(SAISIE!K71&gt;0,SAISIE!$K$6,IF(SAISIE!L71&gt;0,SAISIE!$L$6,IF(SAISIE!M71&gt;0,SAISIE!$M$6,""))))))</f>
        <v/>
      </c>
      <c r="O986" s="59" t="s">
        <v>57</v>
      </c>
    </row>
    <row r="987" spans="1:15" x14ac:dyDescent="0.25">
      <c r="A987" s="63" t="e">
        <f>IF(AND(G987="",H987=""),"SUPPR",SAISIE!$B$3)</f>
        <v>#REF!</v>
      </c>
      <c r="B987" s="63" t="e">
        <f>IF(SAISIE!#REF!="","",IF(LEN(SAISIE!B71)=1,CONCATENATE("0",SAISIE!B71,"/",SAISIE!$B$4,"/",SAISIE!$B$5),CONCATENATE(SAISIE!B71,"/",SAISIE!$B$4,"/",SAISIE!$B$5)))</f>
        <v>#REF!</v>
      </c>
      <c r="C987" s="63" t="e">
        <f>IF(SAISIE!#REF!="","",SAISIE!#REF!)</f>
        <v>#REF!</v>
      </c>
      <c r="D987" s="63" t="e">
        <f>IF(SAISIE!#REF!="","",SAISIE!E71)</f>
        <v>#REF!</v>
      </c>
      <c r="E987" s="63" t="e">
        <f>IF(SAISIE!#REF!="","",SAISIE!F71)</f>
        <v>#REF!</v>
      </c>
      <c r="F987" s="70" t="e">
        <f>IF(SAISIE!#REF!="","",IF(SAISIE!$N71="","",SAISIE!$N71))</f>
        <v>#REF!</v>
      </c>
      <c r="G987" s="63" t="e">
        <f>IF(SAISIE!#REF!="","",SAISIE!#REF!)</f>
        <v>#REF!</v>
      </c>
      <c r="H987" s="63"/>
      <c r="I987" s="63" t="e">
        <f>IF(SAISIE!#REF!="","",SAISIE!$Q71)</f>
        <v>#REF!</v>
      </c>
      <c r="J987" s="71" t="str">
        <f>IF(COUNTBLANK(SAISIE!$J$6:$M$6)=4,"",IF(SAISIE!#REF!="","",IF(SAISIE!J71&gt;0,SAISIE!$J$6,IF(SAISIE!K71&gt;0,SAISIE!$K$6,IF(SAISIE!L71&gt;0,SAISIE!$L$6,IF(SAISIE!M71&gt;0,SAISIE!$M$6,""))))))</f>
        <v/>
      </c>
      <c r="O987" s="59" t="s">
        <v>58</v>
      </c>
    </row>
    <row r="988" spans="1:15" x14ac:dyDescent="0.25">
      <c r="A988" s="63" t="e">
        <f>IF(AND(G988="",H988=""),"SUPPR",SAISIE!$B$3)</f>
        <v>#REF!</v>
      </c>
      <c r="B988" s="63" t="e">
        <f>IF(SAISIE!#REF!="","",IF(LEN(SAISIE!B71)=1,CONCATENATE("0",SAISIE!B71,"/",SAISIE!$B$4,"/",SAISIE!$B$5),CONCATENATE(SAISIE!B71,"/",SAISIE!$B$4,"/",SAISIE!$B$5)))</f>
        <v>#REF!</v>
      </c>
      <c r="C988" s="63" t="e">
        <f>IF(SAISIE!#REF!="","",SAISIE!#REF!)</f>
        <v>#REF!</v>
      </c>
      <c r="D988" s="63" t="e">
        <f>IF(SAISIE!#REF!="","",SAISIE!E71)</f>
        <v>#REF!</v>
      </c>
      <c r="E988" s="63" t="e">
        <f>IF(SAISIE!#REF!="","",SAISIE!F71)</f>
        <v>#REF!</v>
      </c>
      <c r="F988" s="70" t="e">
        <f>IF(SAISIE!#REF!="","",IF(SAISIE!$N71="","",SAISIE!$N71))</f>
        <v>#REF!</v>
      </c>
      <c r="G988" s="63" t="e">
        <f>IF(SAISIE!#REF!="","",SAISIE!#REF!)</f>
        <v>#REF!</v>
      </c>
      <c r="H988" s="63"/>
      <c r="I988" s="63" t="e">
        <f>IF(SAISIE!#REF!="","",SAISIE!$Q71)</f>
        <v>#REF!</v>
      </c>
      <c r="J988" s="71" t="str">
        <f>IF(COUNTBLANK(SAISIE!$J$6:$M$6)=4,"",IF(SAISIE!#REF!="","",IF(SAISIE!J71&gt;0,SAISIE!$J$6,IF(SAISIE!K71&gt;0,SAISIE!$K$6,IF(SAISIE!L71&gt;0,SAISIE!$L$6,IF(SAISIE!M71&gt;0,SAISIE!$M$6,""))))))</f>
        <v/>
      </c>
      <c r="O988" s="59" t="s">
        <v>59</v>
      </c>
    </row>
    <row r="989" spans="1:15" x14ac:dyDescent="0.25">
      <c r="A989" s="63" t="e">
        <f>IF(AND(G989="",H989=""),"SUPPR",SAISIE!$B$3)</f>
        <v>#REF!</v>
      </c>
      <c r="B989" s="63" t="e">
        <f>IF(SAISIE!#REF!="","",IF(LEN(SAISIE!B71)=1,CONCATENATE("0",SAISIE!B71,"/",SAISIE!$B$4,"/",SAISIE!$B$5),CONCATENATE(SAISIE!B71,"/",SAISIE!$B$4,"/",SAISIE!$B$5)))</f>
        <v>#REF!</v>
      </c>
      <c r="C989" s="63" t="e">
        <f>IF(SAISIE!#REF!="","",SAISIE!#REF!)</f>
        <v>#REF!</v>
      </c>
      <c r="D989" s="63" t="e">
        <f>IF(SAISIE!#REF!="","",SAISIE!E71)</f>
        <v>#REF!</v>
      </c>
      <c r="E989" s="63" t="e">
        <f>IF(SAISIE!#REF!="","",SAISIE!F71)</f>
        <v>#REF!</v>
      </c>
      <c r="F989" s="70" t="e">
        <f>IF(SAISIE!#REF!="","",IF(SAISIE!$N71="","",SAISIE!$N71))</f>
        <v>#REF!</v>
      </c>
      <c r="G989" s="63" t="e">
        <f>IF(SAISIE!#REF!="","",SAISIE!#REF!)</f>
        <v>#REF!</v>
      </c>
      <c r="H989" s="63"/>
      <c r="I989" s="63" t="e">
        <f>IF(SAISIE!#REF!="","",SAISIE!$Q71)</f>
        <v>#REF!</v>
      </c>
      <c r="J989" s="71" t="str">
        <f>IF(COUNTBLANK(SAISIE!$J$6:$M$6)=4,"",IF(SAISIE!#REF!="","",IF(SAISIE!J71&gt;0,SAISIE!$J$6,IF(SAISIE!K71&gt;0,SAISIE!$K$6,IF(SAISIE!L71&gt;0,SAISIE!$L$6,IF(SAISIE!M71&gt;0,SAISIE!$M$6,""))))))</f>
        <v/>
      </c>
      <c r="O989" s="59" t="s">
        <v>60</v>
      </c>
    </row>
    <row r="990" spans="1:15" x14ac:dyDescent="0.25">
      <c r="A990" s="63" t="str">
        <f>IF(AND(G990="",H990=""),"SUPPR",SAISIE!$B$3)</f>
        <v>SUPPR</v>
      </c>
      <c r="B990" s="63" t="str">
        <f>IF(SAISIE!J71="","",IF(LEN(SAISIE!B71)=1,CONCATENATE("0",SAISIE!B71,"/",SAISIE!$B$4,"/",SAISIE!$B$5),CONCATENATE(SAISIE!B71,"/",SAISIE!$B$4,"/",SAISIE!$B$5)))</f>
        <v/>
      </c>
      <c r="C990" s="63" t="str">
        <f>IF(SAISIE!J71="","",SAISIE!$J$8)</f>
        <v/>
      </c>
      <c r="D990" s="63" t="str">
        <f>IF(SAISIE!J71="","",SAISIE!E71)</f>
        <v/>
      </c>
      <c r="E990" s="63" t="str">
        <f>IF(SAISIE!J71="","",SAISIE!F71)</f>
        <v/>
      </c>
      <c r="F990" s="70" t="str">
        <f>IF(SAISIE!$J71="","",IF(SAISIE!$N71="","",SAISIE!$N71))</f>
        <v/>
      </c>
      <c r="G990" s="63" t="str">
        <f>IF(SAISIE!J71="","",SAISIE!J71)</f>
        <v/>
      </c>
      <c r="H990" s="63"/>
      <c r="I990" s="72"/>
      <c r="J990" s="71"/>
      <c r="O990" s="73"/>
    </row>
    <row r="991" spans="1:15" x14ac:dyDescent="0.25">
      <c r="A991" s="63" t="str">
        <f>IF(AND(G991="",H991=""),"SUPPR",SAISIE!$B$3)</f>
        <v>SUPPR</v>
      </c>
      <c r="B991" s="63" t="str">
        <f>IF(SAISIE!K71="","",IF(LEN(SAISIE!B71)=1,CONCATENATE("0",SAISIE!B71,"/",SAISIE!$B$4,"/",SAISIE!$B$5),CONCATENATE(SAISIE!B71,"/",SAISIE!$B$4,"/",SAISIE!$B$5)))</f>
        <v/>
      </c>
      <c r="C991" s="63" t="str">
        <f>IF(SAISIE!K71="","",SAISIE!$K$8)</f>
        <v/>
      </c>
      <c r="D991" s="63" t="str">
        <f>IF(SAISIE!K71="","",SAISIE!E71)</f>
        <v/>
      </c>
      <c r="E991" s="63" t="str">
        <f>IF(SAISIE!K71="","",SAISIE!F71)</f>
        <v/>
      </c>
      <c r="F991" s="70" t="str">
        <f>IF(SAISIE!$K71="","",IF(SAISIE!$N71="","",SAISIE!$N71))</f>
        <v/>
      </c>
      <c r="G991" s="63" t="str">
        <f>IF(SAISIE!K71="","",SAISIE!K71)</f>
        <v/>
      </c>
      <c r="H991" s="63"/>
      <c r="I991" s="72"/>
      <c r="J991" s="71"/>
    </row>
    <row r="992" spans="1:15" x14ac:dyDescent="0.25">
      <c r="A992" s="63" t="str">
        <f>IF(AND(G992="",H992=""),"SUPPR",SAISIE!$B$3)</f>
        <v>SUPPR</v>
      </c>
      <c r="B992" s="63" t="str">
        <f>IF(SAISIE!L71="","",IF(LEN(SAISIE!B71)=1,CONCATENATE("0",SAISIE!B71,"/",SAISIE!$B$4,"/",SAISIE!$B$5),CONCATENATE(SAISIE!B71,"/",SAISIE!$B$4,"/",SAISIE!$B$5)))</f>
        <v/>
      </c>
      <c r="C992" s="63" t="str">
        <f>IF(SAISIE!L71="","",SAISIE!$L$8)</f>
        <v/>
      </c>
      <c r="D992" s="63" t="str">
        <f>IF(SAISIE!L71="","",SAISIE!E71)</f>
        <v/>
      </c>
      <c r="E992" s="63" t="str">
        <f>IF(SAISIE!L71="","",SAISIE!F71)</f>
        <v/>
      </c>
      <c r="F992" s="70" t="str">
        <f>IF(SAISIE!$L71="","",IF(SAISIE!$N71="","",SAISIE!$N71))</f>
        <v/>
      </c>
      <c r="G992" s="63" t="str">
        <f>IF(SAISIE!L71="","",SAISIE!L71)</f>
        <v/>
      </c>
      <c r="H992" s="63"/>
      <c r="I992" s="72"/>
      <c r="J992" s="71"/>
    </row>
    <row r="993" spans="1:15" x14ac:dyDescent="0.25">
      <c r="A993" s="63" t="str">
        <f>IF(AND(G993="",H993=""),"SUPPR",SAISIE!$B$3)</f>
        <v>SUPPR</v>
      </c>
      <c r="B993" s="63" t="str">
        <f>IF(SAISIE!M71="","",IF(LEN(SAISIE!B71)=1,CONCATENATE("0",SAISIE!B71,"/",SAISIE!$B$4,"/",SAISIE!$B$5),CONCATENATE(SAISIE!B71,"/",SAISIE!$B$4,"/",SAISIE!$B$5)))</f>
        <v/>
      </c>
      <c r="C993" s="74" t="str">
        <f>IF(SAISIE!M71="","",SAISIE!$M$8)</f>
        <v/>
      </c>
      <c r="D993" s="74" t="str">
        <f>IF(SAISIE!M71="","",SAISIE!E71)</f>
        <v/>
      </c>
      <c r="E993" s="74" t="str">
        <f>IF(SAISIE!M71="","",SAISIE!F71)</f>
        <v/>
      </c>
      <c r="F993" s="75" t="str">
        <f>IF(SAISIE!$M71="","",IF(SAISIE!$N71="","",SAISIE!$N71))</f>
        <v/>
      </c>
      <c r="G993" s="74" t="str">
        <f>IF(SAISIE!M71="","",SAISIE!M71)</f>
        <v/>
      </c>
      <c r="H993" s="76"/>
      <c r="I993" s="77"/>
      <c r="J993" s="78"/>
    </row>
    <row r="994" spans="1:15" x14ac:dyDescent="0.25">
      <c r="A994" s="63" t="str">
        <f>IF(AND(G994="",H994=""),"SUPPR",SAISIE!$B$3)</f>
        <v>SUPPR</v>
      </c>
      <c r="B994" s="64" t="str">
        <f>IF(SAISIE!B72="","",IF(LEN(SAISIE!B72)=1,CONCATENATE("0",SAISIE!B72,"/",SAISIE!$B$4,"/",SAISIE!$B$5),CONCATENATE(SAISIE!B72,"/",SAISIE!$B$4,"/",SAISIE!$B$5)))</f>
        <v/>
      </c>
      <c r="C994" s="64" t="str">
        <f>IF(SAISIE!B72="","",CONCATENATE($M$2,SAISIE!C72))</f>
        <v/>
      </c>
      <c r="D994" s="64" t="str">
        <f>IF(SAISIE!B72="","",SAISIE!E72)</f>
        <v/>
      </c>
      <c r="E994" s="64" t="str">
        <f>IF(SAISIE!B72="","",SAISIE!F72)</f>
        <v/>
      </c>
      <c r="F994" s="65" t="str">
        <f>IF(A994="SUPPR","",IF(SAISIE!$N72="","",SAISIE!$N72))</f>
        <v/>
      </c>
      <c r="G994" s="64"/>
      <c r="H994" s="64" t="str">
        <f>IF(SAISIE!B72="","",SAISIE!D72)</f>
        <v/>
      </c>
      <c r="I994" s="66"/>
      <c r="J994" s="67" t="str">
        <f>IF(AZ72="","","")</f>
        <v/>
      </c>
      <c r="O994" s="69">
        <f>O978+1</f>
        <v>72</v>
      </c>
    </row>
    <row r="995" spans="1:15" x14ac:dyDescent="0.25">
      <c r="A995" s="63" t="str">
        <f>IF(AND(G995="",H995=""),"SUPPR",SAISIE!$B$3)</f>
        <v>SUPPR</v>
      </c>
      <c r="B995" s="63" t="str">
        <f>IF(SAISIE!P72="","",IF(LEN(SAISIE!B72)=1,CONCATENATE("0",SAISIE!B72,"/",SAISIE!$B$4,"/",SAISIE!$B$5),CONCATENATE(SAISIE!B72,"/",SAISIE!$B$4,"/",SAISIE!$B$5)))</f>
        <v/>
      </c>
      <c r="C995" s="63" t="str">
        <f>IF(SAISIE!P72="","",SAISIE!O72)</f>
        <v/>
      </c>
      <c r="D995" s="63" t="str">
        <f>IF(SAISIE!P72="","",SAISIE!E72)</f>
        <v/>
      </c>
      <c r="E995" s="63" t="str">
        <f>IF(SAISIE!P72="","",SAISIE!F72)</f>
        <v/>
      </c>
      <c r="F995" s="70" t="str">
        <f>IF(SAISIE!$P72="","",IF(SAISIE!$N72="","",SAISIE!$N72))</f>
        <v/>
      </c>
      <c r="G995" s="63" t="str">
        <f>IF(SAISIE!P72="","",SAISIE!P72)</f>
        <v/>
      </c>
      <c r="H995" s="63"/>
      <c r="I995" s="63" t="str">
        <f>IF(SAISIE!$P72="","",SAISIE!$Q72)</f>
        <v/>
      </c>
      <c r="J995" s="71" t="str">
        <f>IF(COUNTBLANK(SAISIE!$J$6:$M$6)=4,"",IF(SAISIE!P72="","",IF(SAISIE!J72&gt;0,SAISIE!$J$6,IF(SAISIE!K72&gt;0,SAISIE!$K$6,IF(SAISIE!L72&gt;0,SAISIE!$L$6,IF(SAISIE!M72&gt;0,SAISIE!$M$6,""))))))</f>
        <v/>
      </c>
      <c r="O995" s="59" t="s">
        <v>50</v>
      </c>
    </row>
    <row r="996" spans="1:15" x14ac:dyDescent="0.25">
      <c r="A996" s="63" t="str">
        <f>IF(AND(G996="",H996=""),"SUPPR",SAISIE!$B$3)</f>
        <v>SUPPR</v>
      </c>
      <c r="B996" s="63" t="str">
        <f>IF(SAISIE!G72="","",IF(LEN(SAISIE!B72)=1,CONCATENATE("0",SAISIE!B72,"/",SAISIE!$B$4,"/",SAISIE!$B$5),CONCATENATE(SAISIE!B72,"/",SAISIE!$B$4,"/",SAISIE!$B$5)))</f>
        <v/>
      </c>
      <c r="C996" s="63" t="str">
        <f>IF(SAISIE!G72="","",SAISIE!$G$8)</f>
        <v/>
      </c>
      <c r="D996" s="63" t="str">
        <f>IF(SAISIE!G72="","",SAISIE!E72)</f>
        <v/>
      </c>
      <c r="E996" s="63" t="str">
        <f>IF(SAISIE!G72="","",SAISIE!F72)</f>
        <v/>
      </c>
      <c r="F996" s="70" t="str">
        <f>IF(SAISIE!$G72="","",IF(SAISIE!$N72="","",SAISIE!$N72))</f>
        <v/>
      </c>
      <c r="G996" s="63" t="str">
        <f>IF(SAISIE!G72="","",SAISIE!G72)</f>
        <v/>
      </c>
      <c r="H996" s="63"/>
      <c r="I996" s="63" t="str">
        <f>IF(SAISIE!$G72="","",SAISIE!$Q72)</f>
        <v/>
      </c>
      <c r="J996" s="71" t="str">
        <f>IF(COUNTBLANK(SAISIE!$J$6:$M$6)=4,"",IF(SAISIE!G72="","",IF(SAISIE!J72&gt;0,SAISIE!$J$6,IF(SAISIE!K72&gt;0,SAISIE!$K$6,IF(SAISIE!L72&gt;0,SAISIE!$L$6,IF(SAISIE!M72&gt;0,SAISIE!$M$6,""))))))</f>
        <v/>
      </c>
      <c r="O996" s="59" t="s">
        <v>51</v>
      </c>
    </row>
    <row r="997" spans="1:15" x14ac:dyDescent="0.25">
      <c r="A997" s="63" t="str">
        <f>IF(AND(G997="",H997=""),"SUPPR",SAISIE!$B$3)</f>
        <v>SUPPR</v>
      </c>
      <c r="B997" s="63" t="str">
        <f>IF(SAISIE!H72="","",IF(LEN(SAISIE!B72)=1,CONCATENATE("0",SAISIE!B72,"/",SAISIE!$B$4,"/",SAISIE!$B$5),CONCATENATE(SAISIE!B72,"/",SAISIE!$B$4,"/",SAISIE!$B$5)))</f>
        <v/>
      </c>
      <c r="C997" s="63" t="str">
        <f>IF(SAISIE!H72="","",SAISIE!$H$8)</f>
        <v/>
      </c>
      <c r="D997" s="63" t="str">
        <f>IF(SAISIE!H72="","",SAISIE!E72)</f>
        <v/>
      </c>
      <c r="E997" s="63" t="str">
        <f>IF(SAISIE!H72="","",SAISIE!F72)</f>
        <v/>
      </c>
      <c r="F997" s="70" t="str">
        <f>IF(SAISIE!$H72="","",IF(SAISIE!$N72="","",SAISIE!$N72))</f>
        <v/>
      </c>
      <c r="G997" s="63" t="str">
        <f>IF(SAISIE!H72="","",SAISIE!H72)</f>
        <v/>
      </c>
      <c r="H997" s="63"/>
      <c r="I997" s="63" t="str">
        <f>IF(SAISIE!$H72="","",SAISIE!$Q72)</f>
        <v/>
      </c>
      <c r="J997" s="71" t="str">
        <f>IF(COUNTBLANK(SAISIE!$J$6:$M$6)=4,"",IF(SAISIE!H72="","",IF(SAISIE!J72&gt;0,SAISIE!$J$6,IF(SAISIE!K72&gt;0,SAISIE!$K$6,IF(SAISIE!L72&gt;0,SAISIE!$L$6,IF(SAISIE!M72&gt;0,SAISIE!$M$6,""))))))</f>
        <v/>
      </c>
      <c r="O997" s="59" t="s">
        <v>52</v>
      </c>
    </row>
    <row r="998" spans="1:15" x14ac:dyDescent="0.25">
      <c r="A998" s="63" t="str">
        <f>IF(AND(G998="",H998=""),"SUPPR",SAISIE!$B$3)</f>
        <v>SUPPR</v>
      </c>
      <c r="B998" s="63" t="str">
        <f>IF(SAISIE!I72="","",IF(LEN(SAISIE!B72)=1,CONCATENATE("0",SAISIE!B72,"/",SAISIE!$B$4,"/",SAISIE!$B$5),CONCATENATE(SAISIE!B72,"/",SAISIE!$B$4,"/",SAISIE!$B$5)))</f>
        <v/>
      </c>
      <c r="C998" s="63" t="str">
        <f>IF(SAISIE!I72="","",SAISIE!$I$8)</f>
        <v/>
      </c>
      <c r="D998" s="63" t="str">
        <f>IF(SAISIE!I72="","",SAISIE!E72)</f>
        <v/>
      </c>
      <c r="E998" s="63" t="str">
        <f>IF(SAISIE!I72="","",SAISIE!F72)</f>
        <v/>
      </c>
      <c r="F998" s="70" t="str">
        <f>IF(SAISIE!$I72="","",IF(SAISIE!$N72="","",SAISIE!$N72))</f>
        <v/>
      </c>
      <c r="G998" s="63" t="str">
        <f>IF(SAISIE!I72="","",SAISIE!I72)</f>
        <v/>
      </c>
      <c r="H998" s="63"/>
      <c r="I998" s="63" t="str">
        <f>IF(SAISIE!$I72="","",SAISIE!$Q72)</f>
        <v/>
      </c>
      <c r="J998" s="71" t="str">
        <f>IF(COUNTBLANK(SAISIE!$J$6:$M$6)=4,"",IF(SAISIE!I72="","",IF(SAISIE!J72&gt;0,SAISIE!$J$6,IF(SAISIE!K72&gt;0,SAISIE!$K$6,IF(SAISIE!L72&gt;0,SAISIE!$L$6,IF(SAISIE!M72&gt;0,SAISIE!$M$6,""))))))</f>
        <v/>
      </c>
      <c r="O998" s="59" t="s">
        <v>53</v>
      </c>
    </row>
    <row r="999" spans="1:15" x14ac:dyDescent="0.25">
      <c r="A999" s="63" t="e">
        <f>IF(AND(G999="",H999=""),"SUPPR",SAISIE!$B$3)</f>
        <v>#REF!</v>
      </c>
      <c r="B999" s="63" t="e">
        <f>IF(SAISIE!#REF!="","",IF(LEN(SAISIE!B72)=1,CONCATENATE("0",SAISIE!B72,"/",SAISIE!$B$4,"/",SAISIE!$B$5),CONCATENATE(SAISIE!B72,"/",SAISIE!$B$4,"/",SAISIE!$B$5)))</f>
        <v>#REF!</v>
      </c>
      <c r="C999" s="63" t="e">
        <f>IF(SAISIE!#REF!="","",SAISIE!#REF!)</f>
        <v>#REF!</v>
      </c>
      <c r="D999" s="63" t="e">
        <f>IF(SAISIE!#REF!="","",SAISIE!E72)</f>
        <v>#REF!</v>
      </c>
      <c r="E999" s="63" t="e">
        <f>IF(SAISIE!#REF!="","",SAISIE!F72)</f>
        <v>#REF!</v>
      </c>
      <c r="F999" s="70" t="e">
        <f>IF(SAISIE!#REF!="","",IF(SAISIE!$N72="","",SAISIE!$N72))</f>
        <v>#REF!</v>
      </c>
      <c r="G999" s="63" t="e">
        <f>IF(SAISIE!#REF!="","",SAISIE!#REF!)</f>
        <v>#REF!</v>
      </c>
      <c r="H999" s="63"/>
      <c r="I999" s="63" t="e">
        <f>IF(SAISIE!#REF!="","",SAISIE!$Q72)</f>
        <v>#REF!</v>
      </c>
      <c r="J999" s="71" t="str">
        <f>IF(COUNTBLANK(SAISIE!$J$6:$M$6)=4,"",IF(SAISIE!#REF!="","",IF(SAISIE!J72&gt;0,SAISIE!$J$6,IF(SAISIE!K72&gt;0,SAISIE!$K$6,IF(SAISIE!L72&gt;0,SAISIE!$L$6,IF(SAISIE!M72&gt;0,SAISIE!$M$6,""))))))</f>
        <v/>
      </c>
      <c r="O999" s="59" t="s">
        <v>54</v>
      </c>
    </row>
    <row r="1000" spans="1:15" x14ac:dyDescent="0.25">
      <c r="A1000" s="63" t="e">
        <f>IF(AND(G1000="",H1000=""),"SUPPR",SAISIE!$B$3)</f>
        <v>#REF!</v>
      </c>
      <c r="B1000" s="63" t="e">
        <f>IF(SAISIE!#REF!="","",IF(LEN(SAISIE!B72)=1,CONCATENATE("0",SAISIE!B72,"/",SAISIE!$B$4,"/",SAISIE!$B$5),CONCATENATE(SAISIE!B72,"/",SAISIE!$B$4,"/",SAISIE!$B$5)))</f>
        <v>#REF!</v>
      </c>
      <c r="C1000" s="63" t="e">
        <f>IF(SAISIE!#REF!="","",SAISIE!#REF!)</f>
        <v>#REF!</v>
      </c>
      <c r="D1000" s="63" t="e">
        <f>IF(SAISIE!#REF!="","",SAISIE!E72)</f>
        <v>#REF!</v>
      </c>
      <c r="E1000" s="63" t="e">
        <f>IF(SAISIE!#REF!="","",SAISIE!F72)</f>
        <v>#REF!</v>
      </c>
      <c r="F1000" s="70" t="e">
        <f>IF(SAISIE!#REF!="","",IF(SAISIE!$N72="","",SAISIE!$N72))</f>
        <v>#REF!</v>
      </c>
      <c r="G1000" s="63" t="e">
        <f>IF(SAISIE!#REF!="","",SAISIE!#REF!)</f>
        <v>#REF!</v>
      </c>
      <c r="H1000" s="63"/>
      <c r="I1000" s="63" t="e">
        <f>IF(SAISIE!#REF!="","",SAISIE!$Q72)</f>
        <v>#REF!</v>
      </c>
      <c r="J1000" s="71" t="str">
        <f>IF(COUNTBLANK(SAISIE!$J$6:$M$6)=4,"",IF(SAISIE!#REF!="","",IF(SAISIE!J72&gt;0,SAISIE!$J$6,IF(SAISIE!K72&gt;0,SAISIE!$K$6,IF(SAISIE!L72&gt;0,SAISIE!$L$6,IF(SAISIE!M72&gt;0,SAISIE!$M$6,""))))))</f>
        <v/>
      </c>
      <c r="O1000" s="59" t="s">
        <v>55</v>
      </c>
    </row>
    <row r="1001" spans="1:15" x14ac:dyDescent="0.25">
      <c r="A1001" s="63" t="e">
        <f>IF(AND(G1001="",H1001=""),"SUPPR",SAISIE!$B$3)</f>
        <v>#REF!</v>
      </c>
      <c r="B1001" s="63" t="e">
        <f>IF(SAISIE!#REF!="","",IF(LEN(SAISIE!B72)=1,CONCATENATE("0",SAISIE!B72,"/",SAISIE!$B$4,"/",SAISIE!$B$5),CONCATENATE(SAISIE!B72,"/",SAISIE!$B$4,"/",SAISIE!$B$5)))</f>
        <v>#REF!</v>
      </c>
      <c r="C1001" s="63" t="e">
        <f>IF(SAISIE!#REF!="","",SAISIE!#REF!)</f>
        <v>#REF!</v>
      </c>
      <c r="D1001" s="63" t="e">
        <f>IF(SAISIE!#REF!="","",SAISIE!E72)</f>
        <v>#REF!</v>
      </c>
      <c r="E1001" s="63" t="e">
        <f>IF(SAISIE!#REF!="","",SAISIE!F72)</f>
        <v>#REF!</v>
      </c>
      <c r="F1001" s="70" t="e">
        <f>IF(SAISIE!#REF!="","",IF(SAISIE!$N72="","",SAISIE!$N72))</f>
        <v>#REF!</v>
      </c>
      <c r="G1001" s="63" t="e">
        <f>IF(SAISIE!#REF!="","",SAISIE!#REF!)</f>
        <v>#REF!</v>
      </c>
      <c r="H1001" s="63"/>
      <c r="I1001" s="63" t="e">
        <f>IF(SAISIE!#REF!="","",SAISIE!$Q72)</f>
        <v>#REF!</v>
      </c>
      <c r="J1001" s="71" t="str">
        <f>IF(COUNTBLANK(SAISIE!$J$6:$M$6)=4,"",IF(SAISIE!#REF!="","",IF(SAISIE!J72&gt;0,SAISIE!$J$6,IF(SAISIE!K72&gt;0,SAISIE!$K$6,IF(SAISIE!L72&gt;0,SAISIE!$L$6,IF(SAISIE!M72&gt;0,SAISIE!$M$6,""))))))</f>
        <v/>
      </c>
      <c r="O1001" s="59" t="s">
        <v>56</v>
      </c>
    </row>
    <row r="1002" spans="1:15" x14ac:dyDescent="0.25">
      <c r="A1002" s="63" t="e">
        <f>IF(AND(G1002="",H1002=""),"SUPPR",SAISIE!$B$3)</f>
        <v>#REF!</v>
      </c>
      <c r="B1002" s="63" t="e">
        <f>IF(SAISIE!#REF!="","",IF(LEN(SAISIE!B72)=1,CONCATENATE("0",SAISIE!B72,"/",SAISIE!$B$4,"/",SAISIE!$B$5),CONCATENATE(SAISIE!B72,"/",SAISIE!$B$4,"/",SAISIE!$B$5)))</f>
        <v>#REF!</v>
      </c>
      <c r="C1002" s="63" t="e">
        <f>IF(SAISIE!#REF!="","",SAISIE!#REF!)</f>
        <v>#REF!</v>
      </c>
      <c r="D1002" s="63" t="e">
        <f>IF(SAISIE!#REF!="","",SAISIE!E72)</f>
        <v>#REF!</v>
      </c>
      <c r="E1002" s="63" t="e">
        <f>IF(SAISIE!#REF!="","",SAISIE!F72)</f>
        <v>#REF!</v>
      </c>
      <c r="F1002" s="70" t="e">
        <f>IF(SAISIE!#REF!="","",IF(SAISIE!$N72="","",SAISIE!$N72))</f>
        <v>#REF!</v>
      </c>
      <c r="G1002" s="63" t="e">
        <f>IF(SAISIE!#REF!="","",SAISIE!#REF!)</f>
        <v>#REF!</v>
      </c>
      <c r="H1002" s="63"/>
      <c r="I1002" s="63" t="e">
        <f>IF(SAISIE!#REF!="","",SAISIE!$Q72)</f>
        <v>#REF!</v>
      </c>
      <c r="J1002" s="71" t="str">
        <f>IF(COUNTBLANK(SAISIE!$J$6:$M$6)=4,"",IF(SAISIE!#REF!="","",IF(SAISIE!J72&gt;0,SAISIE!$J$6,IF(SAISIE!K72&gt;0,SAISIE!$K$6,IF(SAISIE!L72&gt;0,SAISIE!$L$6,IF(SAISIE!M72&gt;0,SAISIE!$M$6,""))))))</f>
        <v/>
      </c>
      <c r="O1002" s="59" t="s">
        <v>57</v>
      </c>
    </row>
    <row r="1003" spans="1:15" x14ac:dyDescent="0.25">
      <c r="A1003" s="63" t="e">
        <f>IF(AND(G1003="",H1003=""),"SUPPR",SAISIE!$B$3)</f>
        <v>#REF!</v>
      </c>
      <c r="B1003" s="63" t="e">
        <f>IF(SAISIE!#REF!="","",IF(LEN(SAISIE!B72)=1,CONCATENATE("0",SAISIE!B72,"/",SAISIE!$B$4,"/",SAISIE!$B$5),CONCATENATE(SAISIE!B72,"/",SAISIE!$B$4,"/",SAISIE!$B$5)))</f>
        <v>#REF!</v>
      </c>
      <c r="C1003" s="63" t="e">
        <f>IF(SAISIE!#REF!="","",SAISIE!#REF!)</f>
        <v>#REF!</v>
      </c>
      <c r="D1003" s="63" t="e">
        <f>IF(SAISIE!#REF!="","",SAISIE!E72)</f>
        <v>#REF!</v>
      </c>
      <c r="E1003" s="63" t="e">
        <f>IF(SAISIE!#REF!="","",SAISIE!F72)</f>
        <v>#REF!</v>
      </c>
      <c r="F1003" s="70" t="e">
        <f>IF(SAISIE!#REF!="","",IF(SAISIE!$N72="","",SAISIE!$N72))</f>
        <v>#REF!</v>
      </c>
      <c r="G1003" s="63" t="e">
        <f>IF(SAISIE!#REF!="","",SAISIE!#REF!)</f>
        <v>#REF!</v>
      </c>
      <c r="H1003" s="63"/>
      <c r="I1003" s="63" t="e">
        <f>IF(SAISIE!#REF!="","",SAISIE!$Q72)</f>
        <v>#REF!</v>
      </c>
      <c r="J1003" s="71" t="str">
        <f>IF(COUNTBLANK(SAISIE!$J$6:$M$6)=4,"",IF(SAISIE!#REF!="","",IF(SAISIE!J72&gt;0,SAISIE!$J$6,IF(SAISIE!K72&gt;0,SAISIE!$K$6,IF(SAISIE!L72&gt;0,SAISIE!$L$6,IF(SAISIE!M72&gt;0,SAISIE!$M$6,""))))))</f>
        <v/>
      </c>
      <c r="O1003" s="59" t="s">
        <v>58</v>
      </c>
    </row>
    <row r="1004" spans="1:15" x14ac:dyDescent="0.25">
      <c r="A1004" s="63" t="e">
        <f>IF(AND(G1004="",H1004=""),"SUPPR",SAISIE!$B$3)</f>
        <v>#REF!</v>
      </c>
      <c r="B1004" s="63" t="e">
        <f>IF(SAISIE!#REF!="","",IF(LEN(SAISIE!B72)=1,CONCATENATE("0",SAISIE!B72,"/",SAISIE!$B$4,"/",SAISIE!$B$5),CONCATENATE(SAISIE!B72,"/",SAISIE!$B$4,"/",SAISIE!$B$5)))</f>
        <v>#REF!</v>
      </c>
      <c r="C1004" s="63" t="e">
        <f>IF(SAISIE!#REF!="","",SAISIE!#REF!)</f>
        <v>#REF!</v>
      </c>
      <c r="D1004" s="63" t="e">
        <f>IF(SAISIE!#REF!="","",SAISIE!E72)</f>
        <v>#REF!</v>
      </c>
      <c r="E1004" s="63" t="e">
        <f>IF(SAISIE!#REF!="","",SAISIE!F72)</f>
        <v>#REF!</v>
      </c>
      <c r="F1004" s="70" t="e">
        <f>IF(SAISIE!#REF!="","",IF(SAISIE!$N72="","",SAISIE!$N72))</f>
        <v>#REF!</v>
      </c>
      <c r="G1004" s="63" t="e">
        <f>IF(SAISIE!#REF!="","",SAISIE!#REF!)</f>
        <v>#REF!</v>
      </c>
      <c r="H1004" s="63"/>
      <c r="I1004" s="63" t="e">
        <f>IF(SAISIE!#REF!="","",SAISIE!$Q72)</f>
        <v>#REF!</v>
      </c>
      <c r="J1004" s="71" t="str">
        <f>IF(COUNTBLANK(SAISIE!$J$6:$M$6)=4,"",IF(SAISIE!#REF!="","",IF(SAISIE!J72&gt;0,SAISIE!$J$6,IF(SAISIE!K72&gt;0,SAISIE!$K$6,IF(SAISIE!L72&gt;0,SAISIE!$L$6,IF(SAISIE!M72&gt;0,SAISIE!$M$6,""))))))</f>
        <v/>
      </c>
      <c r="O1004" s="59" t="s">
        <v>59</v>
      </c>
    </row>
    <row r="1005" spans="1:15" x14ac:dyDescent="0.25">
      <c r="A1005" s="63" t="e">
        <f>IF(AND(G1005="",H1005=""),"SUPPR",SAISIE!$B$3)</f>
        <v>#REF!</v>
      </c>
      <c r="B1005" s="63" t="e">
        <f>IF(SAISIE!#REF!="","",IF(LEN(SAISIE!B72)=1,CONCATENATE("0",SAISIE!B72,"/",SAISIE!$B$4,"/",SAISIE!$B$5),CONCATENATE(SAISIE!B72,"/",SAISIE!$B$4,"/",SAISIE!$B$5)))</f>
        <v>#REF!</v>
      </c>
      <c r="C1005" s="63" t="e">
        <f>IF(SAISIE!#REF!="","",SAISIE!#REF!)</f>
        <v>#REF!</v>
      </c>
      <c r="D1005" s="63" t="e">
        <f>IF(SAISIE!#REF!="","",SAISIE!E72)</f>
        <v>#REF!</v>
      </c>
      <c r="E1005" s="63" t="e">
        <f>IF(SAISIE!#REF!="","",SAISIE!F72)</f>
        <v>#REF!</v>
      </c>
      <c r="F1005" s="70" t="e">
        <f>IF(SAISIE!#REF!="","",IF(SAISIE!$N72="","",SAISIE!$N72))</f>
        <v>#REF!</v>
      </c>
      <c r="G1005" s="63" t="e">
        <f>IF(SAISIE!#REF!="","",SAISIE!#REF!)</f>
        <v>#REF!</v>
      </c>
      <c r="H1005" s="63"/>
      <c r="I1005" s="63" t="e">
        <f>IF(SAISIE!#REF!="","",SAISIE!$Q72)</f>
        <v>#REF!</v>
      </c>
      <c r="J1005" s="71" t="str">
        <f>IF(COUNTBLANK(SAISIE!$J$6:$M$6)=4,"",IF(SAISIE!#REF!="","",IF(SAISIE!J72&gt;0,SAISIE!$J$6,IF(SAISIE!K72&gt;0,SAISIE!$K$6,IF(SAISIE!L72&gt;0,SAISIE!$L$6,IF(SAISIE!M72&gt;0,SAISIE!$M$6,""))))))</f>
        <v/>
      </c>
      <c r="O1005" s="59" t="s">
        <v>60</v>
      </c>
    </row>
    <row r="1006" spans="1:15" x14ac:dyDescent="0.25">
      <c r="A1006" s="63" t="str">
        <f>IF(AND(G1006="",H1006=""),"SUPPR",SAISIE!$B$3)</f>
        <v>SUPPR</v>
      </c>
      <c r="B1006" s="63" t="str">
        <f>IF(SAISIE!J72="","",IF(LEN(SAISIE!B72)=1,CONCATENATE("0",SAISIE!B72,"/",SAISIE!$B$4,"/",SAISIE!$B$5),CONCATENATE(SAISIE!B72,"/",SAISIE!$B$4,"/",SAISIE!$B$5)))</f>
        <v/>
      </c>
      <c r="C1006" s="63" t="str">
        <f>IF(SAISIE!J72="","",SAISIE!$J$8)</f>
        <v/>
      </c>
      <c r="D1006" s="63" t="str">
        <f>IF(SAISIE!J72="","",SAISIE!E72)</f>
        <v/>
      </c>
      <c r="E1006" s="63" t="str">
        <f>IF(SAISIE!J72="","",SAISIE!F72)</f>
        <v/>
      </c>
      <c r="F1006" s="70" t="str">
        <f>IF(SAISIE!$J72="","",IF(SAISIE!$N72="","",SAISIE!$N72))</f>
        <v/>
      </c>
      <c r="G1006" s="63" t="str">
        <f>IF(SAISIE!J72="","",SAISIE!J72)</f>
        <v/>
      </c>
      <c r="H1006" s="63"/>
      <c r="I1006" s="72"/>
      <c r="J1006" s="71"/>
      <c r="O1006" s="73"/>
    </row>
    <row r="1007" spans="1:15" x14ac:dyDescent="0.25">
      <c r="A1007" s="63" t="str">
        <f>IF(AND(G1007="",H1007=""),"SUPPR",SAISIE!$B$3)</f>
        <v>SUPPR</v>
      </c>
      <c r="B1007" s="63" t="str">
        <f>IF(SAISIE!K72="","",IF(LEN(SAISIE!B72)=1,CONCATENATE("0",SAISIE!B72,"/",SAISIE!$B$4,"/",SAISIE!$B$5),CONCATENATE(SAISIE!B72,"/",SAISIE!$B$4,"/",SAISIE!$B$5)))</f>
        <v/>
      </c>
      <c r="C1007" s="63" t="str">
        <f>IF(SAISIE!K72="","",SAISIE!$K$8)</f>
        <v/>
      </c>
      <c r="D1007" s="63" t="str">
        <f>IF(SAISIE!K72="","",SAISIE!E72)</f>
        <v/>
      </c>
      <c r="E1007" s="63" t="str">
        <f>IF(SAISIE!K72="","",SAISIE!F72)</f>
        <v/>
      </c>
      <c r="F1007" s="70" t="str">
        <f>IF(SAISIE!$K72="","",IF(SAISIE!$N72="","",SAISIE!$N72))</f>
        <v/>
      </c>
      <c r="G1007" s="63" t="str">
        <f>IF(SAISIE!K72="","",SAISIE!K72)</f>
        <v/>
      </c>
      <c r="H1007" s="63"/>
      <c r="I1007" s="72"/>
      <c r="J1007" s="71"/>
    </row>
    <row r="1008" spans="1:15" x14ac:dyDescent="0.25">
      <c r="A1008" s="63" t="str">
        <f>IF(AND(G1008="",H1008=""),"SUPPR",SAISIE!$B$3)</f>
        <v>SUPPR</v>
      </c>
      <c r="B1008" s="63" t="str">
        <f>IF(SAISIE!L72="","",IF(LEN(SAISIE!B72)=1,CONCATENATE("0",SAISIE!B72,"/",SAISIE!$B$4,"/",SAISIE!$B$5),CONCATENATE(SAISIE!B72,"/",SAISIE!$B$4,"/",SAISIE!$B$5)))</f>
        <v/>
      </c>
      <c r="C1008" s="63" t="str">
        <f>IF(SAISIE!L72="","",SAISIE!$L$8)</f>
        <v/>
      </c>
      <c r="D1008" s="63" t="str">
        <f>IF(SAISIE!L72="","",SAISIE!E72)</f>
        <v/>
      </c>
      <c r="E1008" s="63" t="str">
        <f>IF(SAISIE!L72="","",SAISIE!F72)</f>
        <v/>
      </c>
      <c r="F1008" s="70" t="str">
        <f>IF(SAISIE!$L72="","",IF(SAISIE!$N72="","",SAISIE!$N72))</f>
        <v/>
      </c>
      <c r="G1008" s="63" t="str">
        <f>IF(SAISIE!L72="","",SAISIE!L72)</f>
        <v/>
      </c>
      <c r="H1008" s="63"/>
      <c r="I1008" s="72"/>
      <c r="J1008" s="71"/>
    </row>
    <row r="1009" spans="1:15" x14ac:dyDescent="0.25">
      <c r="A1009" s="63" t="str">
        <f>IF(AND(G1009="",H1009=""),"SUPPR",SAISIE!$B$3)</f>
        <v>SUPPR</v>
      </c>
      <c r="B1009" s="63" t="str">
        <f>IF(SAISIE!M72="","",IF(LEN(SAISIE!B72)=1,CONCATENATE("0",SAISIE!B72,"/",SAISIE!$B$4,"/",SAISIE!$B$5),CONCATENATE(SAISIE!B72,"/",SAISIE!$B$4,"/",SAISIE!$B$5)))</f>
        <v/>
      </c>
      <c r="C1009" s="74" t="str">
        <f>IF(SAISIE!M72="","",SAISIE!$M$8)</f>
        <v/>
      </c>
      <c r="D1009" s="74" t="str">
        <f>IF(SAISIE!M72="","",SAISIE!E72)</f>
        <v/>
      </c>
      <c r="E1009" s="74" t="str">
        <f>IF(SAISIE!M72="","",SAISIE!F72)</f>
        <v/>
      </c>
      <c r="F1009" s="75" t="str">
        <f>IF(SAISIE!$M72="","",IF(SAISIE!$N72="","",SAISIE!$N72))</f>
        <v/>
      </c>
      <c r="G1009" s="74" t="str">
        <f>IF(SAISIE!M72="","",SAISIE!M72)</f>
        <v/>
      </c>
      <c r="H1009" s="76"/>
      <c r="I1009" s="77"/>
      <c r="J1009" s="78"/>
    </row>
    <row r="1010" spans="1:15" x14ac:dyDescent="0.25">
      <c r="A1010" s="63" t="str">
        <f>IF(AND(G1010="",H1010=""),"SUPPR",SAISIE!$B$3)</f>
        <v>SUPPR</v>
      </c>
      <c r="B1010" s="64" t="str">
        <f>IF(SAISIE!B73="","",IF(LEN(SAISIE!B73)=1,CONCATENATE("0",SAISIE!B73,"/",SAISIE!$B$4,"/",SAISIE!$B$5),CONCATENATE(SAISIE!B73,"/",SAISIE!$B$4,"/",SAISIE!$B$5)))</f>
        <v/>
      </c>
      <c r="C1010" s="64" t="str">
        <f>IF(SAISIE!B73="","",CONCATENATE($M$2,SAISIE!C73))</f>
        <v/>
      </c>
      <c r="D1010" s="64" t="str">
        <f>IF(SAISIE!B73="","",SAISIE!E73)</f>
        <v/>
      </c>
      <c r="E1010" s="64" t="str">
        <f>IF(SAISIE!B73="","",SAISIE!F73)</f>
        <v/>
      </c>
      <c r="F1010" s="65" t="str">
        <f>IF(A1010="SUPPR","",IF(SAISIE!$N73="","",SAISIE!$N73))</f>
        <v/>
      </c>
      <c r="G1010" s="64"/>
      <c r="H1010" s="64" t="str">
        <f>IF(SAISIE!B73="","",SAISIE!D73)</f>
        <v/>
      </c>
      <c r="I1010" s="66"/>
      <c r="J1010" s="67" t="str">
        <f>IF(AZ73="","","")</f>
        <v/>
      </c>
      <c r="O1010" s="69">
        <f>O994+1</f>
        <v>73</v>
      </c>
    </row>
    <row r="1011" spans="1:15" x14ac:dyDescent="0.25">
      <c r="A1011" s="63" t="str">
        <f>IF(AND(G1011="",H1011=""),"SUPPR",SAISIE!$B$3)</f>
        <v>SUPPR</v>
      </c>
      <c r="B1011" s="63" t="str">
        <f>IF(SAISIE!P73="","",IF(LEN(SAISIE!B73)=1,CONCATENATE("0",SAISIE!B73,"/",SAISIE!$B$4,"/",SAISIE!$B$5),CONCATENATE(SAISIE!B73,"/",SAISIE!$B$4,"/",SAISIE!$B$5)))</f>
        <v/>
      </c>
      <c r="C1011" s="63" t="str">
        <f>IF(SAISIE!P73="","",SAISIE!O73)</f>
        <v/>
      </c>
      <c r="D1011" s="63" t="str">
        <f>IF(SAISIE!P73="","",SAISIE!E73)</f>
        <v/>
      </c>
      <c r="E1011" s="63" t="str">
        <f>IF(SAISIE!P73="","",SAISIE!F73)</f>
        <v/>
      </c>
      <c r="F1011" s="70" t="str">
        <f>IF(SAISIE!$P73="","",IF(SAISIE!$N73="","",SAISIE!$N73))</f>
        <v/>
      </c>
      <c r="G1011" s="63" t="str">
        <f>IF(SAISIE!P73="","",SAISIE!P73)</f>
        <v/>
      </c>
      <c r="H1011" s="63"/>
      <c r="I1011" s="63" t="str">
        <f>IF(SAISIE!$P73="","",SAISIE!$Q73)</f>
        <v/>
      </c>
      <c r="J1011" s="71" t="str">
        <f>IF(COUNTBLANK(SAISIE!$J$6:$M$6)=4,"",IF(SAISIE!P73="","",IF(SAISIE!J73&gt;0,SAISIE!$J$6,IF(SAISIE!K73&gt;0,SAISIE!$K$6,IF(SAISIE!L73&gt;0,SAISIE!$L$6,IF(SAISIE!M73&gt;0,SAISIE!$M$6,""))))))</f>
        <v/>
      </c>
      <c r="O1011" s="59" t="s">
        <v>50</v>
      </c>
    </row>
    <row r="1012" spans="1:15" x14ac:dyDescent="0.25">
      <c r="A1012" s="63" t="str">
        <f>IF(AND(G1012="",H1012=""),"SUPPR",SAISIE!$B$3)</f>
        <v>SUPPR</v>
      </c>
      <c r="B1012" s="63" t="str">
        <f>IF(SAISIE!G73="","",IF(LEN(SAISIE!B73)=1,CONCATENATE("0",SAISIE!B73,"/",SAISIE!$B$4,"/",SAISIE!$B$5),CONCATENATE(SAISIE!B73,"/",SAISIE!$B$4,"/",SAISIE!$B$5)))</f>
        <v/>
      </c>
      <c r="C1012" s="63" t="str">
        <f>IF(SAISIE!G73="","",SAISIE!$G$8)</f>
        <v/>
      </c>
      <c r="D1012" s="63" t="str">
        <f>IF(SAISIE!G73="","",SAISIE!E73)</f>
        <v/>
      </c>
      <c r="E1012" s="63" t="str">
        <f>IF(SAISIE!G73="","",SAISIE!F73)</f>
        <v/>
      </c>
      <c r="F1012" s="70" t="str">
        <f>IF(SAISIE!$G73="","",IF(SAISIE!$N73="","",SAISIE!$N73))</f>
        <v/>
      </c>
      <c r="G1012" s="63" t="str">
        <f>IF(SAISIE!G73="","",SAISIE!G73)</f>
        <v/>
      </c>
      <c r="H1012" s="63"/>
      <c r="I1012" s="63" t="str">
        <f>IF(SAISIE!$G73="","",SAISIE!$Q73)</f>
        <v/>
      </c>
      <c r="J1012" s="71" t="str">
        <f>IF(COUNTBLANK(SAISIE!$J$6:$M$6)=4,"",IF(SAISIE!G73="","",IF(SAISIE!J73&gt;0,SAISIE!$J$6,IF(SAISIE!K73&gt;0,SAISIE!$K$6,IF(SAISIE!L73&gt;0,SAISIE!$L$6,IF(SAISIE!M73&gt;0,SAISIE!$M$6,""))))))</f>
        <v/>
      </c>
      <c r="O1012" s="59" t="s">
        <v>51</v>
      </c>
    </row>
    <row r="1013" spans="1:15" x14ac:dyDescent="0.25">
      <c r="A1013" s="63" t="str">
        <f>IF(AND(G1013="",H1013=""),"SUPPR",SAISIE!$B$3)</f>
        <v>SUPPR</v>
      </c>
      <c r="B1013" s="63" t="str">
        <f>IF(SAISIE!H73="","",IF(LEN(SAISIE!B73)=1,CONCATENATE("0",SAISIE!B73,"/",SAISIE!$B$4,"/",SAISIE!$B$5),CONCATENATE(SAISIE!B73,"/",SAISIE!$B$4,"/",SAISIE!$B$5)))</f>
        <v/>
      </c>
      <c r="C1013" s="63" t="str">
        <f>IF(SAISIE!H73="","",SAISIE!$H$8)</f>
        <v/>
      </c>
      <c r="D1013" s="63" t="str">
        <f>IF(SAISIE!H73="","",SAISIE!E73)</f>
        <v/>
      </c>
      <c r="E1013" s="63" t="str">
        <f>IF(SAISIE!H73="","",SAISIE!F73)</f>
        <v/>
      </c>
      <c r="F1013" s="70" t="str">
        <f>IF(SAISIE!$H73="","",IF(SAISIE!$N73="","",SAISIE!$N73))</f>
        <v/>
      </c>
      <c r="G1013" s="63" t="str">
        <f>IF(SAISIE!H73="","",SAISIE!H73)</f>
        <v/>
      </c>
      <c r="H1013" s="63"/>
      <c r="I1013" s="63" t="str">
        <f>IF(SAISIE!$H73="","",SAISIE!$Q73)</f>
        <v/>
      </c>
      <c r="J1013" s="71" t="str">
        <f>IF(COUNTBLANK(SAISIE!$J$6:$M$6)=4,"",IF(SAISIE!H73="","",IF(SAISIE!J73&gt;0,SAISIE!$J$6,IF(SAISIE!K73&gt;0,SAISIE!$K$6,IF(SAISIE!L73&gt;0,SAISIE!$L$6,IF(SAISIE!M73&gt;0,SAISIE!$M$6,""))))))</f>
        <v/>
      </c>
      <c r="O1013" s="59" t="s">
        <v>52</v>
      </c>
    </row>
    <row r="1014" spans="1:15" x14ac:dyDescent="0.25">
      <c r="A1014" s="63" t="str">
        <f>IF(AND(G1014="",H1014=""),"SUPPR",SAISIE!$B$3)</f>
        <v>SUPPR</v>
      </c>
      <c r="B1014" s="63" t="str">
        <f>IF(SAISIE!I73="","",IF(LEN(SAISIE!B73)=1,CONCATENATE("0",SAISIE!B73,"/",SAISIE!$B$4,"/",SAISIE!$B$5),CONCATENATE(SAISIE!B73,"/",SAISIE!$B$4,"/",SAISIE!$B$5)))</f>
        <v/>
      </c>
      <c r="C1014" s="63" t="str">
        <f>IF(SAISIE!I73="","",SAISIE!$I$8)</f>
        <v/>
      </c>
      <c r="D1014" s="63" t="str">
        <f>IF(SAISIE!I73="","",SAISIE!E73)</f>
        <v/>
      </c>
      <c r="E1014" s="63" t="str">
        <f>IF(SAISIE!I73="","",SAISIE!F73)</f>
        <v/>
      </c>
      <c r="F1014" s="70" t="str">
        <f>IF(SAISIE!$I73="","",IF(SAISIE!$N73="","",SAISIE!$N73))</f>
        <v/>
      </c>
      <c r="G1014" s="63" t="str">
        <f>IF(SAISIE!I73="","",SAISIE!I73)</f>
        <v/>
      </c>
      <c r="H1014" s="63"/>
      <c r="I1014" s="63" t="str">
        <f>IF(SAISIE!$I73="","",SAISIE!$Q73)</f>
        <v/>
      </c>
      <c r="J1014" s="71" t="str">
        <f>IF(COUNTBLANK(SAISIE!$J$6:$M$6)=4,"",IF(SAISIE!I73="","",IF(SAISIE!J73&gt;0,SAISIE!$J$6,IF(SAISIE!K73&gt;0,SAISIE!$K$6,IF(SAISIE!L73&gt;0,SAISIE!$L$6,IF(SAISIE!M73&gt;0,SAISIE!$M$6,""))))))</f>
        <v/>
      </c>
      <c r="O1014" s="59" t="s">
        <v>53</v>
      </c>
    </row>
    <row r="1015" spans="1:15" x14ac:dyDescent="0.25">
      <c r="A1015" s="63" t="e">
        <f>IF(AND(G1015="",H1015=""),"SUPPR",SAISIE!$B$3)</f>
        <v>#REF!</v>
      </c>
      <c r="B1015" s="63" t="e">
        <f>IF(SAISIE!#REF!="","",IF(LEN(SAISIE!B73)=1,CONCATENATE("0",SAISIE!B73,"/",SAISIE!$B$4,"/",SAISIE!$B$5),CONCATENATE(SAISIE!B73,"/",SAISIE!$B$4,"/",SAISIE!$B$5)))</f>
        <v>#REF!</v>
      </c>
      <c r="C1015" s="63" t="e">
        <f>IF(SAISIE!#REF!="","",SAISIE!#REF!)</f>
        <v>#REF!</v>
      </c>
      <c r="D1015" s="63" t="e">
        <f>IF(SAISIE!#REF!="","",SAISIE!E73)</f>
        <v>#REF!</v>
      </c>
      <c r="E1015" s="63" t="e">
        <f>IF(SAISIE!#REF!="","",SAISIE!F73)</f>
        <v>#REF!</v>
      </c>
      <c r="F1015" s="70" t="e">
        <f>IF(SAISIE!#REF!="","",IF(SAISIE!$N73="","",SAISIE!$N73))</f>
        <v>#REF!</v>
      </c>
      <c r="G1015" s="63" t="e">
        <f>IF(SAISIE!#REF!="","",SAISIE!#REF!)</f>
        <v>#REF!</v>
      </c>
      <c r="H1015" s="63"/>
      <c r="I1015" s="63" t="e">
        <f>IF(SAISIE!#REF!="","",SAISIE!$Q73)</f>
        <v>#REF!</v>
      </c>
      <c r="J1015" s="71" t="str">
        <f>IF(COUNTBLANK(SAISIE!$J$6:$M$6)=4,"",IF(SAISIE!#REF!="","",IF(SAISIE!J73&gt;0,SAISIE!$J$6,IF(SAISIE!K73&gt;0,SAISIE!$K$6,IF(SAISIE!L73&gt;0,SAISIE!$L$6,IF(SAISIE!M73&gt;0,SAISIE!$M$6,""))))))</f>
        <v/>
      </c>
      <c r="O1015" s="59" t="s">
        <v>54</v>
      </c>
    </row>
    <row r="1016" spans="1:15" x14ac:dyDescent="0.25">
      <c r="A1016" s="63" t="e">
        <f>IF(AND(G1016="",H1016=""),"SUPPR",SAISIE!$B$3)</f>
        <v>#REF!</v>
      </c>
      <c r="B1016" s="63" t="e">
        <f>IF(SAISIE!#REF!="","",IF(LEN(SAISIE!B73)=1,CONCATENATE("0",SAISIE!B73,"/",SAISIE!$B$4,"/",SAISIE!$B$5),CONCATENATE(SAISIE!B73,"/",SAISIE!$B$4,"/",SAISIE!$B$5)))</f>
        <v>#REF!</v>
      </c>
      <c r="C1016" s="63" t="e">
        <f>IF(SAISIE!#REF!="","",SAISIE!#REF!)</f>
        <v>#REF!</v>
      </c>
      <c r="D1016" s="63" t="e">
        <f>IF(SAISIE!#REF!="","",SAISIE!E73)</f>
        <v>#REF!</v>
      </c>
      <c r="E1016" s="63" t="e">
        <f>IF(SAISIE!#REF!="","",SAISIE!F73)</f>
        <v>#REF!</v>
      </c>
      <c r="F1016" s="70" t="e">
        <f>IF(SAISIE!#REF!="","",IF(SAISIE!$N73="","",SAISIE!$N73))</f>
        <v>#REF!</v>
      </c>
      <c r="G1016" s="63" t="e">
        <f>IF(SAISIE!#REF!="","",SAISIE!#REF!)</f>
        <v>#REF!</v>
      </c>
      <c r="H1016" s="63"/>
      <c r="I1016" s="63" t="e">
        <f>IF(SAISIE!#REF!="","",SAISIE!$Q73)</f>
        <v>#REF!</v>
      </c>
      <c r="J1016" s="71" t="str">
        <f>IF(COUNTBLANK(SAISIE!$J$6:$M$6)=4,"",IF(SAISIE!#REF!="","",IF(SAISIE!J73&gt;0,SAISIE!$J$6,IF(SAISIE!K73&gt;0,SAISIE!$K$6,IF(SAISIE!L73&gt;0,SAISIE!$L$6,IF(SAISIE!M73&gt;0,SAISIE!$M$6,""))))))</f>
        <v/>
      </c>
      <c r="O1016" s="59" t="s">
        <v>55</v>
      </c>
    </row>
    <row r="1017" spans="1:15" x14ac:dyDescent="0.25">
      <c r="A1017" s="63" t="e">
        <f>IF(AND(G1017="",H1017=""),"SUPPR",SAISIE!$B$3)</f>
        <v>#REF!</v>
      </c>
      <c r="B1017" s="63" t="e">
        <f>IF(SAISIE!#REF!="","",IF(LEN(SAISIE!B73)=1,CONCATENATE("0",SAISIE!B73,"/",SAISIE!$B$4,"/",SAISIE!$B$5),CONCATENATE(SAISIE!B73,"/",SAISIE!$B$4,"/",SAISIE!$B$5)))</f>
        <v>#REF!</v>
      </c>
      <c r="C1017" s="63" t="e">
        <f>IF(SAISIE!#REF!="","",SAISIE!#REF!)</f>
        <v>#REF!</v>
      </c>
      <c r="D1017" s="63" t="e">
        <f>IF(SAISIE!#REF!="","",SAISIE!E73)</f>
        <v>#REF!</v>
      </c>
      <c r="E1017" s="63" t="e">
        <f>IF(SAISIE!#REF!="","",SAISIE!F73)</f>
        <v>#REF!</v>
      </c>
      <c r="F1017" s="70" t="e">
        <f>IF(SAISIE!#REF!="","",IF(SAISIE!$N73="","",SAISIE!$N73))</f>
        <v>#REF!</v>
      </c>
      <c r="G1017" s="63" t="e">
        <f>IF(SAISIE!#REF!="","",SAISIE!#REF!)</f>
        <v>#REF!</v>
      </c>
      <c r="H1017" s="63"/>
      <c r="I1017" s="63" t="e">
        <f>IF(SAISIE!#REF!="","",SAISIE!$Q73)</f>
        <v>#REF!</v>
      </c>
      <c r="J1017" s="71" t="str">
        <f>IF(COUNTBLANK(SAISIE!$J$6:$M$6)=4,"",IF(SAISIE!#REF!="","",IF(SAISIE!J73&gt;0,SAISIE!$J$6,IF(SAISIE!K73&gt;0,SAISIE!$K$6,IF(SAISIE!L73&gt;0,SAISIE!$L$6,IF(SAISIE!M73&gt;0,SAISIE!$M$6,""))))))</f>
        <v/>
      </c>
      <c r="O1017" s="59" t="s">
        <v>56</v>
      </c>
    </row>
    <row r="1018" spans="1:15" x14ac:dyDescent="0.25">
      <c r="A1018" s="63" t="e">
        <f>IF(AND(G1018="",H1018=""),"SUPPR",SAISIE!$B$3)</f>
        <v>#REF!</v>
      </c>
      <c r="B1018" s="63" t="e">
        <f>IF(SAISIE!#REF!="","",IF(LEN(SAISIE!B73)=1,CONCATENATE("0",SAISIE!B73,"/",SAISIE!$B$4,"/",SAISIE!$B$5),CONCATENATE(SAISIE!B73,"/",SAISIE!$B$4,"/",SAISIE!$B$5)))</f>
        <v>#REF!</v>
      </c>
      <c r="C1018" s="63" t="e">
        <f>IF(SAISIE!#REF!="","",SAISIE!#REF!)</f>
        <v>#REF!</v>
      </c>
      <c r="D1018" s="63" t="e">
        <f>IF(SAISIE!#REF!="","",SAISIE!E73)</f>
        <v>#REF!</v>
      </c>
      <c r="E1018" s="63" t="e">
        <f>IF(SAISIE!#REF!="","",SAISIE!F73)</f>
        <v>#REF!</v>
      </c>
      <c r="F1018" s="70" t="e">
        <f>IF(SAISIE!#REF!="","",IF(SAISIE!$N73="","",SAISIE!$N73))</f>
        <v>#REF!</v>
      </c>
      <c r="G1018" s="63" t="e">
        <f>IF(SAISIE!#REF!="","",SAISIE!#REF!)</f>
        <v>#REF!</v>
      </c>
      <c r="H1018" s="63"/>
      <c r="I1018" s="63" t="e">
        <f>IF(SAISIE!#REF!="","",SAISIE!$Q73)</f>
        <v>#REF!</v>
      </c>
      <c r="J1018" s="71" t="str">
        <f>IF(COUNTBLANK(SAISIE!$J$6:$M$6)=4,"",IF(SAISIE!#REF!="","",IF(SAISIE!J73&gt;0,SAISIE!$J$6,IF(SAISIE!K73&gt;0,SAISIE!$K$6,IF(SAISIE!L73&gt;0,SAISIE!$L$6,IF(SAISIE!M73&gt;0,SAISIE!$M$6,""))))))</f>
        <v/>
      </c>
      <c r="O1018" s="59" t="s">
        <v>57</v>
      </c>
    </row>
    <row r="1019" spans="1:15" x14ac:dyDescent="0.25">
      <c r="A1019" s="63" t="e">
        <f>IF(AND(G1019="",H1019=""),"SUPPR",SAISIE!$B$3)</f>
        <v>#REF!</v>
      </c>
      <c r="B1019" s="63" t="e">
        <f>IF(SAISIE!#REF!="","",IF(LEN(SAISIE!B73)=1,CONCATENATE("0",SAISIE!B73,"/",SAISIE!$B$4,"/",SAISIE!$B$5),CONCATENATE(SAISIE!B73,"/",SAISIE!$B$4,"/",SAISIE!$B$5)))</f>
        <v>#REF!</v>
      </c>
      <c r="C1019" s="63" t="e">
        <f>IF(SAISIE!#REF!="","",SAISIE!#REF!)</f>
        <v>#REF!</v>
      </c>
      <c r="D1019" s="63" t="e">
        <f>IF(SAISIE!#REF!="","",SAISIE!E73)</f>
        <v>#REF!</v>
      </c>
      <c r="E1019" s="63" t="e">
        <f>IF(SAISIE!#REF!="","",SAISIE!F73)</f>
        <v>#REF!</v>
      </c>
      <c r="F1019" s="70" t="e">
        <f>IF(SAISIE!#REF!="","",IF(SAISIE!$N73="","",SAISIE!$N73))</f>
        <v>#REF!</v>
      </c>
      <c r="G1019" s="63" t="e">
        <f>IF(SAISIE!#REF!="","",SAISIE!#REF!)</f>
        <v>#REF!</v>
      </c>
      <c r="H1019" s="63"/>
      <c r="I1019" s="63" t="e">
        <f>IF(SAISIE!#REF!="","",SAISIE!$Q73)</f>
        <v>#REF!</v>
      </c>
      <c r="J1019" s="71" t="str">
        <f>IF(COUNTBLANK(SAISIE!$J$6:$M$6)=4,"",IF(SAISIE!#REF!="","",IF(SAISIE!J73&gt;0,SAISIE!$J$6,IF(SAISIE!K73&gt;0,SAISIE!$K$6,IF(SAISIE!L73&gt;0,SAISIE!$L$6,IF(SAISIE!M73&gt;0,SAISIE!$M$6,""))))))</f>
        <v/>
      </c>
      <c r="O1019" s="59" t="s">
        <v>58</v>
      </c>
    </row>
    <row r="1020" spans="1:15" x14ac:dyDescent="0.25">
      <c r="A1020" s="63" t="e">
        <f>IF(AND(G1020="",H1020=""),"SUPPR",SAISIE!$B$3)</f>
        <v>#REF!</v>
      </c>
      <c r="B1020" s="63" t="e">
        <f>IF(SAISIE!#REF!="","",IF(LEN(SAISIE!B73)=1,CONCATENATE("0",SAISIE!B73,"/",SAISIE!$B$4,"/",SAISIE!$B$5),CONCATENATE(SAISIE!B73,"/",SAISIE!$B$4,"/",SAISIE!$B$5)))</f>
        <v>#REF!</v>
      </c>
      <c r="C1020" s="63" t="e">
        <f>IF(SAISIE!#REF!="","",SAISIE!#REF!)</f>
        <v>#REF!</v>
      </c>
      <c r="D1020" s="63" t="e">
        <f>IF(SAISIE!#REF!="","",SAISIE!E73)</f>
        <v>#REF!</v>
      </c>
      <c r="E1020" s="63" t="e">
        <f>IF(SAISIE!#REF!="","",SAISIE!F73)</f>
        <v>#REF!</v>
      </c>
      <c r="F1020" s="70" t="e">
        <f>IF(SAISIE!#REF!="","",IF(SAISIE!$N73="","",SAISIE!$N73))</f>
        <v>#REF!</v>
      </c>
      <c r="G1020" s="63" t="e">
        <f>IF(SAISIE!#REF!="","",SAISIE!#REF!)</f>
        <v>#REF!</v>
      </c>
      <c r="H1020" s="63"/>
      <c r="I1020" s="63" t="e">
        <f>IF(SAISIE!#REF!="","",SAISIE!$Q73)</f>
        <v>#REF!</v>
      </c>
      <c r="J1020" s="71" t="str">
        <f>IF(COUNTBLANK(SAISIE!$J$6:$M$6)=4,"",IF(SAISIE!#REF!="","",IF(SAISIE!J73&gt;0,SAISIE!$J$6,IF(SAISIE!K73&gt;0,SAISIE!$K$6,IF(SAISIE!L73&gt;0,SAISIE!$L$6,IF(SAISIE!M73&gt;0,SAISIE!$M$6,""))))))</f>
        <v/>
      </c>
      <c r="O1020" s="59" t="s">
        <v>59</v>
      </c>
    </row>
    <row r="1021" spans="1:15" x14ac:dyDescent="0.25">
      <c r="A1021" s="63" t="e">
        <f>IF(AND(G1021="",H1021=""),"SUPPR",SAISIE!$B$3)</f>
        <v>#REF!</v>
      </c>
      <c r="B1021" s="63" t="e">
        <f>IF(SAISIE!#REF!="","",IF(LEN(SAISIE!B73)=1,CONCATENATE("0",SAISIE!B73,"/",SAISIE!$B$4,"/",SAISIE!$B$5),CONCATENATE(SAISIE!B73,"/",SAISIE!$B$4,"/",SAISIE!$B$5)))</f>
        <v>#REF!</v>
      </c>
      <c r="C1021" s="63" t="e">
        <f>IF(SAISIE!#REF!="","",SAISIE!#REF!)</f>
        <v>#REF!</v>
      </c>
      <c r="D1021" s="63" t="e">
        <f>IF(SAISIE!#REF!="","",SAISIE!E73)</f>
        <v>#REF!</v>
      </c>
      <c r="E1021" s="63" t="e">
        <f>IF(SAISIE!#REF!="","",SAISIE!F73)</f>
        <v>#REF!</v>
      </c>
      <c r="F1021" s="70" t="e">
        <f>IF(SAISIE!#REF!="","",IF(SAISIE!$N73="","",SAISIE!$N73))</f>
        <v>#REF!</v>
      </c>
      <c r="G1021" s="63" t="e">
        <f>IF(SAISIE!#REF!="","",SAISIE!#REF!)</f>
        <v>#REF!</v>
      </c>
      <c r="H1021" s="63"/>
      <c r="I1021" s="63" t="e">
        <f>IF(SAISIE!#REF!="","",SAISIE!$Q73)</f>
        <v>#REF!</v>
      </c>
      <c r="J1021" s="71" t="str">
        <f>IF(COUNTBLANK(SAISIE!$J$6:$M$6)=4,"",IF(SAISIE!#REF!="","",IF(SAISIE!J73&gt;0,SAISIE!$J$6,IF(SAISIE!K73&gt;0,SAISIE!$K$6,IF(SAISIE!L73&gt;0,SAISIE!$L$6,IF(SAISIE!M73&gt;0,SAISIE!$M$6,""))))))</f>
        <v/>
      </c>
      <c r="O1021" s="59" t="s">
        <v>60</v>
      </c>
    </row>
    <row r="1022" spans="1:15" x14ac:dyDescent="0.25">
      <c r="A1022" s="63" t="str">
        <f>IF(AND(G1022="",H1022=""),"SUPPR",SAISIE!$B$3)</f>
        <v>SUPPR</v>
      </c>
      <c r="B1022" s="63" t="str">
        <f>IF(SAISIE!J73="","",IF(LEN(SAISIE!B73)=1,CONCATENATE("0",SAISIE!B73,"/",SAISIE!$B$4,"/",SAISIE!$B$5),CONCATENATE(SAISIE!B73,"/",SAISIE!$B$4,"/",SAISIE!$B$5)))</f>
        <v/>
      </c>
      <c r="C1022" s="63" t="str">
        <f>IF(SAISIE!J73="","",SAISIE!$J$8)</f>
        <v/>
      </c>
      <c r="D1022" s="63" t="str">
        <f>IF(SAISIE!J73="","",SAISIE!E73)</f>
        <v/>
      </c>
      <c r="E1022" s="63" t="str">
        <f>IF(SAISIE!J73="","",SAISIE!F73)</f>
        <v/>
      </c>
      <c r="F1022" s="70" t="str">
        <f>IF(SAISIE!$J73="","",IF(SAISIE!$N73="","",SAISIE!$N73))</f>
        <v/>
      </c>
      <c r="G1022" s="63" t="str">
        <f>IF(SAISIE!J73="","",SAISIE!J73)</f>
        <v/>
      </c>
      <c r="H1022" s="63"/>
      <c r="I1022" s="72"/>
      <c r="J1022" s="71"/>
      <c r="O1022" s="73"/>
    </row>
    <row r="1023" spans="1:15" x14ac:dyDescent="0.25">
      <c r="A1023" s="63" t="str">
        <f>IF(AND(G1023="",H1023=""),"SUPPR",SAISIE!$B$3)</f>
        <v>SUPPR</v>
      </c>
      <c r="B1023" s="63" t="str">
        <f>IF(SAISIE!K73="","",IF(LEN(SAISIE!B73)=1,CONCATENATE("0",SAISIE!B73,"/",SAISIE!$B$4,"/",SAISIE!$B$5),CONCATENATE(SAISIE!B73,"/",SAISIE!$B$4,"/",SAISIE!$B$5)))</f>
        <v/>
      </c>
      <c r="C1023" s="63" t="str">
        <f>IF(SAISIE!K73="","",SAISIE!$K$8)</f>
        <v/>
      </c>
      <c r="D1023" s="63" t="str">
        <f>IF(SAISIE!K73="","",SAISIE!E73)</f>
        <v/>
      </c>
      <c r="E1023" s="63" t="str">
        <f>IF(SAISIE!K73="","",SAISIE!F73)</f>
        <v/>
      </c>
      <c r="F1023" s="70" t="str">
        <f>IF(SAISIE!$K73="","",IF(SAISIE!$N73="","",SAISIE!$N73))</f>
        <v/>
      </c>
      <c r="G1023" s="63" t="str">
        <f>IF(SAISIE!K73="","",SAISIE!K73)</f>
        <v/>
      </c>
      <c r="H1023" s="63"/>
      <c r="I1023" s="72"/>
      <c r="J1023" s="71"/>
    </row>
    <row r="1024" spans="1:15" x14ac:dyDescent="0.25">
      <c r="A1024" s="63" t="str">
        <f>IF(AND(G1024="",H1024=""),"SUPPR",SAISIE!$B$3)</f>
        <v>SUPPR</v>
      </c>
      <c r="B1024" s="63" t="str">
        <f>IF(SAISIE!L73="","",IF(LEN(SAISIE!B73)=1,CONCATENATE("0",SAISIE!B73,"/",SAISIE!$B$4,"/",SAISIE!$B$5),CONCATENATE(SAISIE!B73,"/",SAISIE!$B$4,"/",SAISIE!$B$5)))</f>
        <v/>
      </c>
      <c r="C1024" s="63" t="str">
        <f>IF(SAISIE!L73="","",SAISIE!$L$8)</f>
        <v/>
      </c>
      <c r="D1024" s="63" t="str">
        <f>IF(SAISIE!L73="","",SAISIE!E73)</f>
        <v/>
      </c>
      <c r="E1024" s="63" t="str">
        <f>IF(SAISIE!L73="","",SAISIE!F73)</f>
        <v/>
      </c>
      <c r="F1024" s="70" t="str">
        <f>IF(SAISIE!$L73="","",IF(SAISIE!$N73="","",SAISIE!$N73))</f>
        <v/>
      </c>
      <c r="G1024" s="63" t="str">
        <f>IF(SAISIE!L73="","",SAISIE!L73)</f>
        <v/>
      </c>
      <c r="H1024" s="63"/>
      <c r="I1024" s="72"/>
      <c r="J1024" s="71"/>
    </row>
    <row r="1025" spans="1:15" x14ac:dyDescent="0.25">
      <c r="A1025" s="63" t="str">
        <f>IF(AND(G1025="",H1025=""),"SUPPR",SAISIE!$B$3)</f>
        <v>SUPPR</v>
      </c>
      <c r="B1025" s="63" t="str">
        <f>IF(SAISIE!M73="","",IF(LEN(SAISIE!B73)=1,CONCATENATE("0",SAISIE!B73,"/",SAISIE!$B$4,"/",SAISIE!$B$5),CONCATENATE(SAISIE!B73,"/",SAISIE!$B$4,"/",SAISIE!$B$5)))</f>
        <v/>
      </c>
      <c r="C1025" s="74" t="str">
        <f>IF(SAISIE!M73="","",SAISIE!$M$8)</f>
        <v/>
      </c>
      <c r="D1025" s="74" t="str">
        <f>IF(SAISIE!M73="","",SAISIE!E73)</f>
        <v/>
      </c>
      <c r="E1025" s="74" t="str">
        <f>IF(SAISIE!M73="","",SAISIE!F73)</f>
        <v/>
      </c>
      <c r="F1025" s="75" t="str">
        <f>IF(SAISIE!$M73="","",IF(SAISIE!$N73="","",SAISIE!$N73))</f>
        <v/>
      </c>
      <c r="G1025" s="74" t="str">
        <f>IF(SAISIE!M73="","",SAISIE!M73)</f>
        <v/>
      </c>
      <c r="H1025" s="76"/>
      <c r="I1025" s="77"/>
      <c r="J1025" s="78"/>
    </row>
    <row r="1026" spans="1:15" x14ac:dyDescent="0.25">
      <c r="A1026" s="63" t="str">
        <f>IF(AND(G1026="",H1026=""),"SUPPR",SAISIE!$B$3)</f>
        <v>SUPPR</v>
      </c>
      <c r="B1026" s="64" t="str">
        <f>IF(SAISIE!B74="","",IF(LEN(SAISIE!B74)=1,CONCATENATE("0",SAISIE!B74,"/",SAISIE!$B$4,"/",SAISIE!$B$5),CONCATENATE(SAISIE!B74,"/",SAISIE!$B$4,"/",SAISIE!$B$5)))</f>
        <v/>
      </c>
      <c r="C1026" s="64" t="str">
        <f>IF(SAISIE!B74="","",CONCATENATE($M$2,SAISIE!C74))</f>
        <v/>
      </c>
      <c r="D1026" s="64" t="str">
        <f>IF(SAISIE!B74="","",SAISIE!E74)</f>
        <v/>
      </c>
      <c r="E1026" s="64" t="str">
        <f>IF(SAISIE!B74="","",SAISIE!F74)</f>
        <v/>
      </c>
      <c r="F1026" s="65" t="str">
        <f>IF(A1026="SUPPR","",IF(SAISIE!$N74="","",SAISIE!$N74))</f>
        <v/>
      </c>
      <c r="G1026" s="64"/>
      <c r="H1026" s="64" t="str">
        <f>IF(SAISIE!B74="","",SAISIE!D74)</f>
        <v/>
      </c>
      <c r="I1026" s="66"/>
      <c r="J1026" s="67" t="str">
        <f>IF(AZ74="","","")</f>
        <v/>
      </c>
      <c r="O1026" s="69">
        <f>O1010+1</f>
        <v>74</v>
      </c>
    </row>
    <row r="1027" spans="1:15" x14ac:dyDescent="0.25">
      <c r="A1027" s="63" t="str">
        <f>IF(AND(G1027="",H1027=""),"SUPPR",SAISIE!$B$3)</f>
        <v>SUPPR</v>
      </c>
      <c r="B1027" s="63" t="str">
        <f>IF(SAISIE!P74="","",IF(LEN(SAISIE!B74)=1,CONCATENATE("0",SAISIE!B74,"/",SAISIE!$B$4,"/",SAISIE!$B$5),CONCATENATE(SAISIE!B74,"/",SAISIE!$B$4,"/",SAISIE!$B$5)))</f>
        <v/>
      </c>
      <c r="C1027" s="63" t="str">
        <f>IF(SAISIE!P74="","",SAISIE!O74)</f>
        <v/>
      </c>
      <c r="D1027" s="63" t="str">
        <f>IF(SAISIE!P74="","",SAISIE!E74)</f>
        <v/>
      </c>
      <c r="E1027" s="63" t="str">
        <f>IF(SAISIE!P74="","",SAISIE!F74)</f>
        <v/>
      </c>
      <c r="F1027" s="70" t="str">
        <f>IF(SAISIE!$P74="","",IF(SAISIE!$N74="","",SAISIE!$N74))</f>
        <v/>
      </c>
      <c r="G1027" s="63" t="str">
        <f>IF(SAISIE!P74="","",SAISIE!P74)</f>
        <v/>
      </c>
      <c r="H1027" s="63"/>
      <c r="I1027" s="63" t="str">
        <f>IF(SAISIE!$P74="","",SAISIE!$Q74)</f>
        <v/>
      </c>
      <c r="J1027" s="71" t="str">
        <f>IF(COUNTBLANK(SAISIE!$J$6:$M$6)=4,"",IF(SAISIE!P74="","",IF(SAISIE!J74&gt;0,SAISIE!$J$6,IF(SAISIE!K74&gt;0,SAISIE!$K$6,IF(SAISIE!L74&gt;0,SAISIE!$L$6,IF(SAISIE!M74&gt;0,SAISIE!$M$6,""))))))</f>
        <v/>
      </c>
      <c r="O1027" s="59" t="s">
        <v>50</v>
      </c>
    </row>
    <row r="1028" spans="1:15" x14ac:dyDescent="0.25">
      <c r="A1028" s="63" t="str">
        <f>IF(AND(G1028="",H1028=""),"SUPPR",SAISIE!$B$3)</f>
        <v>SUPPR</v>
      </c>
      <c r="B1028" s="63" t="str">
        <f>IF(SAISIE!G74="","",IF(LEN(SAISIE!B74)=1,CONCATENATE("0",SAISIE!B74,"/",SAISIE!$B$4,"/",SAISIE!$B$5),CONCATENATE(SAISIE!B74,"/",SAISIE!$B$4,"/",SAISIE!$B$5)))</f>
        <v/>
      </c>
      <c r="C1028" s="63" t="str">
        <f>IF(SAISIE!G74="","",SAISIE!$G$8)</f>
        <v/>
      </c>
      <c r="D1028" s="63" t="str">
        <f>IF(SAISIE!G74="","",SAISIE!E74)</f>
        <v/>
      </c>
      <c r="E1028" s="63" t="str">
        <f>IF(SAISIE!G74="","",SAISIE!F74)</f>
        <v/>
      </c>
      <c r="F1028" s="70" t="str">
        <f>IF(SAISIE!$G74="","",IF(SAISIE!$N74="","",SAISIE!$N74))</f>
        <v/>
      </c>
      <c r="G1028" s="63" t="str">
        <f>IF(SAISIE!G74="","",SAISIE!G74)</f>
        <v/>
      </c>
      <c r="H1028" s="63"/>
      <c r="I1028" s="63" t="str">
        <f>IF(SAISIE!$G74="","",SAISIE!$Q74)</f>
        <v/>
      </c>
      <c r="J1028" s="71" t="str">
        <f>IF(COUNTBLANK(SAISIE!$J$6:$M$6)=4,"",IF(SAISIE!G74="","",IF(SAISIE!J74&gt;0,SAISIE!$J$6,IF(SAISIE!K74&gt;0,SAISIE!$K$6,IF(SAISIE!L74&gt;0,SAISIE!$L$6,IF(SAISIE!M74&gt;0,SAISIE!$M$6,""))))))</f>
        <v/>
      </c>
      <c r="O1028" s="59" t="s">
        <v>51</v>
      </c>
    </row>
    <row r="1029" spans="1:15" x14ac:dyDescent="0.25">
      <c r="A1029" s="63" t="str">
        <f>IF(AND(G1029="",H1029=""),"SUPPR",SAISIE!$B$3)</f>
        <v>SUPPR</v>
      </c>
      <c r="B1029" s="63" t="str">
        <f>IF(SAISIE!H74="","",IF(LEN(SAISIE!B74)=1,CONCATENATE("0",SAISIE!B74,"/",SAISIE!$B$4,"/",SAISIE!$B$5),CONCATENATE(SAISIE!B74,"/",SAISIE!$B$4,"/",SAISIE!$B$5)))</f>
        <v/>
      </c>
      <c r="C1029" s="63" t="str">
        <f>IF(SAISIE!H74="","",SAISIE!$H$8)</f>
        <v/>
      </c>
      <c r="D1029" s="63" t="str">
        <f>IF(SAISIE!H74="","",SAISIE!E74)</f>
        <v/>
      </c>
      <c r="E1029" s="63" t="str">
        <f>IF(SAISIE!H74="","",SAISIE!F74)</f>
        <v/>
      </c>
      <c r="F1029" s="70" t="str">
        <f>IF(SAISIE!$H74="","",IF(SAISIE!$N74="","",SAISIE!$N74))</f>
        <v/>
      </c>
      <c r="G1029" s="63" t="str">
        <f>IF(SAISIE!H74="","",SAISIE!H74)</f>
        <v/>
      </c>
      <c r="H1029" s="63"/>
      <c r="I1029" s="63" t="str">
        <f>IF(SAISIE!$H74="","",SAISIE!$Q74)</f>
        <v/>
      </c>
      <c r="J1029" s="71" t="str">
        <f>IF(COUNTBLANK(SAISIE!$J$6:$M$6)=4,"",IF(SAISIE!H74="","",IF(SAISIE!J74&gt;0,SAISIE!$J$6,IF(SAISIE!K74&gt;0,SAISIE!$K$6,IF(SAISIE!L74&gt;0,SAISIE!$L$6,IF(SAISIE!M74&gt;0,SAISIE!$M$6,""))))))</f>
        <v/>
      </c>
      <c r="O1029" s="59" t="s">
        <v>52</v>
      </c>
    </row>
    <row r="1030" spans="1:15" x14ac:dyDescent="0.25">
      <c r="A1030" s="63" t="str">
        <f>IF(AND(G1030="",H1030=""),"SUPPR",SAISIE!$B$3)</f>
        <v>SUPPR</v>
      </c>
      <c r="B1030" s="63" t="str">
        <f>IF(SAISIE!I74="","",IF(LEN(SAISIE!B74)=1,CONCATENATE("0",SAISIE!B74,"/",SAISIE!$B$4,"/",SAISIE!$B$5),CONCATENATE(SAISIE!B74,"/",SAISIE!$B$4,"/",SAISIE!$B$5)))</f>
        <v/>
      </c>
      <c r="C1030" s="63" t="str">
        <f>IF(SAISIE!I74="","",SAISIE!$I$8)</f>
        <v/>
      </c>
      <c r="D1030" s="63" t="str">
        <f>IF(SAISIE!I74="","",SAISIE!E74)</f>
        <v/>
      </c>
      <c r="E1030" s="63" t="str">
        <f>IF(SAISIE!I74="","",SAISIE!F74)</f>
        <v/>
      </c>
      <c r="F1030" s="70" t="str">
        <f>IF(SAISIE!$I74="","",IF(SAISIE!$N74="","",SAISIE!$N74))</f>
        <v/>
      </c>
      <c r="G1030" s="63" t="str">
        <f>IF(SAISIE!I74="","",SAISIE!I74)</f>
        <v/>
      </c>
      <c r="H1030" s="63"/>
      <c r="I1030" s="63" t="str">
        <f>IF(SAISIE!$I74="","",SAISIE!$Q74)</f>
        <v/>
      </c>
      <c r="J1030" s="71" t="str">
        <f>IF(COUNTBLANK(SAISIE!$J$6:$M$6)=4,"",IF(SAISIE!I74="","",IF(SAISIE!J74&gt;0,SAISIE!$J$6,IF(SAISIE!K74&gt;0,SAISIE!$K$6,IF(SAISIE!L74&gt;0,SAISIE!$L$6,IF(SAISIE!M74&gt;0,SAISIE!$M$6,""))))))</f>
        <v/>
      </c>
      <c r="O1030" s="59" t="s">
        <v>53</v>
      </c>
    </row>
    <row r="1031" spans="1:15" x14ac:dyDescent="0.25">
      <c r="A1031" s="63" t="e">
        <f>IF(AND(G1031="",H1031=""),"SUPPR",SAISIE!$B$3)</f>
        <v>#REF!</v>
      </c>
      <c r="B1031" s="63" t="e">
        <f>IF(SAISIE!#REF!="","",IF(LEN(SAISIE!B74)=1,CONCATENATE("0",SAISIE!B74,"/",SAISIE!$B$4,"/",SAISIE!$B$5),CONCATENATE(SAISIE!B74,"/",SAISIE!$B$4,"/",SAISIE!$B$5)))</f>
        <v>#REF!</v>
      </c>
      <c r="C1031" s="63" t="e">
        <f>IF(SAISIE!#REF!="","",SAISIE!#REF!)</f>
        <v>#REF!</v>
      </c>
      <c r="D1031" s="63" t="e">
        <f>IF(SAISIE!#REF!="","",SAISIE!E74)</f>
        <v>#REF!</v>
      </c>
      <c r="E1031" s="63" t="e">
        <f>IF(SAISIE!#REF!="","",SAISIE!F74)</f>
        <v>#REF!</v>
      </c>
      <c r="F1031" s="70" t="e">
        <f>IF(SAISIE!#REF!="","",IF(SAISIE!$N74="","",SAISIE!$N74))</f>
        <v>#REF!</v>
      </c>
      <c r="G1031" s="63" t="e">
        <f>IF(SAISIE!#REF!="","",SAISIE!#REF!)</f>
        <v>#REF!</v>
      </c>
      <c r="H1031" s="63"/>
      <c r="I1031" s="63" t="e">
        <f>IF(SAISIE!#REF!="","",SAISIE!$Q74)</f>
        <v>#REF!</v>
      </c>
      <c r="J1031" s="71" t="str">
        <f>IF(COUNTBLANK(SAISIE!$J$6:$M$6)=4,"",IF(SAISIE!#REF!="","",IF(SAISIE!J74&gt;0,SAISIE!$J$6,IF(SAISIE!K74&gt;0,SAISIE!$K$6,IF(SAISIE!L74&gt;0,SAISIE!$L$6,IF(SAISIE!M74&gt;0,SAISIE!$M$6,""))))))</f>
        <v/>
      </c>
      <c r="O1031" s="59" t="s">
        <v>54</v>
      </c>
    </row>
    <row r="1032" spans="1:15" x14ac:dyDescent="0.25">
      <c r="A1032" s="63" t="e">
        <f>IF(AND(G1032="",H1032=""),"SUPPR",SAISIE!$B$3)</f>
        <v>#REF!</v>
      </c>
      <c r="B1032" s="63" t="e">
        <f>IF(SAISIE!#REF!="","",IF(LEN(SAISIE!B74)=1,CONCATENATE("0",SAISIE!B74,"/",SAISIE!$B$4,"/",SAISIE!$B$5),CONCATENATE(SAISIE!B74,"/",SAISIE!$B$4,"/",SAISIE!$B$5)))</f>
        <v>#REF!</v>
      </c>
      <c r="C1032" s="63" t="e">
        <f>IF(SAISIE!#REF!="","",SAISIE!#REF!)</f>
        <v>#REF!</v>
      </c>
      <c r="D1032" s="63" t="e">
        <f>IF(SAISIE!#REF!="","",SAISIE!E74)</f>
        <v>#REF!</v>
      </c>
      <c r="E1032" s="63" t="e">
        <f>IF(SAISIE!#REF!="","",SAISIE!F74)</f>
        <v>#REF!</v>
      </c>
      <c r="F1032" s="70" t="e">
        <f>IF(SAISIE!#REF!="","",IF(SAISIE!$N74="","",SAISIE!$N74))</f>
        <v>#REF!</v>
      </c>
      <c r="G1032" s="63" t="e">
        <f>IF(SAISIE!#REF!="","",SAISIE!#REF!)</f>
        <v>#REF!</v>
      </c>
      <c r="H1032" s="63"/>
      <c r="I1032" s="63" t="e">
        <f>IF(SAISIE!#REF!="","",SAISIE!$Q74)</f>
        <v>#REF!</v>
      </c>
      <c r="J1032" s="71" t="str">
        <f>IF(COUNTBLANK(SAISIE!$J$6:$M$6)=4,"",IF(SAISIE!#REF!="","",IF(SAISIE!J74&gt;0,SAISIE!$J$6,IF(SAISIE!K74&gt;0,SAISIE!$K$6,IF(SAISIE!L74&gt;0,SAISIE!$L$6,IF(SAISIE!M74&gt;0,SAISIE!$M$6,""))))))</f>
        <v/>
      </c>
      <c r="O1032" s="59" t="s">
        <v>55</v>
      </c>
    </row>
    <row r="1033" spans="1:15" x14ac:dyDescent="0.25">
      <c r="A1033" s="63" t="e">
        <f>IF(AND(G1033="",H1033=""),"SUPPR",SAISIE!$B$3)</f>
        <v>#REF!</v>
      </c>
      <c r="B1033" s="63" t="e">
        <f>IF(SAISIE!#REF!="","",IF(LEN(SAISIE!B74)=1,CONCATENATE("0",SAISIE!B74,"/",SAISIE!$B$4,"/",SAISIE!$B$5),CONCATENATE(SAISIE!B74,"/",SAISIE!$B$4,"/",SAISIE!$B$5)))</f>
        <v>#REF!</v>
      </c>
      <c r="C1033" s="63" t="e">
        <f>IF(SAISIE!#REF!="","",SAISIE!#REF!)</f>
        <v>#REF!</v>
      </c>
      <c r="D1033" s="63" t="e">
        <f>IF(SAISIE!#REF!="","",SAISIE!E74)</f>
        <v>#REF!</v>
      </c>
      <c r="E1033" s="63" t="e">
        <f>IF(SAISIE!#REF!="","",SAISIE!F74)</f>
        <v>#REF!</v>
      </c>
      <c r="F1033" s="70" t="e">
        <f>IF(SAISIE!#REF!="","",IF(SAISIE!$N74="","",SAISIE!$N74))</f>
        <v>#REF!</v>
      </c>
      <c r="G1033" s="63" t="e">
        <f>IF(SAISIE!#REF!="","",SAISIE!#REF!)</f>
        <v>#REF!</v>
      </c>
      <c r="H1033" s="63"/>
      <c r="I1033" s="63" t="e">
        <f>IF(SAISIE!#REF!="","",SAISIE!$Q74)</f>
        <v>#REF!</v>
      </c>
      <c r="J1033" s="71" t="str">
        <f>IF(COUNTBLANK(SAISIE!$J$6:$M$6)=4,"",IF(SAISIE!#REF!="","",IF(SAISIE!J74&gt;0,SAISIE!$J$6,IF(SAISIE!K74&gt;0,SAISIE!$K$6,IF(SAISIE!L74&gt;0,SAISIE!$L$6,IF(SAISIE!M74&gt;0,SAISIE!$M$6,""))))))</f>
        <v/>
      </c>
      <c r="O1033" s="59" t="s">
        <v>56</v>
      </c>
    </row>
    <row r="1034" spans="1:15" x14ac:dyDescent="0.25">
      <c r="A1034" s="63" t="e">
        <f>IF(AND(G1034="",H1034=""),"SUPPR",SAISIE!$B$3)</f>
        <v>#REF!</v>
      </c>
      <c r="B1034" s="63" t="e">
        <f>IF(SAISIE!#REF!="","",IF(LEN(SAISIE!B74)=1,CONCATENATE("0",SAISIE!B74,"/",SAISIE!$B$4,"/",SAISIE!$B$5),CONCATENATE(SAISIE!B74,"/",SAISIE!$B$4,"/",SAISIE!$B$5)))</f>
        <v>#REF!</v>
      </c>
      <c r="C1034" s="63" t="e">
        <f>IF(SAISIE!#REF!="","",SAISIE!#REF!)</f>
        <v>#REF!</v>
      </c>
      <c r="D1034" s="63" t="e">
        <f>IF(SAISIE!#REF!="","",SAISIE!E74)</f>
        <v>#REF!</v>
      </c>
      <c r="E1034" s="63" t="e">
        <f>IF(SAISIE!#REF!="","",SAISIE!F74)</f>
        <v>#REF!</v>
      </c>
      <c r="F1034" s="70" t="e">
        <f>IF(SAISIE!#REF!="","",IF(SAISIE!$N74="","",SAISIE!$N74))</f>
        <v>#REF!</v>
      </c>
      <c r="G1034" s="63" t="e">
        <f>IF(SAISIE!#REF!="","",SAISIE!#REF!)</f>
        <v>#REF!</v>
      </c>
      <c r="H1034" s="63"/>
      <c r="I1034" s="63" t="e">
        <f>IF(SAISIE!#REF!="","",SAISIE!$Q74)</f>
        <v>#REF!</v>
      </c>
      <c r="J1034" s="71" t="str">
        <f>IF(COUNTBLANK(SAISIE!$J$6:$M$6)=4,"",IF(SAISIE!#REF!="","",IF(SAISIE!J74&gt;0,SAISIE!$J$6,IF(SAISIE!K74&gt;0,SAISIE!$K$6,IF(SAISIE!L74&gt;0,SAISIE!$L$6,IF(SAISIE!M74&gt;0,SAISIE!$M$6,""))))))</f>
        <v/>
      </c>
      <c r="O1034" s="59" t="s">
        <v>57</v>
      </c>
    </row>
    <row r="1035" spans="1:15" x14ac:dyDescent="0.25">
      <c r="A1035" s="63" t="e">
        <f>IF(AND(G1035="",H1035=""),"SUPPR",SAISIE!$B$3)</f>
        <v>#REF!</v>
      </c>
      <c r="B1035" s="63" t="e">
        <f>IF(SAISIE!#REF!="","",IF(LEN(SAISIE!B74)=1,CONCATENATE("0",SAISIE!B74,"/",SAISIE!$B$4,"/",SAISIE!$B$5),CONCATENATE(SAISIE!B74,"/",SAISIE!$B$4,"/",SAISIE!$B$5)))</f>
        <v>#REF!</v>
      </c>
      <c r="C1035" s="63" t="e">
        <f>IF(SAISIE!#REF!="","",SAISIE!#REF!)</f>
        <v>#REF!</v>
      </c>
      <c r="D1035" s="63" t="e">
        <f>IF(SAISIE!#REF!="","",SAISIE!E74)</f>
        <v>#REF!</v>
      </c>
      <c r="E1035" s="63" t="e">
        <f>IF(SAISIE!#REF!="","",SAISIE!F74)</f>
        <v>#REF!</v>
      </c>
      <c r="F1035" s="70" t="e">
        <f>IF(SAISIE!#REF!="","",IF(SAISIE!$N74="","",SAISIE!$N74))</f>
        <v>#REF!</v>
      </c>
      <c r="G1035" s="63" t="e">
        <f>IF(SAISIE!#REF!="","",SAISIE!#REF!)</f>
        <v>#REF!</v>
      </c>
      <c r="H1035" s="63"/>
      <c r="I1035" s="63" t="e">
        <f>IF(SAISIE!#REF!="","",SAISIE!$Q74)</f>
        <v>#REF!</v>
      </c>
      <c r="J1035" s="71" t="str">
        <f>IF(COUNTBLANK(SAISIE!$J$6:$M$6)=4,"",IF(SAISIE!#REF!="","",IF(SAISIE!J74&gt;0,SAISIE!$J$6,IF(SAISIE!K74&gt;0,SAISIE!$K$6,IF(SAISIE!L74&gt;0,SAISIE!$L$6,IF(SAISIE!M74&gt;0,SAISIE!$M$6,""))))))</f>
        <v/>
      </c>
      <c r="O1035" s="59" t="s">
        <v>58</v>
      </c>
    </row>
    <row r="1036" spans="1:15" x14ac:dyDescent="0.25">
      <c r="A1036" s="63" t="e">
        <f>IF(AND(G1036="",H1036=""),"SUPPR",SAISIE!$B$3)</f>
        <v>#REF!</v>
      </c>
      <c r="B1036" s="63" t="e">
        <f>IF(SAISIE!#REF!="","",IF(LEN(SAISIE!B74)=1,CONCATENATE("0",SAISIE!B74,"/",SAISIE!$B$4,"/",SAISIE!$B$5),CONCATENATE(SAISIE!B74,"/",SAISIE!$B$4,"/",SAISIE!$B$5)))</f>
        <v>#REF!</v>
      </c>
      <c r="C1036" s="63" t="e">
        <f>IF(SAISIE!#REF!="","",SAISIE!#REF!)</f>
        <v>#REF!</v>
      </c>
      <c r="D1036" s="63" t="e">
        <f>IF(SAISIE!#REF!="","",SAISIE!E74)</f>
        <v>#REF!</v>
      </c>
      <c r="E1036" s="63" t="e">
        <f>IF(SAISIE!#REF!="","",SAISIE!F74)</f>
        <v>#REF!</v>
      </c>
      <c r="F1036" s="70" t="e">
        <f>IF(SAISIE!#REF!="","",IF(SAISIE!$N74="","",SAISIE!$N74))</f>
        <v>#REF!</v>
      </c>
      <c r="G1036" s="63" t="e">
        <f>IF(SAISIE!#REF!="","",SAISIE!#REF!)</f>
        <v>#REF!</v>
      </c>
      <c r="H1036" s="63"/>
      <c r="I1036" s="63" t="e">
        <f>IF(SAISIE!#REF!="","",SAISIE!$Q74)</f>
        <v>#REF!</v>
      </c>
      <c r="J1036" s="71" t="str">
        <f>IF(COUNTBLANK(SAISIE!$J$6:$M$6)=4,"",IF(SAISIE!#REF!="","",IF(SAISIE!J74&gt;0,SAISIE!$J$6,IF(SAISIE!K74&gt;0,SAISIE!$K$6,IF(SAISIE!L74&gt;0,SAISIE!$L$6,IF(SAISIE!M74&gt;0,SAISIE!$M$6,""))))))</f>
        <v/>
      </c>
      <c r="O1036" s="59" t="s">
        <v>59</v>
      </c>
    </row>
    <row r="1037" spans="1:15" x14ac:dyDescent="0.25">
      <c r="A1037" s="63" t="e">
        <f>IF(AND(G1037="",H1037=""),"SUPPR",SAISIE!$B$3)</f>
        <v>#REF!</v>
      </c>
      <c r="B1037" s="63" t="e">
        <f>IF(SAISIE!#REF!="","",IF(LEN(SAISIE!B74)=1,CONCATENATE("0",SAISIE!B74,"/",SAISIE!$B$4,"/",SAISIE!$B$5),CONCATENATE(SAISIE!B74,"/",SAISIE!$B$4,"/",SAISIE!$B$5)))</f>
        <v>#REF!</v>
      </c>
      <c r="C1037" s="63" t="e">
        <f>IF(SAISIE!#REF!="","",SAISIE!#REF!)</f>
        <v>#REF!</v>
      </c>
      <c r="D1037" s="63" t="e">
        <f>IF(SAISIE!#REF!="","",SAISIE!E74)</f>
        <v>#REF!</v>
      </c>
      <c r="E1037" s="63" t="e">
        <f>IF(SAISIE!#REF!="","",SAISIE!F74)</f>
        <v>#REF!</v>
      </c>
      <c r="F1037" s="70" t="e">
        <f>IF(SAISIE!#REF!="","",IF(SAISIE!$N74="","",SAISIE!$N74))</f>
        <v>#REF!</v>
      </c>
      <c r="G1037" s="63" t="e">
        <f>IF(SAISIE!#REF!="","",SAISIE!#REF!)</f>
        <v>#REF!</v>
      </c>
      <c r="H1037" s="63"/>
      <c r="I1037" s="63" t="e">
        <f>IF(SAISIE!#REF!="","",SAISIE!$Q74)</f>
        <v>#REF!</v>
      </c>
      <c r="J1037" s="71" t="str">
        <f>IF(COUNTBLANK(SAISIE!$J$6:$M$6)=4,"",IF(SAISIE!#REF!="","",IF(SAISIE!J74&gt;0,SAISIE!$J$6,IF(SAISIE!K74&gt;0,SAISIE!$K$6,IF(SAISIE!L74&gt;0,SAISIE!$L$6,IF(SAISIE!M74&gt;0,SAISIE!$M$6,""))))))</f>
        <v/>
      </c>
      <c r="O1037" s="59" t="s">
        <v>60</v>
      </c>
    </row>
    <row r="1038" spans="1:15" x14ac:dyDescent="0.25">
      <c r="A1038" s="63" t="str">
        <f>IF(AND(G1038="",H1038=""),"SUPPR",SAISIE!$B$3)</f>
        <v>SUPPR</v>
      </c>
      <c r="B1038" s="63" t="str">
        <f>IF(SAISIE!J74="","",IF(LEN(SAISIE!B74)=1,CONCATENATE("0",SAISIE!B74,"/",SAISIE!$B$4,"/",SAISIE!$B$5),CONCATENATE(SAISIE!B74,"/",SAISIE!$B$4,"/",SAISIE!$B$5)))</f>
        <v/>
      </c>
      <c r="C1038" s="63" t="str">
        <f>IF(SAISIE!J74="","",SAISIE!$J$8)</f>
        <v/>
      </c>
      <c r="D1038" s="63" t="str">
        <f>IF(SAISIE!J74="","",SAISIE!E74)</f>
        <v/>
      </c>
      <c r="E1038" s="63" t="str">
        <f>IF(SAISIE!J74="","",SAISIE!F74)</f>
        <v/>
      </c>
      <c r="F1038" s="70" t="str">
        <f>IF(SAISIE!$J74="","",IF(SAISIE!$N74="","",SAISIE!$N74))</f>
        <v/>
      </c>
      <c r="G1038" s="63" t="str">
        <f>IF(SAISIE!J74="","",SAISIE!J74)</f>
        <v/>
      </c>
      <c r="H1038" s="63"/>
      <c r="I1038" s="72"/>
      <c r="J1038" s="71"/>
      <c r="O1038" s="73"/>
    </row>
    <row r="1039" spans="1:15" x14ac:dyDescent="0.25">
      <c r="A1039" s="63" t="str">
        <f>IF(AND(G1039="",H1039=""),"SUPPR",SAISIE!$B$3)</f>
        <v>SUPPR</v>
      </c>
      <c r="B1039" s="63" t="str">
        <f>IF(SAISIE!K74="","",IF(LEN(SAISIE!B74)=1,CONCATENATE("0",SAISIE!B74,"/",SAISIE!$B$4,"/",SAISIE!$B$5),CONCATENATE(SAISIE!B74,"/",SAISIE!$B$4,"/",SAISIE!$B$5)))</f>
        <v/>
      </c>
      <c r="C1039" s="63" t="str">
        <f>IF(SAISIE!K74="","",SAISIE!$K$8)</f>
        <v/>
      </c>
      <c r="D1039" s="63" t="str">
        <f>IF(SAISIE!K74="","",SAISIE!E74)</f>
        <v/>
      </c>
      <c r="E1039" s="63" t="str">
        <f>IF(SAISIE!K74="","",SAISIE!F74)</f>
        <v/>
      </c>
      <c r="F1039" s="70" t="str">
        <f>IF(SAISIE!$K74="","",IF(SAISIE!$N74="","",SAISIE!$N74))</f>
        <v/>
      </c>
      <c r="G1039" s="63" t="str">
        <f>IF(SAISIE!K74="","",SAISIE!K74)</f>
        <v/>
      </c>
      <c r="H1039" s="63"/>
      <c r="I1039" s="72"/>
      <c r="J1039" s="71"/>
    </row>
    <row r="1040" spans="1:15" x14ac:dyDescent="0.25">
      <c r="A1040" s="63" t="str">
        <f>IF(AND(G1040="",H1040=""),"SUPPR",SAISIE!$B$3)</f>
        <v>SUPPR</v>
      </c>
      <c r="B1040" s="63" t="str">
        <f>IF(SAISIE!L74="","",IF(LEN(SAISIE!B74)=1,CONCATENATE("0",SAISIE!B74,"/",SAISIE!$B$4,"/",SAISIE!$B$5),CONCATENATE(SAISIE!B74,"/",SAISIE!$B$4,"/",SAISIE!$B$5)))</f>
        <v/>
      </c>
      <c r="C1040" s="63" t="str">
        <f>IF(SAISIE!L74="","",SAISIE!$L$8)</f>
        <v/>
      </c>
      <c r="D1040" s="63" t="str">
        <f>IF(SAISIE!L74="","",SAISIE!E74)</f>
        <v/>
      </c>
      <c r="E1040" s="63" t="str">
        <f>IF(SAISIE!L74="","",SAISIE!F74)</f>
        <v/>
      </c>
      <c r="F1040" s="70" t="str">
        <f>IF(SAISIE!$L74="","",IF(SAISIE!$N74="","",SAISIE!$N74))</f>
        <v/>
      </c>
      <c r="G1040" s="63" t="str">
        <f>IF(SAISIE!L74="","",SAISIE!L74)</f>
        <v/>
      </c>
      <c r="H1040" s="63"/>
      <c r="I1040" s="72"/>
      <c r="J1040" s="71"/>
    </row>
    <row r="1041" spans="1:15" x14ac:dyDescent="0.25">
      <c r="A1041" s="63" t="str">
        <f>IF(AND(G1041="",H1041=""),"SUPPR",SAISIE!$B$3)</f>
        <v>SUPPR</v>
      </c>
      <c r="B1041" s="63" t="str">
        <f>IF(SAISIE!M74="","",IF(LEN(SAISIE!B74)=1,CONCATENATE("0",SAISIE!B74,"/",SAISIE!$B$4,"/",SAISIE!$B$5),CONCATENATE(SAISIE!B74,"/",SAISIE!$B$4,"/",SAISIE!$B$5)))</f>
        <v/>
      </c>
      <c r="C1041" s="74" t="str">
        <f>IF(SAISIE!M74="","",SAISIE!$M$8)</f>
        <v/>
      </c>
      <c r="D1041" s="74" t="str">
        <f>IF(SAISIE!M74="","",SAISIE!E74)</f>
        <v/>
      </c>
      <c r="E1041" s="74" t="str">
        <f>IF(SAISIE!M74="","",SAISIE!F74)</f>
        <v/>
      </c>
      <c r="F1041" s="75" t="str">
        <f>IF(SAISIE!$M74="","",IF(SAISIE!$N74="","",SAISIE!$N74))</f>
        <v/>
      </c>
      <c r="G1041" s="74" t="str">
        <f>IF(SAISIE!M74="","",SAISIE!M74)</f>
        <v/>
      </c>
      <c r="H1041" s="76"/>
      <c r="I1041" s="77"/>
      <c r="J1041" s="78"/>
    </row>
    <row r="1042" spans="1:15" x14ac:dyDescent="0.25">
      <c r="A1042" s="63" t="str">
        <f>IF(AND(G1042="",H1042=""),"SUPPR",SAISIE!$B$3)</f>
        <v>SUPPR</v>
      </c>
      <c r="B1042" s="64" t="str">
        <f>IF(SAISIE!B75="","",IF(LEN(SAISIE!B75)=1,CONCATENATE("0",SAISIE!B75,"/",SAISIE!$B$4,"/",SAISIE!$B$5),CONCATENATE(SAISIE!B75,"/",SAISIE!$B$4,"/",SAISIE!$B$5)))</f>
        <v/>
      </c>
      <c r="C1042" s="64" t="str">
        <f>IF(SAISIE!B75="","",CONCATENATE($M$2,SAISIE!C75))</f>
        <v/>
      </c>
      <c r="D1042" s="64" t="str">
        <f>IF(SAISIE!B75="","",SAISIE!E75)</f>
        <v/>
      </c>
      <c r="E1042" s="64" t="str">
        <f>IF(SAISIE!B75="","",SAISIE!F75)</f>
        <v/>
      </c>
      <c r="F1042" s="65" t="str">
        <f>IF(A1042="SUPPR","",IF(SAISIE!$N75="","",SAISIE!$N75))</f>
        <v/>
      </c>
      <c r="G1042" s="64"/>
      <c r="H1042" s="64" t="str">
        <f>IF(SAISIE!B75="","",SAISIE!D75)</f>
        <v/>
      </c>
      <c r="I1042" s="66"/>
      <c r="J1042" s="67" t="str">
        <f>IF(AZ75="","","")</f>
        <v/>
      </c>
      <c r="O1042" s="69">
        <f>O1026+1</f>
        <v>75</v>
      </c>
    </row>
    <row r="1043" spans="1:15" x14ac:dyDescent="0.25">
      <c r="A1043" s="63" t="str">
        <f>IF(AND(G1043="",H1043=""),"SUPPR",SAISIE!$B$3)</f>
        <v>SUPPR</v>
      </c>
      <c r="B1043" s="63" t="str">
        <f>IF(SAISIE!P75="","",IF(LEN(SAISIE!B75)=1,CONCATENATE("0",SAISIE!B75,"/",SAISIE!$B$4,"/",SAISIE!$B$5),CONCATENATE(SAISIE!B75,"/",SAISIE!$B$4,"/",SAISIE!$B$5)))</f>
        <v/>
      </c>
      <c r="C1043" s="63" t="str">
        <f>IF(SAISIE!P75="","",SAISIE!O75)</f>
        <v/>
      </c>
      <c r="D1043" s="63" t="str">
        <f>IF(SAISIE!P75="","",SAISIE!E75)</f>
        <v/>
      </c>
      <c r="E1043" s="63" t="str">
        <f>IF(SAISIE!P75="","",SAISIE!F75)</f>
        <v/>
      </c>
      <c r="F1043" s="70" t="str">
        <f>IF(SAISIE!$P75="","",IF(SAISIE!$N75="","",SAISIE!$N75))</f>
        <v/>
      </c>
      <c r="G1043" s="63" t="str">
        <f>IF(SAISIE!P75="","",SAISIE!P75)</f>
        <v/>
      </c>
      <c r="H1043" s="63"/>
      <c r="I1043" s="63" t="str">
        <f>IF(SAISIE!$P75="","",SAISIE!$Q75)</f>
        <v/>
      </c>
      <c r="J1043" s="71" t="str">
        <f>IF(COUNTBLANK(SAISIE!$J$6:$M$6)=4,"",IF(SAISIE!P75="","",IF(SAISIE!J75&gt;0,SAISIE!$J$6,IF(SAISIE!K75&gt;0,SAISIE!$K$6,IF(SAISIE!L75&gt;0,SAISIE!$L$6,IF(SAISIE!M75&gt;0,SAISIE!$M$6,""))))))</f>
        <v/>
      </c>
      <c r="O1043" s="59" t="s">
        <v>50</v>
      </c>
    </row>
    <row r="1044" spans="1:15" x14ac:dyDescent="0.25">
      <c r="A1044" s="63" t="str">
        <f>IF(AND(G1044="",H1044=""),"SUPPR",SAISIE!$B$3)</f>
        <v>SUPPR</v>
      </c>
      <c r="B1044" s="63" t="str">
        <f>IF(SAISIE!G75="","",IF(LEN(SAISIE!B75)=1,CONCATENATE("0",SAISIE!B75,"/",SAISIE!$B$4,"/",SAISIE!$B$5),CONCATENATE(SAISIE!B75,"/",SAISIE!$B$4,"/",SAISIE!$B$5)))</f>
        <v/>
      </c>
      <c r="C1044" s="63" t="str">
        <f>IF(SAISIE!G75="","",SAISIE!$G$8)</f>
        <v/>
      </c>
      <c r="D1044" s="63" t="str">
        <f>IF(SAISIE!G75="","",SAISIE!E75)</f>
        <v/>
      </c>
      <c r="E1044" s="63" t="str">
        <f>IF(SAISIE!G75="","",SAISIE!F75)</f>
        <v/>
      </c>
      <c r="F1044" s="70" t="str">
        <f>IF(SAISIE!$G75="","",IF(SAISIE!$N75="","",SAISIE!$N75))</f>
        <v/>
      </c>
      <c r="G1044" s="63" t="str">
        <f>IF(SAISIE!G75="","",SAISIE!G75)</f>
        <v/>
      </c>
      <c r="H1044" s="63"/>
      <c r="I1044" s="63" t="str">
        <f>IF(SAISIE!$G75="","",SAISIE!$Q75)</f>
        <v/>
      </c>
      <c r="J1044" s="71" t="str">
        <f>IF(COUNTBLANK(SAISIE!$J$6:$M$6)=4,"",IF(SAISIE!G75="","",IF(SAISIE!J75&gt;0,SAISIE!$J$6,IF(SAISIE!K75&gt;0,SAISIE!$K$6,IF(SAISIE!L75&gt;0,SAISIE!$L$6,IF(SAISIE!M75&gt;0,SAISIE!$M$6,""))))))</f>
        <v/>
      </c>
      <c r="O1044" s="59" t="s">
        <v>51</v>
      </c>
    </row>
    <row r="1045" spans="1:15" x14ac:dyDescent="0.25">
      <c r="A1045" s="63" t="str">
        <f>IF(AND(G1045="",H1045=""),"SUPPR",SAISIE!$B$3)</f>
        <v>SUPPR</v>
      </c>
      <c r="B1045" s="63" t="str">
        <f>IF(SAISIE!H75="","",IF(LEN(SAISIE!B75)=1,CONCATENATE("0",SAISIE!B75,"/",SAISIE!$B$4,"/",SAISIE!$B$5),CONCATENATE(SAISIE!B75,"/",SAISIE!$B$4,"/",SAISIE!$B$5)))</f>
        <v/>
      </c>
      <c r="C1045" s="63" t="str">
        <f>IF(SAISIE!H75="","",SAISIE!$H$8)</f>
        <v/>
      </c>
      <c r="D1045" s="63" t="str">
        <f>IF(SAISIE!H75="","",SAISIE!E75)</f>
        <v/>
      </c>
      <c r="E1045" s="63" t="str">
        <f>IF(SAISIE!H75="","",SAISIE!F75)</f>
        <v/>
      </c>
      <c r="F1045" s="70" t="str">
        <f>IF(SAISIE!$H75="","",IF(SAISIE!$N75="","",SAISIE!$N75))</f>
        <v/>
      </c>
      <c r="G1045" s="63" t="str">
        <f>IF(SAISIE!H75="","",SAISIE!H75)</f>
        <v/>
      </c>
      <c r="H1045" s="63"/>
      <c r="I1045" s="63" t="str">
        <f>IF(SAISIE!$H75="","",SAISIE!$Q75)</f>
        <v/>
      </c>
      <c r="J1045" s="71" t="str">
        <f>IF(COUNTBLANK(SAISIE!$J$6:$M$6)=4,"",IF(SAISIE!H75="","",IF(SAISIE!J75&gt;0,SAISIE!$J$6,IF(SAISIE!K75&gt;0,SAISIE!$K$6,IF(SAISIE!L75&gt;0,SAISIE!$L$6,IF(SAISIE!M75&gt;0,SAISIE!$M$6,""))))))</f>
        <v/>
      </c>
      <c r="O1045" s="59" t="s">
        <v>52</v>
      </c>
    </row>
    <row r="1046" spans="1:15" x14ac:dyDescent="0.25">
      <c r="A1046" s="63" t="str">
        <f>IF(AND(G1046="",H1046=""),"SUPPR",SAISIE!$B$3)</f>
        <v>SUPPR</v>
      </c>
      <c r="B1046" s="63" t="str">
        <f>IF(SAISIE!I75="","",IF(LEN(SAISIE!B75)=1,CONCATENATE("0",SAISIE!B75,"/",SAISIE!$B$4,"/",SAISIE!$B$5),CONCATENATE(SAISIE!B75,"/",SAISIE!$B$4,"/",SAISIE!$B$5)))</f>
        <v/>
      </c>
      <c r="C1046" s="63" t="str">
        <f>IF(SAISIE!I75="","",SAISIE!$I$8)</f>
        <v/>
      </c>
      <c r="D1046" s="63" t="str">
        <f>IF(SAISIE!I75="","",SAISIE!E75)</f>
        <v/>
      </c>
      <c r="E1046" s="63" t="str">
        <f>IF(SAISIE!I75="","",SAISIE!F75)</f>
        <v/>
      </c>
      <c r="F1046" s="70" t="str">
        <f>IF(SAISIE!$I75="","",IF(SAISIE!$N75="","",SAISIE!$N75))</f>
        <v/>
      </c>
      <c r="G1046" s="63" t="str">
        <f>IF(SAISIE!I75="","",SAISIE!I75)</f>
        <v/>
      </c>
      <c r="H1046" s="63"/>
      <c r="I1046" s="63" t="str">
        <f>IF(SAISIE!$I75="","",SAISIE!$Q75)</f>
        <v/>
      </c>
      <c r="J1046" s="71" t="str">
        <f>IF(COUNTBLANK(SAISIE!$J$6:$M$6)=4,"",IF(SAISIE!I75="","",IF(SAISIE!J75&gt;0,SAISIE!$J$6,IF(SAISIE!K75&gt;0,SAISIE!$K$6,IF(SAISIE!L75&gt;0,SAISIE!$L$6,IF(SAISIE!M75&gt;0,SAISIE!$M$6,""))))))</f>
        <v/>
      </c>
      <c r="O1046" s="59" t="s">
        <v>53</v>
      </c>
    </row>
    <row r="1047" spans="1:15" x14ac:dyDescent="0.25">
      <c r="A1047" s="63" t="e">
        <f>IF(AND(G1047="",H1047=""),"SUPPR",SAISIE!$B$3)</f>
        <v>#REF!</v>
      </c>
      <c r="B1047" s="63" t="e">
        <f>IF(SAISIE!#REF!="","",IF(LEN(SAISIE!B75)=1,CONCATENATE("0",SAISIE!B75,"/",SAISIE!$B$4,"/",SAISIE!$B$5),CONCATENATE(SAISIE!B75,"/",SAISIE!$B$4,"/",SAISIE!$B$5)))</f>
        <v>#REF!</v>
      </c>
      <c r="C1047" s="63" t="e">
        <f>IF(SAISIE!#REF!="","",SAISIE!#REF!)</f>
        <v>#REF!</v>
      </c>
      <c r="D1047" s="63" t="e">
        <f>IF(SAISIE!#REF!="","",SAISIE!E75)</f>
        <v>#REF!</v>
      </c>
      <c r="E1047" s="63" t="e">
        <f>IF(SAISIE!#REF!="","",SAISIE!F75)</f>
        <v>#REF!</v>
      </c>
      <c r="F1047" s="70" t="e">
        <f>IF(SAISIE!#REF!="","",IF(SAISIE!$N75="","",SAISIE!$N75))</f>
        <v>#REF!</v>
      </c>
      <c r="G1047" s="63" t="e">
        <f>IF(SAISIE!#REF!="","",SAISIE!#REF!)</f>
        <v>#REF!</v>
      </c>
      <c r="H1047" s="63"/>
      <c r="I1047" s="63" t="e">
        <f>IF(SAISIE!#REF!="","",SAISIE!$Q75)</f>
        <v>#REF!</v>
      </c>
      <c r="J1047" s="71" t="str">
        <f>IF(COUNTBLANK(SAISIE!$J$6:$M$6)=4,"",IF(SAISIE!#REF!="","",IF(SAISIE!J75&gt;0,SAISIE!$J$6,IF(SAISIE!K75&gt;0,SAISIE!$K$6,IF(SAISIE!L75&gt;0,SAISIE!$L$6,IF(SAISIE!M75&gt;0,SAISIE!$M$6,""))))))</f>
        <v/>
      </c>
      <c r="O1047" s="59" t="s">
        <v>54</v>
      </c>
    </row>
    <row r="1048" spans="1:15" x14ac:dyDescent="0.25">
      <c r="A1048" s="63" t="e">
        <f>IF(AND(G1048="",H1048=""),"SUPPR",SAISIE!$B$3)</f>
        <v>#REF!</v>
      </c>
      <c r="B1048" s="63" t="e">
        <f>IF(SAISIE!#REF!="","",IF(LEN(SAISIE!B75)=1,CONCATENATE("0",SAISIE!B75,"/",SAISIE!$B$4,"/",SAISIE!$B$5),CONCATENATE(SAISIE!B75,"/",SAISIE!$B$4,"/",SAISIE!$B$5)))</f>
        <v>#REF!</v>
      </c>
      <c r="C1048" s="63" t="e">
        <f>IF(SAISIE!#REF!="","",SAISIE!#REF!)</f>
        <v>#REF!</v>
      </c>
      <c r="D1048" s="63" t="e">
        <f>IF(SAISIE!#REF!="","",SAISIE!E75)</f>
        <v>#REF!</v>
      </c>
      <c r="E1048" s="63" t="e">
        <f>IF(SAISIE!#REF!="","",SAISIE!F75)</f>
        <v>#REF!</v>
      </c>
      <c r="F1048" s="70" t="e">
        <f>IF(SAISIE!#REF!="","",IF(SAISIE!$N75="","",SAISIE!$N75))</f>
        <v>#REF!</v>
      </c>
      <c r="G1048" s="63" t="e">
        <f>IF(SAISIE!#REF!="","",SAISIE!#REF!)</f>
        <v>#REF!</v>
      </c>
      <c r="H1048" s="63"/>
      <c r="I1048" s="63" t="e">
        <f>IF(SAISIE!#REF!="","",SAISIE!$Q75)</f>
        <v>#REF!</v>
      </c>
      <c r="J1048" s="71" t="str">
        <f>IF(COUNTBLANK(SAISIE!$J$6:$M$6)=4,"",IF(SAISIE!#REF!="","",IF(SAISIE!J75&gt;0,SAISIE!$J$6,IF(SAISIE!K75&gt;0,SAISIE!$K$6,IF(SAISIE!L75&gt;0,SAISIE!$L$6,IF(SAISIE!M75&gt;0,SAISIE!$M$6,""))))))</f>
        <v/>
      </c>
      <c r="O1048" s="59" t="s">
        <v>55</v>
      </c>
    </row>
    <row r="1049" spans="1:15" x14ac:dyDescent="0.25">
      <c r="A1049" s="63" t="e">
        <f>IF(AND(G1049="",H1049=""),"SUPPR",SAISIE!$B$3)</f>
        <v>#REF!</v>
      </c>
      <c r="B1049" s="63" t="e">
        <f>IF(SAISIE!#REF!="","",IF(LEN(SAISIE!B75)=1,CONCATENATE("0",SAISIE!B75,"/",SAISIE!$B$4,"/",SAISIE!$B$5),CONCATENATE(SAISIE!B75,"/",SAISIE!$B$4,"/",SAISIE!$B$5)))</f>
        <v>#REF!</v>
      </c>
      <c r="C1049" s="63" t="e">
        <f>IF(SAISIE!#REF!="","",SAISIE!#REF!)</f>
        <v>#REF!</v>
      </c>
      <c r="D1049" s="63" t="e">
        <f>IF(SAISIE!#REF!="","",SAISIE!E75)</f>
        <v>#REF!</v>
      </c>
      <c r="E1049" s="63" t="e">
        <f>IF(SAISIE!#REF!="","",SAISIE!F75)</f>
        <v>#REF!</v>
      </c>
      <c r="F1049" s="70" t="e">
        <f>IF(SAISIE!#REF!="","",IF(SAISIE!$N75="","",SAISIE!$N75))</f>
        <v>#REF!</v>
      </c>
      <c r="G1049" s="63" t="e">
        <f>IF(SAISIE!#REF!="","",SAISIE!#REF!)</f>
        <v>#REF!</v>
      </c>
      <c r="H1049" s="63"/>
      <c r="I1049" s="63" t="e">
        <f>IF(SAISIE!#REF!="","",SAISIE!$Q75)</f>
        <v>#REF!</v>
      </c>
      <c r="J1049" s="71" t="str">
        <f>IF(COUNTBLANK(SAISIE!$J$6:$M$6)=4,"",IF(SAISIE!#REF!="","",IF(SAISIE!J75&gt;0,SAISIE!$J$6,IF(SAISIE!K75&gt;0,SAISIE!$K$6,IF(SAISIE!L75&gt;0,SAISIE!$L$6,IF(SAISIE!M75&gt;0,SAISIE!$M$6,""))))))</f>
        <v/>
      </c>
      <c r="O1049" s="59" t="s">
        <v>56</v>
      </c>
    </row>
    <row r="1050" spans="1:15" x14ac:dyDescent="0.25">
      <c r="A1050" s="63" t="e">
        <f>IF(AND(G1050="",H1050=""),"SUPPR",SAISIE!$B$3)</f>
        <v>#REF!</v>
      </c>
      <c r="B1050" s="63" t="e">
        <f>IF(SAISIE!#REF!="","",IF(LEN(SAISIE!B75)=1,CONCATENATE("0",SAISIE!B75,"/",SAISIE!$B$4,"/",SAISIE!$B$5),CONCATENATE(SAISIE!B75,"/",SAISIE!$B$4,"/",SAISIE!$B$5)))</f>
        <v>#REF!</v>
      </c>
      <c r="C1050" s="63" t="e">
        <f>IF(SAISIE!#REF!="","",SAISIE!#REF!)</f>
        <v>#REF!</v>
      </c>
      <c r="D1050" s="63" t="e">
        <f>IF(SAISIE!#REF!="","",SAISIE!E75)</f>
        <v>#REF!</v>
      </c>
      <c r="E1050" s="63" t="e">
        <f>IF(SAISIE!#REF!="","",SAISIE!F75)</f>
        <v>#REF!</v>
      </c>
      <c r="F1050" s="70" t="e">
        <f>IF(SAISIE!#REF!="","",IF(SAISIE!$N75="","",SAISIE!$N75))</f>
        <v>#REF!</v>
      </c>
      <c r="G1050" s="63" t="e">
        <f>IF(SAISIE!#REF!="","",SAISIE!#REF!)</f>
        <v>#REF!</v>
      </c>
      <c r="H1050" s="63"/>
      <c r="I1050" s="63" t="e">
        <f>IF(SAISIE!#REF!="","",SAISIE!$Q75)</f>
        <v>#REF!</v>
      </c>
      <c r="J1050" s="71" t="str">
        <f>IF(COUNTBLANK(SAISIE!$J$6:$M$6)=4,"",IF(SAISIE!#REF!="","",IF(SAISIE!J75&gt;0,SAISIE!$J$6,IF(SAISIE!K75&gt;0,SAISIE!$K$6,IF(SAISIE!L75&gt;0,SAISIE!$L$6,IF(SAISIE!M75&gt;0,SAISIE!$M$6,""))))))</f>
        <v/>
      </c>
      <c r="O1050" s="59" t="s">
        <v>57</v>
      </c>
    </row>
    <row r="1051" spans="1:15" x14ac:dyDescent="0.25">
      <c r="A1051" s="63" t="e">
        <f>IF(AND(G1051="",H1051=""),"SUPPR",SAISIE!$B$3)</f>
        <v>#REF!</v>
      </c>
      <c r="B1051" s="63" t="e">
        <f>IF(SAISIE!#REF!="","",IF(LEN(SAISIE!B75)=1,CONCATENATE("0",SAISIE!B75,"/",SAISIE!$B$4,"/",SAISIE!$B$5),CONCATENATE(SAISIE!B75,"/",SAISIE!$B$4,"/",SAISIE!$B$5)))</f>
        <v>#REF!</v>
      </c>
      <c r="C1051" s="63" t="e">
        <f>IF(SAISIE!#REF!="","",SAISIE!#REF!)</f>
        <v>#REF!</v>
      </c>
      <c r="D1051" s="63" t="e">
        <f>IF(SAISIE!#REF!="","",SAISIE!E75)</f>
        <v>#REF!</v>
      </c>
      <c r="E1051" s="63" t="e">
        <f>IF(SAISIE!#REF!="","",SAISIE!F75)</f>
        <v>#REF!</v>
      </c>
      <c r="F1051" s="70" t="e">
        <f>IF(SAISIE!#REF!="","",IF(SAISIE!$N75="","",SAISIE!$N75))</f>
        <v>#REF!</v>
      </c>
      <c r="G1051" s="63" t="e">
        <f>IF(SAISIE!#REF!="","",SAISIE!#REF!)</f>
        <v>#REF!</v>
      </c>
      <c r="H1051" s="63"/>
      <c r="I1051" s="63" t="e">
        <f>IF(SAISIE!#REF!="","",SAISIE!$Q75)</f>
        <v>#REF!</v>
      </c>
      <c r="J1051" s="71" t="str">
        <f>IF(COUNTBLANK(SAISIE!$J$6:$M$6)=4,"",IF(SAISIE!#REF!="","",IF(SAISIE!J75&gt;0,SAISIE!$J$6,IF(SAISIE!K75&gt;0,SAISIE!$K$6,IF(SAISIE!L75&gt;0,SAISIE!$L$6,IF(SAISIE!M75&gt;0,SAISIE!$M$6,""))))))</f>
        <v/>
      </c>
      <c r="O1051" s="59" t="s">
        <v>58</v>
      </c>
    </row>
    <row r="1052" spans="1:15" x14ac:dyDescent="0.25">
      <c r="A1052" s="63" t="e">
        <f>IF(AND(G1052="",H1052=""),"SUPPR",SAISIE!$B$3)</f>
        <v>#REF!</v>
      </c>
      <c r="B1052" s="63" t="e">
        <f>IF(SAISIE!#REF!="","",IF(LEN(SAISIE!B75)=1,CONCATENATE("0",SAISIE!B75,"/",SAISIE!$B$4,"/",SAISIE!$B$5),CONCATENATE(SAISIE!B75,"/",SAISIE!$B$4,"/",SAISIE!$B$5)))</f>
        <v>#REF!</v>
      </c>
      <c r="C1052" s="63" t="e">
        <f>IF(SAISIE!#REF!="","",SAISIE!#REF!)</f>
        <v>#REF!</v>
      </c>
      <c r="D1052" s="63" t="e">
        <f>IF(SAISIE!#REF!="","",SAISIE!E75)</f>
        <v>#REF!</v>
      </c>
      <c r="E1052" s="63" t="e">
        <f>IF(SAISIE!#REF!="","",SAISIE!F75)</f>
        <v>#REF!</v>
      </c>
      <c r="F1052" s="70" t="e">
        <f>IF(SAISIE!#REF!="","",IF(SAISIE!$N75="","",SAISIE!$N75))</f>
        <v>#REF!</v>
      </c>
      <c r="G1052" s="63" t="e">
        <f>IF(SAISIE!#REF!="","",SAISIE!#REF!)</f>
        <v>#REF!</v>
      </c>
      <c r="H1052" s="63"/>
      <c r="I1052" s="63" t="e">
        <f>IF(SAISIE!#REF!="","",SAISIE!$Q75)</f>
        <v>#REF!</v>
      </c>
      <c r="J1052" s="71" t="str">
        <f>IF(COUNTBLANK(SAISIE!$J$6:$M$6)=4,"",IF(SAISIE!#REF!="","",IF(SAISIE!J75&gt;0,SAISIE!$J$6,IF(SAISIE!K75&gt;0,SAISIE!$K$6,IF(SAISIE!L75&gt;0,SAISIE!$L$6,IF(SAISIE!M75&gt;0,SAISIE!$M$6,""))))))</f>
        <v/>
      </c>
      <c r="O1052" s="59" t="s">
        <v>59</v>
      </c>
    </row>
    <row r="1053" spans="1:15" x14ac:dyDescent="0.25">
      <c r="A1053" s="63" t="e">
        <f>IF(AND(G1053="",H1053=""),"SUPPR",SAISIE!$B$3)</f>
        <v>#REF!</v>
      </c>
      <c r="B1053" s="63" t="e">
        <f>IF(SAISIE!#REF!="","",IF(LEN(SAISIE!B75)=1,CONCATENATE("0",SAISIE!B75,"/",SAISIE!$B$4,"/",SAISIE!$B$5),CONCATENATE(SAISIE!B75,"/",SAISIE!$B$4,"/",SAISIE!$B$5)))</f>
        <v>#REF!</v>
      </c>
      <c r="C1053" s="63" t="e">
        <f>IF(SAISIE!#REF!="","",SAISIE!#REF!)</f>
        <v>#REF!</v>
      </c>
      <c r="D1053" s="63" t="e">
        <f>IF(SAISIE!#REF!="","",SAISIE!E75)</f>
        <v>#REF!</v>
      </c>
      <c r="E1053" s="63" t="e">
        <f>IF(SAISIE!#REF!="","",SAISIE!F75)</f>
        <v>#REF!</v>
      </c>
      <c r="F1053" s="70" t="e">
        <f>IF(SAISIE!#REF!="","",IF(SAISIE!$N75="","",SAISIE!$N75))</f>
        <v>#REF!</v>
      </c>
      <c r="G1053" s="63" t="e">
        <f>IF(SAISIE!#REF!="","",SAISIE!#REF!)</f>
        <v>#REF!</v>
      </c>
      <c r="H1053" s="63"/>
      <c r="I1053" s="63" t="e">
        <f>IF(SAISIE!#REF!="","",SAISIE!$Q75)</f>
        <v>#REF!</v>
      </c>
      <c r="J1053" s="71" t="str">
        <f>IF(COUNTBLANK(SAISIE!$J$6:$M$6)=4,"",IF(SAISIE!#REF!="","",IF(SAISIE!J75&gt;0,SAISIE!$J$6,IF(SAISIE!K75&gt;0,SAISIE!$K$6,IF(SAISIE!L75&gt;0,SAISIE!$L$6,IF(SAISIE!M75&gt;0,SAISIE!$M$6,""))))))</f>
        <v/>
      </c>
      <c r="O1053" s="59" t="s">
        <v>60</v>
      </c>
    </row>
    <row r="1054" spans="1:15" x14ac:dyDescent="0.25">
      <c r="A1054" s="63" t="str">
        <f>IF(AND(G1054="",H1054=""),"SUPPR",SAISIE!$B$3)</f>
        <v>SUPPR</v>
      </c>
      <c r="B1054" s="63" t="str">
        <f>IF(SAISIE!J75="","",IF(LEN(SAISIE!B75)=1,CONCATENATE("0",SAISIE!B75,"/",SAISIE!$B$4,"/",SAISIE!$B$5),CONCATENATE(SAISIE!B75,"/",SAISIE!$B$4,"/",SAISIE!$B$5)))</f>
        <v/>
      </c>
      <c r="C1054" s="63" t="str">
        <f>IF(SAISIE!J75="","",SAISIE!$J$8)</f>
        <v/>
      </c>
      <c r="D1054" s="63" t="str">
        <f>IF(SAISIE!J75="","",SAISIE!E75)</f>
        <v/>
      </c>
      <c r="E1054" s="63" t="str">
        <f>IF(SAISIE!J75="","",SAISIE!F75)</f>
        <v/>
      </c>
      <c r="F1054" s="70" t="str">
        <f>IF(SAISIE!$J75="","",IF(SAISIE!$N75="","",SAISIE!$N75))</f>
        <v/>
      </c>
      <c r="G1054" s="63" t="str">
        <f>IF(SAISIE!J75="","",SAISIE!J75)</f>
        <v/>
      </c>
      <c r="H1054" s="63"/>
      <c r="I1054" s="72"/>
      <c r="J1054" s="71"/>
      <c r="O1054" s="73"/>
    </row>
    <row r="1055" spans="1:15" x14ac:dyDescent="0.25">
      <c r="A1055" s="63" t="str">
        <f>IF(AND(G1055="",H1055=""),"SUPPR",SAISIE!$B$3)</f>
        <v>SUPPR</v>
      </c>
      <c r="B1055" s="63" t="str">
        <f>IF(SAISIE!K75="","",IF(LEN(SAISIE!B75)=1,CONCATENATE("0",SAISIE!B75,"/",SAISIE!$B$4,"/",SAISIE!$B$5),CONCATENATE(SAISIE!B75,"/",SAISIE!$B$4,"/",SAISIE!$B$5)))</f>
        <v/>
      </c>
      <c r="C1055" s="63" t="str">
        <f>IF(SAISIE!K75="","",SAISIE!$K$8)</f>
        <v/>
      </c>
      <c r="D1055" s="63" t="str">
        <f>IF(SAISIE!K75="","",SAISIE!E75)</f>
        <v/>
      </c>
      <c r="E1055" s="63" t="str">
        <f>IF(SAISIE!K75="","",SAISIE!F75)</f>
        <v/>
      </c>
      <c r="F1055" s="70" t="str">
        <f>IF(SAISIE!$K75="","",IF(SAISIE!$N75="","",SAISIE!$N75))</f>
        <v/>
      </c>
      <c r="G1055" s="63" t="str">
        <f>IF(SAISIE!K75="","",SAISIE!K75)</f>
        <v/>
      </c>
      <c r="H1055" s="63"/>
      <c r="I1055" s="72"/>
      <c r="J1055" s="71"/>
    </row>
    <row r="1056" spans="1:15" x14ac:dyDescent="0.25">
      <c r="A1056" s="63" t="str">
        <f>IF(AND(G1056="",H1056=""),"SUPPR",SAISIE!$B$3)</f>
        <v>SUPPR</v>
      </c>
      <c r="B1056" s="63" t="str">
        <f>IF(SAISIE!L75="","",IF(LEN(SAISIE!B75)=1,CONCATENATE("0",SAISIE!B75,"/",SAISIE!$B$4,"/",SAISIE!$B$5),CONCATENATE(SAISIE!B75,"/",SAISIE!$B$4,"/",SAISIE!$B$5)))</f>
        <v/>
      </c>
      <c r="C1056" s="63" t="str">
        <f>IF(SAISIE!L75="","",SAISIE!$L$8)</f>
        <v/>
      </c>
      <c r="D1056" s="63" t="str">
        <f>IF(SAISIE!L75="","",SAISIE!E75)</f>
        <v/>
      </c>
      <c r="E1056" s="63" t="str">
        <f>IF(SAISIE!L75="","",SAISIE!F75)</f>
        <v/>
      </c>
      <c r="F1056" s="70" t="str">
        <f>IF(SAISIE!$L75="","",IF(SAISIE!$N75="","",SAISIE!$N75))</f>
        <v/>
      </c>
      <c r="G1056" s="63" t="str">
        <f>IF(SAISIE!L75="","",SAISIE!L75)</f>
        <v/>
      </c>
      <c r="H1056" s="63"/>
      <c r="I1056" s="72"/>
      <c r="J1056" s="71"/>
    </row>
    <row r="1057" spans="1:15" x14ac:dyDescent="0.25">
      <c r="A1057" s="63" t="str">
        <f>IF(AND(G1057="",H1057=""),"SUPPR",SAISIE!$B$3)</f>
        <v>SUPPR</v>
      </c>
      <c r="B1057" s="63" t="str">
        <f>IF(SAISIE!M75="","",IF(LEN(SAISIE!B75)=1,CONCATENATE("0",SAISIE!B75,"/",SAISIE!$B$4,"/",SAISIE!$B$5),CONCATENATE(SAISIE!B75,"/",SAISIE!$B$4,"/",SAISIE!$B$5)))</f>
        <v/>
      </c>
      <c r="C1057" s="74" t="str">
        <f>IF(SAISIE!M75="","",SAISIE!$M$8)</f>
        <v/>
      </c>
      <c r="D1057" s="74" t="str">
        <f>IF(SAISIE!M75="","",SAISIE!E75)</f>
        <v/>
      </c>
      <c r="E1057" s="74" t="str">
        <f>IF(SAISIE!M75="","",SAISIE!F75)</f>
        <v/>
      </c>
      <c r="F1057" s="75" t="str">
        <f>IF(SAISIE!$M75="","",IF(SAISIE!$N75="","",SAISIE!$N75))</f>
        <v/>
      </c>
      <c r="G1057" s="74" t="str">
        <f>IF(SAISIE!M75="","",SAISIE!M75)</f>
        <v/>
      </c>
      <c r="H1057" s="76"/>
      <c r="I1057" s="77"/>
      <c r="J1057" s="78"/>
    </row>
    <row r="1058" spans="1:15" x14ac:dyDescent="0.25">
      <c r="A1058" s="63" t="str">
        <f>IF(AND(G1058="",H1058=""),"SUPPR",SAISIE!$B$3)</f>
        <v>SUPPR</v>
      </c>
      <c r="B1058" s="64" t="str">
        <f>IF(SAISIE!B76="","",IF(LEN(SAISIE!B76)=1,CONCATENATE("0",SAISIE!B76,"/",SAISIE!$B$4,"/",SAISIE!$B$5),CONCATENATE(SAISIE!B76,"/",SAISIE!$B$4,"/",SAISIE!$B$5)))</f>
        <v/>
      </c>
      <c r="C1058" s="64" t="str">
        <f>IF(SAISIE!B76="","",CONCATENATE($M$2,SAISIE!C76))</f>
        <v/>
      </c>
      <c r="D1058" s="64" t="str">
        <f>IF(SAISIE!B76="","",SAISIE!E76)</f>
        <v/>
      </c>
      <c r="E1058" s="64" t="str">
        <f>IF(SAISIE!B76="","",SAISIE!F76)</f>
        <v/>
      </c>
      <c r="F1058" s="65" t="str">
        <f>IF(A1058="SUPPR","",IF(SAISIE!$N76="","",SAISIE!$N76))</f>
        <v/>
      </c>
      <c r="G1058" s="64"/>
      <c r="H1058" s="64" t="str">
        <f>IF(SAISIE!B76="","",SAISIE!D76)</f>
        <v/>
      </c>
      <c r="I1058" s="66"/>
      <c r="J1058" s="67" t="str">
        <f>IF(AZ76="","","")</f>
        <v/>
      </c>
      <c r="O1058" s="69">
        <f>O1042+1</f>
        <v>76</v>
      </c>
    </row>
    <row r="1059" spans="1:15" x14ac:dyDescent="0.25">
      <c r="A1059" s="63" t="str">
        <f>IF(AND(G1059="",H1059=""),"SUPPR",SAISIE!$B$3)</f>
        <v>SUPPR</v>
      </c>
      <c r="B1059" s="63" t="str">
        <f>IF(SAISIE!P76="","",IF(LEN(SAISIE!B76)=1,CONCATENATE("0",SAISIE!B76,"/",SAISIE!$B$4,"/",SAISIE!$B$5),CONCATENATE(SAISIE!B76,"/",SAISIE!$B$4,"/",SAISIE!$B$5)))</f>
        <v/>
      </c>
      <c r="C1059" s="63" t="str">
        <f>IF(SAISIE!P76="","",SAISIE!O76)</f>
        <v/>
      </c>
      <c r="D1059" s="63" t="str">
        <f>IF(SAISIE!P76="","",SAISIE!E76)</f>
        <v/>
      </c>
      <c r="E1059" s="63" t="str">
        <f>IF(SAISIE!P76="","",SAISIE!F76)</f>
        <v/>
      </c>
      <c r="F1059" s="70" t="str">
        <f>IF(SAISIE!$P76="","",IF(SAISIE!$N76="","",SAISIE!$N76))</f>
        <v/>
      </c>
      <c r="G1059" s="63" t="str">
        <f>IF(SAISIE!P76="","",SAISIE!P76)</f>
        <v/>
      </c>
      <c r="H1059" s="63"/>
      <c r="I1059" s="63" t="str">
        <f>IF(SAISIE!$P76="","",SAISIE!$Q76)</f>
        <v/>
      </c>
      <c r="J1059" s="71" t="str">
        <f>IF(COUNTBLANK(SAISIE!$J$6:$M$6)=4,"",IF(SAISIE!P76="","",IF(SAISIE!J76&gt;0,SAISIE!$J$6,IF(SAISIE!K76&gt;0,SAISIE!$K$6,IF(SAISIE!L76&gt;0,SAISIE!$L$6,IF(SAISIE!M76&gt;0,SAISIE!$M$6,""))))))</f>
        <v/>
      </c>
      <c r="O1059" s="59" t="s">
        <v>50</v>
      </c>
    </row>
    <row r="1060" spans="1:15" x14ac:dyDescent="0.25">
      <c r="A1060" s="63" t="str">
        <f>IF(AND(G1060="",H1060=""),"SUPPR",SAISIE!$B$3)</f>
        <v>SUPPR</v>
      </c>
      <c r="B1060" s="63" t="str">
        <f>IF(SAISIE!G76="","",IF(LEN(SAISIE!B76)=1,CONCATENATE("0",SAISIE!B76,"/",SAISIE!$B$4,"/",SAISIE!$B$5),CONCATENATE(SAISIE!B76,"/",SAISIE!$B$4,"/",SAISIE!$B$5)))</f>
        <v/>
      </c>
      <c r="C1060" s="63" t="str">
        <f>IF(SAISIE!G76="","",SAISIE!$G$8)</f>
        <v/>
      </c>
      <c r="D1060" s="63" t="str">
        <f>IF(SAISIE!G76="","",SAISIE!E76)</f>
        <v/>
      </c>
      <c r="E1060" s="63" t="str">
        <f>IF(SAISIE!G76="","",SAISIE!F76)</f>
        <v/>
      </c>
      <c r="F1060" s="70" t="str">
        <f>IF(SAISIE!$G76="","",IF(SAISIE!$N76="","",SAISIE!$N76))</f>
        <v/>
      </c>
      <c r="G1060" s="63" t="str">
        <f>IF(SAISIE!G76="","",SAISIE!G76)</f>
        <v/>
      </c>
      <c r="H1060" s="63"/>
      <c r="I1060" s="63" t="str">
        <f>IF(SAISIE!$G76="","",SAISIE!$Q76)</f>
        <v/>
      </c>
      <c r="J1060" s="71" t="str">
        <f>IF(COUNTBLANK(SAISIE!$J$6:$M$6)=4,"",IF(SAISIE!G76="","",IF(SAISIE!J76&gt;0,SAISIE!$J$6,IF(SAISIE!K76&gt;0,SAISIE!$K$6,IF(SAISIE!L76&gt;0,SAISIE!$L$6,IF(SAISIE!M76&gt;0,SAISIE!$M$6,""))))))</f>
        <v/>
      </c>
      <c r="O1060" s="59" t="s">
        <v>51</v>
      </c>
    </row>
    <row r="1061" spans="1:15" x14ac:dyDescent="0.25">
      <c r="A1061" s="63" t="str">
        <f>IF(AND(G1061="",H1061=""),"SUPPR",SAISIE!$B$3)</f>
        <v>SUPPR</v>
      </c>
      <c r="B1061" s="63" t="str">
        <f>IF(SAISIE!H76="","",IF(LEN(SAISIE!B76)=1,CONCATENATE("0",SAISIE!B76,"/",SAISIE!$B$4,"/",SAISIE!$B$5),CONCATENATE(SAISIE!B76,"/",SAISIE!$B$4,"/",SAISIE!$B$5)))</f>
        <v/>
      </c>
      <c r="C1061" s="63" t="str">
        <f>IF(SAISIE!H76="","",SAISIE!$H$8)</f>
        <v/>
      </c>
      <c r="D1061" s="63" t="str">
        <f>IF(SAISIE!H76="","",SAISIE!E76)</f>
        <v/>
      </c>
      <c r="E1061" s="63" t="str">
        <f>IF(SAISIE!H76="","",SAISIE!F76)</f>
        <v/>
      </c>
      <c r="F1061" s="70" t="str">
        <f>IF(SAISIE!$H76="","",IF(SAISIE!$N76="","",SAISIE!$N76))</f>
        <v/>
      </c>
      <c r="G1061" s="63" t="str">
        <f>IF(SAISIE!H76="","",SAISIE!H76)</f>
        <v/>
      </c>
      <c r="H1061" s="63"/>
      <c r="I1061" s="63" t="str">
        <f>IF(SAISIE!$H76="","",SAISIE!$Q76)</f>
        <v/>
      </c>
      <c r="J1061" s="71" t="str">
        <f>IF(COUNTBLANK(SAISIE!$J$6:$M$6)=4,"",IF(SAISIE!H76="","",IF(SAISIE!J76&gt;0,SAISIE!$J$6,IF(SAISIE!K76&gt;0,SAISIE!$K$6,IF(SAISIE!L76&gt;0,SAISIE!$L$6,IF(SAISIE!M76&gt;0,SAISIE!$M$6,""))))))</f>
        <v/>
      </c>
      <c r="O1061" s="59" t="s">
        <v>52</v>
      </c>
    </row>
    <row r="1062" spans="1:15" x14ac:dyDescent="0.25">
      <c r="A1062" s="63" t="str">
        <f>IF(AND(G1062="",H1062=""),"SUPPR",SAISIE!$B$3)</f>
        <v>SUPPR</v>
      </c>
      <c r="B1062" s="63" t="str">
        <f>IF(SAISIE!I76="","",IF(LEN(SAISIE!B76)=1,CONCATENATE("0",SAISIE!B76,"/",SAISIE!$B$4,"/",SAISIE!$B$5),CONCATENATE(SAISIE!B76,"/",SAISIE!$B$4,"/",SAISIE!$B$5)))</f>
        <v/>
      </c>
      <c r="C1062" s="63" t="str">
        <f>IF(SAISIE!I76="","",SAISIE!$I$8)</f>
        <v/>
      </c>
      <c r="D1062" s="63" t="str">
        <f>IF(SAISIE!I76="","",SAISIE!E76)</f>
        <v/>
      </c>
      <c r="E1062" s="63" t="str">
        <f>IF(SAISIE!I76="","",SAISIE!F76)</f>
        <v/>
      </c>
      <c r="F1062" s="70" t="str">
        <f>IF(SAISIE!$I76="","",IF(SAISIE!$N76="","",SAISIE!$N76))</f>
        <v/>
      </c>
      <c r="G1062" s="63" t="str">
        <f>IF(SAISIE!I76="","",SAISIE!I76)</f>
        <v/>
      </c>
      <c r="H1062" s="63"/>
      <c r="I1062" s="63" t="str">
        <f>IF(SAISIE!$I76="","",SAISIE!$Q76)</f>
        <v/>
      </c>
      <c r="J1062" s="71" t="str">
        <f>IF(COUNTBLANK(SAISIE!$J$6:$M$6)=4,"",IF(SAISIE!I76="","",IF(SAISIE!J76&gt;0,SAISIE!$J$6,IF(SAISIE!K76&gt;0,SAISIE!$K$6,IF(SAISIE!L76&gt;0,SAISIE!$L$6,IF(SAISIE!M76&gt;0,SAISIE!$M$6,""))))))</f>
        <v/>
      </c>
      <c r="O1062" s="59" t="s">
        <v>53</v>
      </c>
    </row>
    <row r="1063" spans="1:15" x14ac:dyDescent="0.25">
      <c r="A1063" s="63" t="e">
        <f>IF(AND(G1063="",H1063=""),"SUPPR",SAISIE!$B$3)</f>
        <v>#REF!</v>
      </c>
      <c r="B1063" s="63" t="e">
        <f>IF(SAISIE!#REF!="","",IF(LEN(SAISIE!B76)=1,CONCATENATE("0",SAISIE!B76,"/",SAISIE!$B$4,"/",SAISIE!$B$5),CONCATENATE(SAISIE!B76,"/",SAISIE!$B$4,"/",SAISIE!$B$5)))</f>
        <v>#REF!</v>
      </c>
      <c r="C1063" s="63" t="e">
        <f>IF(SAISIE!#REF!="","",SAISIE!#REF!)</f>
        <v>#REF!</v>
      </c>
      <c r="D1063" s="63" t="e">
        <f>IF(SAISIE!#REF!="","",SAISIE!E76)</f>
        <v>#REF!</v>
      </c>
      <c r="E1063" s="63" t="e">
        <f>IF(SAISIE!#REF!="","",SAISIE!F76)</f>
        <v>#REF!</v>
      </c>
      <c r="F1063" s="70" t="e">
        <f>IF(SAISIE!#REF!="","",IF(SAISIE!$N76="","",SAISIE!$N76))</f>
        <v>#REF!</v>
      </c>
      <c r="G1063" s="63" t="e">
        <f>IF(SAISIE!#REF!="","",SAISIE!#REF!)</f>
        <v>#REF!</v>
      </c>
      <c r="H1063" s="63"/>
      <c r="I1063" s="63" t="e">
        <f>IF(SAISIE!#REF!="","",SAISIE!$Q76)</f>
        <v>#REF!</v>
      </c>
      <c r="J1063" s="71" t="str">
        <f>IF(COUNTBLANK(SAISIE!$J$6:$M$6)=4,"",IF(SAISIE!#REF!="","",IF(SAISIE!J76&gt;0,SAISIE!$J$6,IF(SAISIE!K76&gt;0,SAISIE!$K$6,IF(SAISIE!L76&gt;0,SAISIE!$L$6,IF(SAISIE!M76&gt;0,SAISIE!$M$6,""))))))</f>
        <v/>
      </c>
      <c r="O1063" s="59" t="s">
        <v>54</v>
      </c>
    </row>
    <row r="1064" spans="1:15" x14ac:dyDescent="0.25">
      <c r="A1064" s="63" t="e">
        <f>IF(AND(G1064="",H1064=""),"SUPPR",SAISIE!$B$3)</f>
        <v>#REF!</v>
      </c>
      <c r="B1064" s="63" t="e">
        <f>IF(SAISIE!#REF!="","",IF(LEN(SAISIE!B76)=1,CONCATENATE("0",SAISIE!B76,"/",SAISIE!$B$4,"/",SAISIE!$B$5),CONCATENATE(SAISIE!B76,"/",SAISIE!$B$4,"/",SAISIE!$B$5)))</f>
        <v>#REF!</v>
      </c>
      <c r="C1064" s="63" t="e">
        <f>IF(SAISIE!#REF!="","",SAISIE!#REF!)</f>
        <v>#REF!</v>
      </c>
      <c r="D1064" s="63" t="e">
        <f>IF(SAISIE!#REF!="","",SAISIE!E76)</f>
        <v>#REF!</v>
      </c>
      <c r="E1064" s="63" t="e">
        <f>IF(SAISIE!#REF!="","",SAISIE!F76)</f>
        <v>#REF!</v>
      </c>
      <c r="F1064" s="70" t="e">
        <f>IF(SAISIE!#REF!="","",IF(SAISIE!$N76="","",SAISIE!$N76))</f>
        <v>#REF!</v>
      </c>
      <c r="G1064" s="63" t="e">
        <f>IF(SAISIE!#REF!="","",SAISIE!#REF!)</f>
        <v>#REF!</v>
      </c>
      <c r="H1064" s="63"/>
      <c r="I1064" s="63" t="e">
        <f>IF(SAISIE!#REF!="","",SAISIE!$Q76)</f>
        <v>#REF!</v>
      </c>
      <c r="J1064" s="71" t="str">
        <f>IF(COUNTBLANK(SAISIE!$J$6:$M$6)=4,"",IF(SAISIE!#REF!="","",IF(SAISIE!J76&gt;0,SAISIE!$J$6,IF(SAISIE!K76&gt;0,SAISIE!$K$6,IF(SAISIE!L76&gt;0,SAISIE!$L$6,IF(SAISIE!M76&gt;0,SAISIE!$M$6,""))))))</f>
        <v/>
      </c>
      <c r="O1064" s="59" t="s">
        <v>55</v>
      </c>
    </row>
    <row r="1065" spans="1:15" x14ac:dyDescent="0.25">
      <c r="A1065" s="63" t="e">
        <f>IF(AND(G1065="",H1065=""),"SUPPR",SAISIE!$B$3)</f>
        <v>#REF!</v>
      </c>
      <c r="B1065" s="63" t="e">
        <f>IF(SAISIE!#REF!="","",IF(LEN(SAISIE!B76)=1,CONCATENATE("0",SAISIE!B76,"/",SAISIE!$B$4,"/",SAISIE!$B$5),CONCATENATE(SAISIE!B76,"/",SAISIE!$B$4,"/",SAISIE!$B$5)))</f>
        <v>#REF!</v>
      </c>
      <c r="C1065" s="63" t="e">
        <f>IF(SAISIE!#REF!="","",SAISIE!#REF!)</f>
        <v>#REF!</v>
      </c>
      <c r="D1065" s="63" t="e">
        <f>IF(SAISIE!#REF!="","",SAISIE!E76)</f>
        <v>#REF!</v>
      </c>
      <c r="E1065" s="63" t="e">
        <f>IF(SAISIE!#REF!="","",SAISIE!F76)</f>
        <v>#REF!</v>
      </c>
      <c r="F1065" s="70" t="e">
        <f>IF(SAISIE!#REF!="","",IF(SAISIE!$N76="","",SAISIE!$N76))</f>
        <v>#REF!</v>
      </c>
      <c r="G1065" s="63" t="e">
        <f>IF(SAISIE!#REF!="","",SAISIE!#REF!)</f>
        <v>#REF!</v>
      </c>
      <c r="H1065" s="63"/>
      <c r="I1065" s="63" t="e">
        <f>IF(SAISIE!#REF!="","",SAISIE!$Q76)</f>
        <v>#REF!</v>
      </c>
      <c r="J1065" s="71" t="str">
        <f>IF(COUNTBLANK(SAISIE!$J$6:$M$6)=4,"",IF(SAISIE!#REF!="","",IF(SAISIE!J76&gt;0,SAISIE!$J$6,IF(SAISIE!K76&gt;0,SAISIE!$K$6,IF(SAISIE!L76&gt;0,SAISIE!$L$6,IF(SAISIE!M76&gt;0,SAISIE!$M$6,""))))))</f>
        <v/>
      </c>
      <c r="O1065" s="59" t="s">
        <v>56</v>
      </c>
    </row>
    <row r="1066" spans="1:15" x14ac:dyDescent="0.25">
      <c r="A1066" s="63" t="e">
        <f>IF(AND(G1066="",H1066=""),"SUPPR",SAISIE!$B$3)</f>
        <v>#REF!</v>
      </c>
      <c r="B1066" s="63" t="e">
        <f>IF(SAISIE!#REF!="","",IF(LEN(SAISIE!B76)=1,CONCATENATE("0",SAISIE!B76,"/",SAISIE!$B$4,"/",SAISIE!$B$5),CONCATENATE(SAISIE!B76,"/",SAISIE!$B$4,"/",SAISIE!$B$5)))</f>
        <v>#REF!</v>
      </c>
      <c r="C1066" s="63" t="e">
        <f>IF(SAISIE!#REF!="","",SAISIE!#REF!)</f>
        <v>#REF!</v>
      </c>
      <c r="D1066" s="63" t="e">
        <f>IF(SAISIE!#REF!="","",SAISIE!E76)</f>
        <v>#REF!</v>
      </c>
      <c r="E1066" s="63" t="e">
        <f>IF(SAISIE!#REF!="","",SAISIE!F76)</f>
        <v>#REF!</v>
      </c>
      <c r="F1066" s="70" t="e">
        <f>IF(SAISIE!#REF!="","",IF(SAISIE!$N76="","",SAISIE!$N76))</f>
        <v>#REF!</v>
      </c>
      <c r="G1066" s="63" t="e">
        <f>IF(SAISIE!#REF!="","",SAISIE!#REF!)</f>
        <v>#REF!</v>
      </c>
      <c r="H1066" s="63"/>
      <c r="I1066" s="63" t="e">
        <f>IF(SAISIE!#REF!="","",SAISIE!$Q76)</f>
        <v>#REF!</v>
      </c>
      <c r="J1066" s="71" t="str">
        <f>IF(COUNTBLANK(SAISIE!$J$6:$M$6)=4,"",IF(SAISIE!#REF!="","",IF(SAISIE!J76&gt;0,SAISIE!$J$6,IF(SAISIE!K76&gt;0,SAISIE!$K$6,IF(SAISIE!L76&gt;0,SAISIE!$L$6,IF(SAISIE!M76&gt;0,SAISIE!$M$6,""))))))</f>
        <v/>
      </c>
      <c r="O1066" s="59" t="s">
        <v>57</v>
      </c>
    </row>
    <row r="1067" spans="1:15" x14ac:dyDescent="0.25">
      <c r="A1067" s="63" t="e">
        <f>IF(AND(G1067="",H1067=""),"SUPPR",SAISIE!$B$3)</f>
        <v>#REF!</v>
      </c>
      <c r="B1067" s="63" t="e">
        <f>IF(SAISIE!#REF!="","",IF(LEN(SAISIE!B76)=1,CONCATENATE("0",SAISIE!B76,"/",SAISIE!$B$4,"/",SAISIE!$B$5),CONCATENATE(SAISIE!B76,"/",SAISIE!$B$4,"/",SAISIE!$B$5)))</f>
        <v>#REF!</v>
      </c>
      <c r="C1067" s="63" t="e">
        <f>IF(SAISIE!#REF!="","",SAISIE!#REF!)</f>
        <v>#REF!</v>
      </c>
      <c r="D1067" s="63" t="e">
        <f>IF(SAISIE!#REF!="","",SAISIE!E76)</f>
        <v>#REF!</v>
      </c>
      <c r="E1067" s="63" t="e">
        <f>IF(SAISIE!#REF!="","",SAISIE!F76)</f>
        <v>#REF!</v>
      </c>
      <c r="F1067" s="70" t="e">
        <f>IF(SAISIE!#REF!="","",IF(SAISIE!$N76="","",SAISIE!$N76))</f>
        <v>#REF!</v>
      </c>
      <c r="G1067" s="63" t="e">
        <f>IF(SAISIE!#REF!="","",SAISIE!#REF!)</f>
        <v>#REF!</v>
      </c>
      <c r="H1067" s="63"/>
      <c r="I1067" s="63" t="e">
        <f>IF(SAISIE!#REF!="","",SAISIE!$Q76)</f>
        <v>#REF!</v>
      </c>
      <c r="J1067" s="71" t="str">
        <f>IF(COUNTBLANK(SAISIE!$J$6:$M$6)=4,"",IF(SAISIE!#REF!="","",IF(SAISIE!J76&gt;0,SAISIE!$J$6,IF(SAISIE!K76&gt;0,SAISIE!$K$6,IF(SAISIE!L76&gt;0,SAISIE!$L$6,IF(SAISIE!M76&gt;0,SAISIE!$M$6,""))))))</f>
        <v/>
      </c>
      <c r="O1067" s="59" t="s">
        <v>58</v>
      </c>
    </row>
    <row r="1068" spans="1:15" x14ac:dyDescent="0.25">
      <c r="A1068" s="63" t="e">
        <f>IF(AND(G1068="",H1068=""),"SUPPR",SAISIE!$B$3)</f>
        <v>#REF!</v>
      </c>
      <c r="B1068" s="63" t="e">
        <f>IF(SAISIE!#REF!="","",IF(LEN(SAISIE!B76)=1,CONCATENATE("0",SAISIE!B76,"/",SAISIE!$B$4,"/",SAISIE!$B$5),CONCATENATE(SAISIE!B76,"/",SAISIE!$B$4,"/",SAISIE!$B$5)))</f>
        <v>#REF!</v>
      </c>
      <c r="C1068" s="63" t="e">
        <f>IF(SAISIE!#REF!="","",SAISIE!#REF!)</f>
        <v>#REF!</v>
      </c>
      <c r="D1068" s="63" t="e">
        <f>IF(SAISIE!#REF!="","",SAISIE!E76)</f>
        <v>#REF!</v>
      </c>
      <c r="E1068" s="63" t="e">
        <f>IF(SAISIE!#REF!="","",SAISIE!F76)</f>
        <v>#REF!</v>
      </c>
      <c r="F1068" s="70" t="e">
        <f>IF(SAISIE!#REF!="","",IF(SAISIE!$N76="","",SAISIE!$N76))</f>
        <v>#REF!</v>
      </c>
      <c r="G1068" s="63" t="e">
        <f>IF(SAISIE!#REF!="","",SAISIE!#REF!)</f>
        <v>#REF!</v>
      </c>
      <c r="H1068" s="63"/>
      <c r="I1068" s="63" t="e">
        <f>IF(SAISIE!#REF!="","",SAISIE!$Q76)</f>
        <v>#REF!</v>
      </c>
      <c r="J1068" s="71" t="str">
        <f>IF(COUNTBLANK(SAISIE!$J$6:$M$6)=4,"",IF(SAISIE!#REF!="","",IF(SAISIE!J76&gt;0,SAISIE!$J$6,IF(SAISIE!K76&gt;0,SAISIE!$K$6,IF(SAISIE!L76&gt;0,SAISIE!$L$6,IF(SAISIE!M76&gt;0,SAISIE!$M$6,""))))))</f>
        <v/>
      </c>
      <c r="O1068" s="59" t="s">
        <v>59</v>
      </c>
    </row>
    <row r="1069" spans="1:15" x14ac:dyDescent="0.25">
      <c r="A1069" s="63" t="e">
        <f>IF(AND(G1069="",H1069=""),"SUPPR",SAISIE!$B$3)</f>
        <v>#REF!</v>
      </c>
      <c r="B1069" s="63" t="e">
        <f>IF(SAISIE!#REF!="","",IF(LEN(SAISIE!B76)=1,CONCATENATE("0",SAISIE!B76,"/",SAISIE!$B$4,"/",SAISIE!$B$5),CONCATENATE(SAISIE!B76,"/",SAISIE!$B$4,"/",SAISIE!$B$5)))</f>
        <v>#REF!</v>
      </c>
      <c r="C1069" s="63" t="e">
        <f>IF(SAISIE!#REF!="","",SAISIE!#REF!)</f>
        <v>#REF!</v>
      </c>
      <c r="D1069" s="63" t="e">
        <f>IF(SAISIE!#REF!="","",SAISIE!E76)</f>
        <v>#REF!</v>
      </c>
      <c r="E1069" s="63" t="e">
        <f>IF(SAISIE!#REF!="","",SAISIE!F76)</f>
        <v>#REF!</v>
      </c>
      <c r="F1069" s="70" t="e">
        <f>IF(SAISIE!#REF!="","",IF(SAISIE!$N76="","",SAISIE!$N76))</f>
        <v>#REF!</v>
      </c>
      <c r="G1069" s="63" t="e">
        <f>IF(SAISIE!#REF!="","",SAISIE!#REF!)</f>
        <v>#REF!</v>
      </c>
      <c r="H1069" s="63"/>
      <c r="I1069" s="63" t="e">
        <f>IF(SAISIE!#REF!="","",SAISIE!$Q76)</f>
        <v>#REF!</v>
      </c>
      <c r="J1069" s="71" t="str">
        <f>IF(COUNTBLANK(SAISIE!$J$6:$M$6)=4,"",IF(SAISIE!#REF!="","",IF(SAISIE!J76&gt;0,SAISIE!$J$6,IF(SAISIE!K76&gt;0,SAISIE!$K$6,IF(SAISIE!L76&gt;0,SAISIE!$L$6,IF(SAISIE!M76&gt;0,SAISIE!$M$6,""))))))</f>
        <v/>
      </c>
      <c r="O1069" s="59" t="s">
        <v>60</v>
      </c>
    </row>
    <row r="1070" spans="1:15" x14ac:dyDescent="0.25">
      <c r="A1070" s="63" t="str">
        <f>IF(AND(G1070="",H1070=""),"SUPPR",SAISIE!$B$3)</f>
        <v>SUPPR</v>
      </c>
      <c r="B1070" s="63" t="str">
        <f>IF(SAISIE!J76="","",IF(LEN(SAISIE!B76)=1,CONCATENATE("0",SAISIE!B76,"/",SAISIE!$B$4,"/",SAISIE!$B$5),CONCATENATE(SAISIE!B76,"/",SAISIE!$B$4,"/",SAISIE!$B$5)))</f>
        <v/>
      </c>
      <c r="C1070" s="63" t="str">
        <f>IF(SAISIE!J76="","",SAISIE!$J$8)</f>
        <v/>
      </c>
      <c r="D1070" s="63" t="str">
        <f>IF(SAISIE!J76="","",SAISIE!E76)</f>
        <v/>
      </c>
      <c r="E1070" s="63" t="str">
        <f>IF(SAISIE!J76="","",SAISIE!F76)</f>
        <v/>
      </c>
      <c r="F1070" s="70" t="str">
        <f>IF(SAISIE!$J76="","",IF(SAISIE!$N76="","",SAISIE!$N76))</f>
        <v/>
      </c>
      <c r="G1070" s="63" t="str">
        <f>IF(SAISIE!J76="","",SAISIE!J76)</f>
        <v/>
      </c>
      <c r="H1070" s="63"/>
      <c r="I1070" s="72"/>
      <c r="J1070" s="71"/>
      <c r="O1070" s="73"/>
    </row>
    <row r="1071" spans="1:15" x14ac:dyDescent="0.25">
      <c r="A1071" s="63" t="str">
        <f>IF(AND(G1071="",H1071=""),"SUPPR",SAISIE!$B$3)</f>
        <v>SUPPR</v>
      </c>
      <c r="B1071" s="63" t="str">
        <f>IF(SAISIE!K76="","",IF(LEN(SAISIE!B76)=1,CONCATENATE("0",SAISIE!B76,"/",SAISIE!$B$4,"/",SAISIE!$B$5),CONCATENATE(SAISIE!B76,"/",SAISIE!$B$4,"/",SAISIE!$B$5)))</f>
        <v/>
      </c>
      <c r="C1071" s="63" t="str">
        <f>IF(SAISIE!K76="","",SAISIE!$K$8)</f>
        <v/>
      </c>
      <c r="D1071" s="63" t="str">
        <f>IF(SAISIE!K76="","",SAISIE!E76)</f>
        <v/>
      </c>
      <c r="E1071" s="63" t="str">
        <f>IF(SAISIE!K76="","",SAISIE!F76)</f>
        <v/>
      </c>
      <c r="F1071" s="70" t="str">
        <f>IF(SAISIE!$K76="","",IF(SAISIE!$N76="","",SAISIE!$N76))</f>
        <v/>
      </c>
      <c r="G1071" s="63" t="str">
        <f>IF(SAISIE!K76="","",SAISIE!K76)</f>
        <v/>
      </c>
      <c r="H1071" s="63"/>
      <c r="I1071" s="72"/>
      <c r="J1071" s="71"/>
    </row>
    <row r="1072" spans="1:15" x14ac:dyDescent="0.25">
      <c r="A1072" s="63" t="str">
        <f>IF(AND(G1072="",H1072=""),"SUPPR",SAISIE!$B$3)</f>
        <v>SUPPR</v>
      </c>
      <c r="B1072" s="63" t="str">
        <f>IF(SAISIE!L76="","",IF(LEN(SAISIE!B76)=1,CONCATENATE("0",SAISIE!B76,"/",SAISIE!$B$4,"/",SAISIE!$B$5),CONCATENATE(SAISIE!B76,"/",SAISIE!$B$4,"/",SAISIE!$B$5)))</f>
        <v/>
      </c>
      <c r="C1072" s="63" t="str">
        <f>IF(SAISIE!L76="","",SAISIE!$L$8)</f>
        <v/>
      </c>
      <c r="D1072" s="63" t="str">
        <f>IF(SAISIE!L76="","",SAISIE!E76)</f>
        <v/>
      </c>
      <c r="E1072" s="63" t="str">
        <f>IF(SAISIE!L76="","",SAISIE!F76)</f>
        <v/>
      </c>
      <c r="F1072" s="70" t="str">
        <f>IF(SAISIE!$L76="","",IF(SAISIE!$N76="","",SAISIE!$N76))</f>
        <v/>
      </c>
      <c r="G1072" s="63" t="str">
        <f>IF(SAISIE!L76="","",SAISIE!L76)</f>
        <v/>
      </c>
      <c r="H1072" s="63"/>
      <c r="I1072" s="72"/>
      <c r="J1072" s="71"/>
    </row>
    <row r="1073" spans="1:15" x14ac:dyDescent="0.25">
      <c r="A1073" s="63" t="str">
        <f>IF(AND(G1073="",H1073=""),"SUPPR",SAISIE!$B$3)</f>
        <v>SUPPR</v>
      </c>
      <c r="B1073" s="63" t="str">
        <f>IF(SAISIE!M76="","",IF(LEN(SAISIE!B76)=1,CONCATENATE("0",SAISIE!B76,"/",SAISIE!$B$4,"/",SAISIE!$B$5),CONCATENATE(SAISIE!B76,"/",SAISIE!$B$4,"/",SAISIE!$B$5)))</f>
        <v/>
      </c>
      <c r="C1073" s="74" t="str">
        <f>IF(SAISIE!M76="","",SAISIE!$M$8)</f>
        <v/>
      </c>
      <c r="D1073" s="74" t="str">
        <f>IF(SAISIE!M76="","",SAISIE!E76)</f>
        <v/>
      </c>
      <c r="E1073" s="74" t="str">
        <f>IF(SAISIE!M76="","",SAISIE!F76)</f>
        <v/>
      </c>
      <c r="F1073" s="75" t="str">
        <f>IF(SAISIE!$M76="","",IF(SAISIE!$N76="","",SAISIE!$N76))</f>
        <v/>
      </c>
      <c r="G1073" s="74" t="str">
        <f>IF(SAISIE!M76="","",SAISIE!M76)</f>
        <v/>
      </c>
      <c r="H1073" s="76"/>
      <c r="I1073" s="77"/>
      <c r="J1073" s="78"/>
    </row>
    <row r="1074" spans="1:15" x14ac:dyDescent="0.25">
      <c r="A1074" s="63" t="str">
        <f>IF(AND(G1074="",H1074=""),"SUPPR",SAISIE!$B$3)</f>
        <v>SUPPR</v>
      </c>
      <c r="B1074" s="64" t="str">
        <f>IF(SAISIE!B77="","",IF(LEN(SAISIE!B77)=1,CONCATENATE("0",SAISIE!B77,"/",SAISIE!$B$4,"/",SAISIE!$B$5),CONCATENATE(SAISIE!B77,"/",SAISIE!$B$4,"/",SAISIE!$B$5)))</f>
        <v/>
      </c>
      <c r="C1074" s="64" t="str">
        <f>IF(SAISIE!B77="","",CONCATENATE($M$2,SAISIE!C77))</f>
        <v/>
      </c>
      <c r="D1074" s="64" t="str">
        <f>IF(SAISIE!B77="","",SAISIE!E77)</f>
        <v/>
      </c>
      <c r="E1074" s="64" t="str">
        <f>IF(SAISIE!B77="","",SAISIE!F77)</f>
        <v/>
      </c>
      <c r="F1074" s="65" t="str">
        <f>IF(A1074="SUPPR","",IF(SAISIE!$N77="","",SAISIE!$N77))</f>
        <v/>
      </c>
      <c r="G1074" s="64"/>
      <c r="H1074" s="64" t="str">
        <f>IF(SAISIE!B77="","",SAISIE!D77)</f>
        <v/>
      </c>
      <c r="I1074" s="66"/>
      <c r="J1074" s="67" t="str">
        <f>IF(AZ77="","","")</f>
        <v/>
      </c>
      <c r="O1074" s="69">
        <f>O1058+1</f>
        <v>77</v>
      </c>
    </row>
    <row r="1075" spans="1:15" x14ac:dyDescent="0.25">
      <c r="A1075" s="63" t="str">
        <f>IF(AND(G1075="",H1075=""),"SUPPR",SAISIE!$B$3)</f>
        <v>SUPPR</v>
      </c>
      <c r="B1075" s="63" t="str">
        <f>IF(SAISIE!P77="","",IF(LEN(SAISIE!B77)=1,CONCATENATE("0",SAISIE!B77,"/",SAISIE!$B$4,"/",SAISIE!$B$5),CONCATENATE(SAISIE!B77,"/",SAISIE!$B$4,"/",SAISIE!$B$5)))</f>
        <v/>
      </c>
      <c r="C1075" s="63" t="str">
        <f>IF(SAISIE!P77="","",SAISIE!O77)</f>
        <v/>
      </c>
      <c r="D1075" s="63" t="str">
        <f>IF(SAISIE!P77="","",SAISIE!E77)</f>
        <v/>
      </c>
      <c r="E1075" s="63" t="str">
        <f>IF(SAISIE!P77="","",SAISIE!F77)</f>
        <v/>
      </c>
      <c r="F1075" s="70" t="str">
        <f>IF(SAISIE!$P77="","",IF(SAISIE!$N77="","",SAISIE!$N77))</f>
        <v/>
      </c>
      <c r="G1075" s="63" t="str">
        <f>IF(SAISIE!P77="","",SAISIE!P77)</f>
        <v/>
      </c>
      <c r="H1075" s="63"/>
      <c r="I1075" s="63" t="str">
        <f>IF(SAISIE!$P77="","",SAISIE!$Q77)</f>
        <v/>
      </c>
      <c r="J1075" s="71" t="str">
        <f>IF(COUNTBLANK(SAISIE!$J$6:$M$6)=4,"",IF(SAISIE!P77="","",IF(SAISIE!J77&gt;0,SAISIE!$J$6,IF(SAISIE!K77&gt;0,SAISIE!$K$6,IF(SAISIE!L77&gt;0,SAISIE!$L$6,IF(SAISIE!M77&gt;0,SAISIE!$M$6,""))))))</f>
        <v/>
      </c>
      <c r="O1075" s="59" t="s">
        <v>50</v>
      </c>
    </row>
    <row r="1076" spans="1:15" x14ac:dyDescent="0.25">
      <c r="A1076" s="63" t="str">
        <f>IF(AND(G1076="",H1076=""),"SUPPR",SAISIE!$B$3)</f>
        <v>SUPPR</v>
      </c>
      <c r="B1076" s="63" t="str">
        <f>IF(SAISIE!G77="","",IF(LEN(SAISIE!B77)=1,CONCATENATE("0",SAISIE!B77,"/",SAISIE!$B$4,"/",SAISIE!$B$5),CONCATENATE(SAISIE!B77,"/",SAISIE!$B$4,"/",SAISIE!$B$5)))</f>
        <v/>
      </c>
      <c r="C1076" s="63" t="str">
        <f>IF(SAISIE!G77="","",SAISIE!$G$8)</f>
        <v/>
      </c>
      <c r="D1076" s="63" t="str">
        <f>IF(SAISIE!G77="","",SAISIE!E77)</f>
        <v/>
      </c>
      <c r="E1076" s="63" t="str">
        <f>IF(SAISIE!G77="","",SAISIE!F77)</f>
        <v/>
      </c>
      <c r="F1076" s="70" t="str">
        <f>IF(SAISIE!$G77="","",IF(SAISIE!$N77="","",SAISIE!$N77))</f>
        <v/>
      </c>
      <c r="G1076" s="63" t="str">
        <f>IF(SAISIE!G77="","",SAISIE!G77)</f>
        <v/>
      </c>
      <c r="H1076" s="63"/>
      <c r="I1076" s="63" t="str">
        <f>IF(SAISIE!$G77="","",SAISIE!$Q77)</f>
        <v/>
      </c>
      <c r="J1076" s="71" t="str">
        <f>IF(COUNTBLANK(SAISIE!$J$6:$M$6)=4,"",IF(SAISIE!G77="","",IF(SAISIE!J77&gt;0,SAISIE!$J$6,IF(SAISIE!K77&gt;0,SAISIE!$K$6,IF(SAISIE!L77&gt;0,SAISIE!$L$6,IF(SAISIE!M77&gt;0,SAISIE!$M$6,""))))))</f>
        <v/>
      </c>
      <c r="O1076" s="59" t="s">
        <v>51</v>
      </c>
    </row>
    <row r="1077" spans="1:15" x14ac:dyDescent="0.25">
      <c r="A1077" s="63" t="str">
        <f>IF(AND(G1077="",H1077=""),"SUPPR",SAISIE!$B$3)</f>
        <v>SUPPR</v>
      </c>
      <c r="B1077" s="63" t="str">
        <f>IF(SAISIE!H77="","",IF(LEN(SAISIE!B77)=1,CONCATENATE("0",SAISIE!B77,"/",SAISIE!$B$4,"/",SAISIE!$B$5),CONCATENATE(SAISIE!B77,"/",SAISIE!$B$4,"/",SAISIE!$B$5)))</f>
        <v/>
      </c>
      <c r="C1077" s="63" t="str">
        <f>IF(SAISIE!H77="","",SAISIE!$H$8)</f>
        <v/>
      </c>
      <c r="D1077" s="63" t="str">
        <f>IF(SAISIE!H77="","",SAISIE!E77)</f>
        <v/>
      </c>
      <c r="E1077" s="63" t="str">
        <f>IF(SAISIE!H77="","",SAISIE!F77)</f>
        <v/>
      </c>
      <c r="F1077" s="70" t="str">
        <f>IF(SAISIE!$H77="","",IF(SAISIE!$N77="","",SAISIE!$N77))</f>
        <v/>
      </c>
      <c r="G1077" s="63" t="str">
        <f>IF(SAISIE!H77="","",SAISIE!H77)</f>
        <v/>
      </c>
      <c r="H1077" s="63"/>
      <c r="I1077" s="63" t="str">
        <f>IF(SAISIE!$H77="","",SAISIE!$Q77)</f>
        <v/>
      </c>
      <c r="J1077" s="71" t="str">
        <f>IF(COUNTBLANK(SAISIE!$J$6:$M$6)=4,"",IF(SAISIE!H77="","",IF(SAISIE!J77&gt;0,SAISIE!$J$6,IF(SAISIE!K77&gt;0,SAISIE!$K$6,IF(SAISIE!L77&gt;0,SAISIE!$L$6,IF(SAISIE!M77&gt;0,SAISIE!$M$6,""))))))</f>
        <v/>
      </c>
      <c r="O1077" s="59" t="s">
        <v>52</v>
      </c>
    </row>
    <row r="1078" spans="1:15" x14ac:dyDescent="0.25">
      <c r="A1078" s="63" t="str">
        <f>IF(AND(G1078="",H1078=""),"SUPPR",SAISIE!$B$3)</f>
        <v>SUPPR</v>
      </c>
      <c r="B1078" s="63" t="str">
        <f>IF(SAISIE!I77="","",IF(LEN(SAISIE!B77)=1,CONCATENATE("0",SAISIE!B77,"/",SAISIE!$B$4,"/",SAISIE!$B$5),CONCATENATE(SAISIE!B77,"/",SAISIE!$B$4,"/",SAISIE!$B$5)))</f>
        <v/>
      </c>
      <c r="C1078" s="63" t="str">
        <f>IF(SAISIE!I77="","",SAISIE!$I$8)</f>
        <v/>
      </c>
      <c r="D1078" s="63" t="str">
        <f>IF(SAISIE!I77="","",SAISIE!E77)</f>
        <v/>
      </c>
      <c r="E1078" s="63" t="str">
        <f>IF(SAISIE!I77="","",SAISIE!F77)</f>
        <v/>
      </c>
      <c r="F1078" s="70" t="str">
        <f>IF(SAISIE!$I77="","",IF(SAISIE!$N77="","",SAISIE!$N77))</f>
        <v/>
      </c>
      <c r="G1078" s="63" t="str">
        <f>IF(SAISIE!I77="","",SAISIE!I77)</f>
        <v/>
      </c>
      <c r="H1078" s="63"/>
      <c r="I1078" s="63" t="str">
        <f>IF(SAISIE!$I77="","",SAISIE!$Q77)</f>
        <v/>
      </c>
      <c r="J1078" s="71" t="str">
        <f>IF(COUNTBLANK(SAISIE!$J$6:$M$6)=4,"",IF(SAISIE!I77="","",IF(SAISIE!J77&gt;0,SAISIE!$J$6,IF(SAISIE!K77&gt;0,SAISIE!$K$6,IF(SAISIE!L77&gt;0,SAISIE!$L$6,IF(SAISIE!M77&gt;0,SAISIE!$M$6,""))))))</f>
        <v/>
      </c>
      <c r="O1078" s="59" t="s">
        <v>53</v>
      </c>
    </row>
    <row r="1079" spans="1:15" x14ac:dyDescent="0.25">
      <c r="A1079" s="63" t="e">
        <f>IF(AND(G1079="",H1079=""),"SUPPR",SAISIE!$B$3)</f>
        <v>#REF!</v>
      </c>
      <c r="B1079" s="63" t="e">
        <f>IF(SAISIE!#REF!="","",IF(LEN(SAISIE!B77)=1,CONCATENATE("0",SAISIE!B77,"/",SAISIE!$B$4,"/",SAISIE!$B$5),CONCATENATE(SAISIE!B77,"/",SAISIE!$B$4,"/",SAISIE!$B$5)))</f>
        <v>#REF!</v>
      </c>
      <c r="C1079" s="63" t="e">
        <f>IF(SAISIE!#REF!="","",SAISIE!#REF!)</f>
        <v>#REF!</v>
      </c>
      <c r="D1079" s="63" t="e">
        <f>IF(SAISIE!#REF!="","",SAISIE!E77)</f>
        <v>#REF!</v>
      </c>
      <c r="E1079" s="63" t="e">
        <f>IF(SAISIE!#REF!="","",SAISIE!F77)</f>
        <v>#REF!</v>
      </c>
      <c r="F1079" s="70" t="e">
        <f>IF(SAISIE!#REF!="","",IF(SAISIE!$N77="","",SAISIE!$N77))</f>
        <v>#REF!</v>
      </c>
      <c r="G1079" s="63" t="e">
        <f>IF(SAISIE!#REF!="","",SAISIE!#REF!)</f>
        <v>#REF!</v>
      </c>
      <c r="H1079" s="63"/>
      <c r="I1079" s="63" t="e">
        <f>IF(SAISIE!#REF!="","",SAISIE!$Q77)</f>
        <v>#REF!</v>
      </c>
      <c r="J1079" s="71" t="str">
        <f>IF(COUNTBLANK(SAISIE!$J$6:$M$6)=4,"",IF(SAISIE!#REF!="","",IF(SAISIE!J77&gt;0,SAISIE!$J$6,IF(SAISIE!K77&gt;0,SAISIE!$K$6,IF(SAISIE!L77&gt;0,SAISIE!$L$6,IF(SAISIE!M77&gt;0,SAISIE!$M$6,""))))))</f>
        <v/>
      </c>
      <c r="O1079" s="59" t="s">
        <v>54</v>
      </c>
    </row>
    <row r="1080" spans="1:15" x14ac:dyDescent="0.25">
      <c r="A1080" s="63" t="e">
        <f>IF(AND(G1080="",H1080=""),"SUPPR",SAISIE!$B$3)</f>
        <v>#REF!</v>
      </c>
      <c r="B1080" s="63" t="e">
        <f>IF(SAISIE!#REF!="","",IF(LEN(SAISIE!B77)=1,CONCATENATE("0",SAISIE!B77,"/",SAISIE!$B$4,"/",SAISIE!$B$5),CONCATENATE(SAISIE!B77,"/",SAISIE!$B$4,"/",SAISIE!$B$5)))</f>
        <v>#REF!</v>
      </c>
      <c r="C1080" s="63" t="e">
        <f>IF(SAISIE!#REF!="","",SAISIE!#REF!)</f>
        <v>#REF!</v>
      </c>
      <c r="D1080" s="63" t="e">
        <f>IF(SAISIE!#REF!="","",SAISIE!E77)</f>
        <v>#REF!</v>
      </c>
      <c r="E1080" s="63" t="e">
        <f>IF(SAISIE!#REF!="","",SAISIE!F77)</f>
        <v>#REF!</v>
      </c>
      <c r="F1080" s="70" t="e">
        <f>IF(SAISIE!#REF!="","",IF(SAISIE!$N77="","",SAISIE!$N77))</f>
        <v>#REF!</v>
      </c>
      <c r="G1080" s="63" t="e">
        <f>IF(SAISIE!#REF!="","",SAISIE!#REF!)</f>
        <v>#REF!</v>
      </c>
      <c r="H1080" s="63"/>
      <c r="I1080" s="63" t="e">
        <f>IF(SAISIE!#REF!="","",SAISIE!$Q77)</f>
        <v>#REF!</v>
      </c>
      <c r="J1080" s="71" t="str">
        <f>IF(COUNTBLANK(SAISIE!$J$6:$M$6)=4,"",IF(SAISIE!#REF!="","",IF(SAISIE!J77&gt;0,SAISIE!$J$6,IF(SAISIE!K77&gt;0,SAISIE!$K$6,IF(SAISIE!L77&gt;0,SAISIE!$L$6,IF(SAISIE!M77&gt;0,SAISIE!$M$6,""))))))</f>
        <v/>
      </c>
      <c r="O1080" s="59" t="s">
        <v>55</v>
      </c>
    </row>
    <row r="1081" spans="1:15" x14ac:dyDescent="0.25">
      <c r="A1081" s="63" t="e">
        <f>IF(AND(G1081="",H1081=""),"SUPPR",SAISIE!$B$3)</f>
        <v>#REF!</v>
      </c>
      <c r="B1081" s="63" t="e">
        <f>IF(SAISIE!#REF!="","",IF(LEN(SAISIE!B77)=1,CONCATENATE("0",SAISIE!B77,"/",SAISIE!$B$4,"/",SAISIE!$B$5),CONCATENATE(SAISIE!B77,"/",SAISIE!$B$4,"/",SAISIE!$B$5)))</f>
        <v>#REF!</v>
      </c>
      <c r="C1081" s="63" t="e">
        <f>IF(SAISIE!#REF!="","",SAISIE!#REF!)</f>
        <v>#REF!</v>
      </c>
      <c r="D1081" s="63" t="e">
        <f>IF(SAISIE!#REF!="","",SAISIE!E77)</f>
        <v>#REF!</v>
      </c>
      <c r="E1081" s="63" t="e">
        <f>IF(SAISIE!#REF!="","",SAISIE!F77)</f>
        <v>#REF!</v>
      </c>
      <c r="F1081" s="70" t="e">
        <f>IF(SAISIE!#REF!="","",IF(SAISIE!$N77="","",SAISIE!$N77))</f>
        <v>#REF!</v>
      </c>
      <c r="G1081" s="63" t="e">
        <f>IF(SAISIE!#REF!="","",SAISIE!#REF!)</f>
        <v>#REF!</v>
      </c>
      <c r="H1081" s="63"/>
      <c r="I1081" s="63" t="e">
        <f>IF(SAISIE!#REF!="","",SAISIE!$Q77)</f>
        <v>#REF!</v>
      </c>
      <c r="J1081" s="71" t="str">
        <f>IF(COUNTBLANK(SAISIE!$J$6:$M$6)=4,"",IF(SAISIE!#REF!="","",IF(SAISIE!J77&gt;0,SAISIE!$J$6,IF(SAISIE!K77&gt;0,SAISIE!$K$6,IF(SAISIE!L77&gt;0,SAISIE!$L$6,IF(SAISIE!M77&gt;0,SAISIE!$M$6,""))))))</f>
        <v/>
      </c>
      <c r="O1081" s="59" t="s">
        <v>56</v>
      </c>
    </row>
    <row r="1082" spans="1:15" x14ac:dyDescent="0.25">
      <c r="A1082" s="63" t="e">
        <f>IF(AND(G1082="",H1082=""),"SUPPR",SAISIE!$B$3)</f>
        <v>#REF!</v>
      </c>
      <c r="B1082" s="63" t="e">
        <f>IF(SAISIE!#REF!="","",IF(LEN(SAISIE!B77)=1,CONCATENATE("0",SAISIE!B77,"/",SAISIE!$B$4,"/",SAISIE!$B$5),CONCATENATE(SAISIE!B77,"/",SAISIE!$B$4,"/",SAISIE!$B$5)))</f>
        <v>#REF!</v>
      </c>
      <c r="C1082" s="63" t="e">
        <f>IF(SAISIE!#REF!="","",SAISIE!#REF!)</f>
        <v>#REF!</v>
      </c>
      <c r="D1082" s="63" t="e">
        <f>IF(SAISIE!#REF!="","",SAISIE!E77)</f>
        <v>#REF!</v>
      </c>
      <c r="E1082" s="63" t="e">
        <f>IF(SAISIE!#REF!="","",SAISIE!F77)</f>
        <v>#REF!</v>
      </c>
      <c r="F1082" s="70" t="e">
        <f>IF(SAISIE!#REF!="","",IF(SAISIE!$N77="","",SAISIE!$N77))</f>
        <v>#REF!</v>
      </c>
      <c r="G1082" s="63" t="e">
        <f>IF(SAISIE!#REF!="","",SAISIE!#REF!)</f>
        <v>#REF!</v>
      </c>
      <c r="H1082" s="63"/>
      <c r="I1082" s="63" t="e">
        <f>IF(SAISIE!#REF!="","",SAISIE!$Q77)</f>
        <v>#REF!</v>
      </c>
      <c r="J1082" s="71" t="str">
        <f>IF(COUNTBLANK(SAISIE!$J$6:$M$6)=4,"",IF(SAISIE!#REF!="","",IF(SAISIE!J77&gt;0,SAISIE!$J$6,IF(SAISIE!K77&gt;0,SAISIE!$K$6,IF(SAISIE!L77&gt;0,SAISIE!$L$6,IF(SAISIE!M77&gt;0,SAISIE!$M$6,""))))))</f>
        <v/>
      </c>
      <c r="O1082" s="59" t="s">
        <v>57</v>
      </c>
    </row>
    <row r="1083" spans="1:15" x14ac:dyDescent="0.25">
      <c r="A1083" s="63" t="e">
        <f>IF(AND(G1083="",H1083=""),"SUPPR",SAISIE!$B$3)</f>
        <v>#REF!</v>
      </c>
      <c r="B1083" s="63" t="e">
        <f>IF(SAISIE!#REF!="","",IF(LEN(SAISIE!B77)=1,CONCATENATE("0",SAISIE!B77,"/",SAISIE!$B$4,"/",SAISIE!$B$5),CONCATENATE(SAISIE!B77,"/",SAISIE!$B$4,"/",SAISIE!$B$5)))</f>
        <v>#REF!</v>
      </c>
      <c r="C1083" s="63" t="e">
        <f>IF(SAISIE!#REF!="","",SAISIE!#REF!)</f>
        <v>#REF!</v>
      </c>
      <c r="D1083" s="63" t="e">
        <f>IF(SAISIE!#REF!="","",SAISIE!E77)</f>
        <v>#REF!</v>
      </c>
      <c r="E1083" s="63" t="e">
        <f>IF(SAISIE!#REF!="","",SAISIE!F77)</f>
        <v>#REF!</v>
      </c>
      <c r="F1083" s="70" t="e">
        <f>IF(SAISIE!#REF!="","",IF(SAISIE!$N77="","",SAISIE!$N77))</f>
        <v>#REF!</v>
      </c>
      <c r="G1083" s="63" t="e">
        <f>IF(SAISIE!#REF!="","",SAISIE!#REF!)</f>
        <v>#REF!</v>
      </c>
      <c r="H1083" s="63"/>
      <c r="I1083" s="63" t="e">
        <f>IF(SAISIE!#REF!="","",SAISIE!$Q77)</f>
        <v>#REF!</v>
      </c>
      <c r="J1083" s="71" t="str">
        <f>IF(COUNTBLANK(SAISIE!$J$6:$M$6)=4,"",IF(SAISIE!#REF!="","",IF(SAISIE!J77&gt;0,SAISIE!$J$6,IF(SAISIE!K77&gt;0,SAISIE!$K$6,IF(SAISIE!L77&gt;0,SAISIE!$L$6,IF(SAISIE!M77&gt;0,SAISIE!$M$6,""))))))</f>
        <v/>
      </c>
      <c r="O1083" s="59" t="s">
        <v>58</v>
      </c>
    </row>
    <row r="1084" spans="1:15" x14ac:dyDescent="0.25">
      <c r="A1084" s="63" t="e">
        <f>IF(AND(G1084="",H1084=""),"SUPPR",SAISIE!$B$3)</f>
        <v>#REF!</v>
      </c>
      <c r="B1084" s="63" t="e">
        <f>IF(SAISIE!#REF!="","",IF(LEN(SAISIE!B77)=1,CONCATENATE("0",SAISIE!B77,"/",SAISIE!$B$4,"/",SAISIE!$B$5),CONCATENATE(SAISIE!B77,"/",SAISIE!$B$4,"/",SAISIE!$B$5)))</f>
        <v>#REF!</v>
      </c>
      <c r="C1084" s="63" t="e">
        <f>IF(SAISIE!#REF!="","",SAISIE!#REF!)</f>
        <v>#REF!</v>
      </c>
      <c r="D1084" s="63" t="e">
        <f>IF(SAISIE!#REF!="","",SAISIE!E77)</f>
        <v>#REF!</v>
      </c>
      <c r="E1084" s="63" t="e">
        <f>IF(SAISIE!#REF!="","",SAISIE!F77)</f>
        <v>#REF!</v>
      </c>
      <c r="F1084" s="70" t="e">
        <f>IF(SAISIE!#REF!="","",IF(SAISIE!$N77="","",SAISIE!$N77))</f>
        <v>#REF!</v>
      </c>
      <c r="G1084" s="63" t="e">
        <f>IF(SAISIE!#REF!="","",SAISIE!#REF!)</f>
        <v>#REF!</v>
      </c>
      <c r="H1084" s="63"/>
      <c r="I1084" s="63" t="e">
        <f>IF(SAISIE!#REF!="","",SAISIE!$Q77)</f>
        <v>#REF!</v>
      </c>
      <c r="J1084" s="71" t="str">
        <f>IF(COUNTBLANK(SAISIE!$J$6:$M$6)=4,"",IF(SAISIE!#REF!="","",IF(SAISIE!J77&gt;0,SAISIE!$J$6,IF(SAISIE!K77&gt;0,SAISIE!$K$6,IF(SAISIE!L77&gt;0,SAISIE!$L$6,IF(SAISIE!M77&gt;0,SAISIE!$M$6,""))))))</f>
        <v/>
      </c>
      <c r="O1084" s="59" t="s">
        <v>59</v>
      </c>
    </row>
    <row r="1085" spans="1:15" x14ac:dyDescent="0.25">
      <c r="A1085" s="63" t="e">
        <f>IF(AND(G1085="",H1085=""),"SUPPR",SAISIE!$B$3)</f>
        <v>#REF!</v>
      </c>
      <c r="B1085" s="63" t="e">
        <f>IF(SAISIE!#REF!="","",IF(LEN(SAISIE!B77)=1,CONCATENATE("0",SAISIE!B77,"/",SAISIE!$B$4,"/",SAISIE!$B$5),CONCATENATE(SAISIE!B77,"/",SAISIE!$B$4,"/",SAISIE!$B$5)))</f>
        <v>#REF!</v>
      </c>
      <c r="C1085" s="63" t="e">
        <f>IF(SAISIE!#REF!="","",SAISIE!#REF!)</f>
        <v>#REF!</v>
      </c>
      <c r="D1085" s="63" t="e">
        <f>IF(SAISIE!#REF!="","",SAISIE!E77)</f>
        <v>#REF!</v>
      </c>
      <c r="E1085" s="63" t="e">
        <f>IF(SAISIE!#REF!="","",SAISIE!F77)</f>
        <v>#REF!</v>
      </c>
      <c r="F1085" s="70" t="e">
        <f>IF(SAISIE!#REF!="","",IF(SAISIE!$N77="","",SAISIE!$N77))</f>
        <v>#REF!</v>
      </c>
      <c r="G1085" s="63" t="e">
        <f>IF(SAISIE!#REF!="","",SAISIE!#REF!)</f>
        <v>#REF!</v>
      </c>
      <c r="H1085" s="63"/>
      <c r="I1085" s="63" t="e">
        <f>IF(SAISIE!#REF!="","",SAISIE!$Q77)</f>
        <v>#REF!</v>
      </c>
      <c r="J1085" s="71" t="str">
        <f>IF(COUNTBLANK(SAISIE!$J$6:$M$6)=4,"",IF(SAISIE!#REF!="","",IF(SAISIE!J77&gt;0,SAISIE!$J$6,IF(SAISIE!K77&gt;0,SAISIE!$K$6,IF(SAISIE!L77&gt;0,SAISIE!$L$6,IF(SAISIE!M77&gt;0,SAISIE!$M$6,""))))))</f>
        <v/>
      </c>
      <c r="O1085" s="59" t="s">
        <v>60</v>
      </c>
    </row>
    <row r="1086" spans="1:15" x14ac:dyDescent="0.25">
      <c r="A1086" s="63" t="str">
        <f>IF(AND(G1086="",H1086=""),"SUPPR",SAISIE!$B$3)</f>
        <v>SUPPR</v>
      </c>
      <c r="B1086" s="63" t="str">
        <f>IF(SAISIE!J77="","",IF(LEN(SAISIE!B77)=1,CONCATENATE("0",SAISIE!B77,"/",SAISIE!$B$4,"/",SAISIE!$B$5),CONCATENATE(SAISIE!B77,"/",SAISIE!$B$4,"/",SAISIE!$B$5)))</f>
        <v/>
      </c>
      <c r="C1086" s="63" t="str">
        <f>IF(SAISIE!J77="","",SAISIE!$J$8)</f>
        <v/>
      </c>
      <c r="D1086" s="63" t="str">
        <f>IF(SAISIE!J77="","",SAISIE!E77)</f>
        <v/>
      </c>
      <c r="E1086" s="63" t="str">
        <f>IF(SAISIE!J77="","",SAISIE!F77)</f>
        <v/>
      </c>
      <c r="F1086" s="70" t="str">
        <f>IF(SAISIE!$J77="","",IF(SAISIE!$N77="","",SAISIE!$N77))</f>
        <v/>
      </c>
      <c r="G1086" s="63" t="str">
        <f>IF(SAISIE!J77="","",SAISIE!J77)</f>
        <v/>
      </c>
      <c r="H1086" s="63"/>
      <c r="I1086" s="72"/>
      <c r="J1086" s="71"/>
      <c r="O1086" s="73"/>
    </row>
    <row r="1087" spans="1:15" x14ac:dyDescent="0.25">
      <c r="A1087" s="63" t="str">
        <f>IF(AND(G1087="",H1087=""),"SUPPR",SAISIE!$B$3)</f>
        <v>SUPPR</v>
      </c>
      <c r="B1087" s="63" t="str">
        <f>IF(SAISIE!K77="","",IF(LEN(SAISIE!B77)=1,CONCATENATE("0",SAISIE!B77,"/",SAISIE!$B$4,"/",SAISIE!$B$5),CONCATENATE(SAISIE!B77,"/",SAISIE!$B$4,"/",SAISIE!$B$5)))</f>
        <v/>
      </c>
      <c r="C1087" s="63" t="str">
        <f>IF(SAISIE!K77="","",SAISIE!$K$8)</f>
        <v/>
      </c>
      <c r="D1087" s="63" t="str">
        <f>IF(SAISIE!K77="","",SAISIE!E77)</f>
        <v/>
      </c>
      <c r="E1087" s="63" t="str">
        <f>IF(SAISIE!K77="","",SAISIE!F77)</f>
        <v/>
      </c>
      <c r="F1087" s="70" t="str">
        <f>IF(SAISIE!$K77="","",IF(SAISIE!$N77="","",SAISIE!$N77))</f>
        <v/>
      </c>
      <c r="G1087" s="63" t="str">
        <f>IF(SAISIE!K77="","",SAISIE!K77)</f>
        <v/>
      </c>
      <c r="H1087" s="63"/>
      <c r="I1087" s="72"/>
      <c r="J1087" s="71"/>
    </row>
    <row r="1088" spans="1:15" x14ac:dyDescent="0.25">
      <c r="A1088" s="63" t="str">
        <f>IF(AND(G1088="",H1088=""),"SUPPR",SAISIE!$B$3)</f>
        <v>SUPPR</v>
      </c>
      <c r="B1088" s="63" t="str">
        <f>IF(SAISIE!L77="","",IF(LEN(SAISIE!B77)=1,CONCATENATE("0",SAISIE!B77,"/",SAISIE!$B$4,"/",SAISIE!$B$5),CONCATENATE(SAISIE!B77,"/",SAISIE!$B$4,"/",SAISIE!$B$5)))</f>
        <v/>
      </c>
      <c r="C1088" s="63" t="str">
        <f>IF(SAISIE!L77="","",SAISIE!$L$8)</f>
        <v/>
      </c>
      <c r="D1088" s="63" t="str">
        <f>IF(SAISIE!L77="","",SAISIE!E77)</f>
        <v/>
      </c>
      <c r="E1088" s="63" t="str">
        <f>IF(SAISIE!L77="","",SAISIE!F77)</f>
        <v/>
      </c>
      <c r="F1088" s="70" t="str">
        <f>IF(SAISIE!$L77="","",IF(SAISIE!$N77="","",SAISIE!$N77))</f>
        <v/>
      </c>
      <c r="G1088" s="63" t="str">
        <f>IF(SAISIE!L77="","",SAISIE!L77)</f>
        <v/>
      </c>
      <c r="H1088" s="63"/>
      <c r="I1088" s="72"/>
      <c r="J1088" s="71"/>
    </row>
    <row r="1089" spans="1:15" x14ac:dyDescent="0.25">
      <c r="A1089" s="63" t="str">
        <f>IF(AND(G1089="",H1089=""),"SUPPR",SAISIE!$B$3)</f>
        <v>SUPPR</v>
      </c>
      <c r="B1089" s="63" t="str">
        <f>IF(SAISIE!M77="","",IF(LEN(SAISIE!B77)=1,CONCATENATE("0",SAISIE!B77,"/",SAISIE!$B$4,"/",SAISIE!$B$5),CONCATENATE(SAISIE!B77,"/",SAISIE!$B$4,"/",SAISIE!$B$5)))</f>
        <v/>
      </c>
      <c r="C1089" s="74" t="str">
        <f>IF(SAISIE!M77="","",SAISIE!$M$8)</f>
        <v/>
      </c>
      <c r="D1089" s="74" t="str">
        <f>IF(SAISIE!M77="","",SAISIE!E77)</f>
        <v/>
      </c>
      <c r="E1089" s="74" t="str">
        <f>IF(SAISIE!M77="","",SAISIE!F77)</f>
        <v/>
      </c>
      <c r="F1089" s="75" t="str">
        <f>IF(SAISIE!$M77="","",IF(SAISIE!$N77="","",SAISIE!$N77))</f>
        <v/>
      </c>
      <c r="G1089" s="74" t="str">
        <f>IF(SAISIE!M77="","",SAISIE!M77)</f>
        <v/>
      </c>
      <c r="H1089" s="76"/>
      <c r="I1089" s="77"/>
      <c r="J1089" s="78"/>
    </row>
    <row r="1090" spans="1:15" x14ac:dyDescent="0.25">
      <c r="A1090" s="63" t="str">
        <f>IF(AND(G1090="",H1090=""),"SUPPR",SAISIE!$B$3)</f>
        <v>SUPPR</v>
      </c>
      <c r="B1090" s="64" t="str">
        <f>IF(SAISIE!B78="","",IF(LEN(SAISIE!B78)=1,CONCATENATE("0",SAISIE!B78,"/",SAISIE!$B$4,"/",SAISIE!$B$5),CONCATENATE(SAISIE!B78,"/",SAISIE!$B$4,"/",SAISIE!$B$5)))</f>
        <v/>
      </c>
      <c r="C1090" s="64" t="str">
        <f>IF(SAISIE!B78="","",CONCATENATE($M$2,SAISIE!C78))</f>
        <v/>
      </c>
      <c r="D1090" s="64" t="str">
        <f>IF(SAISIE!B78="","",SAISIE!E78)</f>
        <v/>
      </c>
      <c r="E1090" s="64" t="str">
        <f>IF(SAISIE!B78="","",SAISIE!F78)</f>
        <v/>
      </c>
      <c r="F1090" s="65" t="str">
        <f>IF(A1090="SUPPR","",IF(SAISIE!$N78="","",SAISIE!$N78))</f>
        <v/>
      </c>
      <c r="G1090" s="64"/>
      <c r="H1090" s="64" t="str">
        <f>IF(SAISIE!B78="","",SAISIE!D78)</f>
        <v/>
      </c>
      <c r="I1090" s="66"/>
      <c r="J1090" s="67" t="str">
        <f>IF(AZ78="","","")</f>
        <v/>
      </c>
      <c r="O1090" s="69">
        <f>O1074+1</f>
        <v>78</v>
      </c>
    </row>
    <row r="1091" spans="1:15" x14ac:dyDescent="0.25">
      <c r="A1091" s="63" t="str">
        <f>IF(AND(G1091="",H1091=""),"SUPPR",SAISIE!$B$3)</f>
        <v>SUPPR</v>
      </c>
      <c r="B1091" s="63" t="str">
        <f>IF(SAISIE!P78="","",IF(LEN(SAISIE!B78)=1,CONCATENATE("0",SAISIE!B78,"/",SAISIE!$B$4,"/",SAISIE!$B$5),CONCATENATE(SAISIE!B78,"/",SAISIE!$B$4,"/",SAISIE!$B$5)))</f>
        <v/>
      </c>
      <c r="C1091" s="63" t="str">
        <f>IF(SAISIE!P78="","",SAISIE!O78)</f>
        <v/>
      </c>
      <c r="D1091" s="63" t="str">
        <f>IF(SAISIE!P78="","",SAISIE!E78)</f>
        <v/>
      </c>
      <c r="E1091" s="63" t="str">
        <f>IF(SAISIE!P78="","",SAISIE!F78)</f>
        <v/>
      </c>
      <c r="F1091" s="70" t="str">
        <f>IF(SAISIE!$P78="","",IF(SAISIE!$N78="","",SAISIE!$N78))</f>
        <v/>
      </c>
      <c r="G1091" s="63" t="str">
        <f>IF(SAISIE!P78="","",SAISIE!P78)</f>
        <v/>
      </c>
      <c r="H1091" s="63"/>
      <c r="I1091" s="63" t="str">
        <f>IF(SAISIE!$P78="","",SAISIE!$Q78)</f>
        <v/>
      </c>
      <c r="J1091" s="71" t="str">
        <f>IF(COUNTBLANK(SAISIE!$J$6:$M$6)=4,"",IF(SAISIE!P78="","",IF(SAISIE!J78&gt;0,SAISIE!$J$6,IF(SAISIE!K78&gt;0,SAISIE!$K$6,IF(SAISIE!L78&gt;0,SAISIE!$L$6,IF(SAISIE!M78&gt;0,SAISIE!$M$6,""))))))</f>
        <v/>
      </c>
      <c r="O1091" s="59" t="s">
        <v>50</v>
      </c>
    </row>
    <row r="1092" spans="1:15" x14ac:dyDescent="0.25">
      <c r="A1092" s="63" t="str">
        <f>IF(AND(G1092="",H1092=""),"SUPPR",SAISIE!$B$3)</f>
        <v>SUPPR</v>
      </c>
      <c r="B1092" s="63" t="str">
        <f>IF(SAISIE!G78="","",IF(LEN(SAISIE!B78)=1,CONCATENATE("0",SAISIE!B78,"/",SAISIE!$B$4,"/",SAISIE!$B$5),CONCATENATE(SAISIE!B78,"/",SAISIE!$B$4,"/",SAISIE!$B$5)))</f>
        <v/>
      </c>
      <c r="C1092" s="63" t="str">
        <f>IF(SAISIE!G78="","",SAISIE!$G$8)</f>
        <v/>
      </c>
      <c r="D1092" s="63" t="str">
        <f>IF(SAISIE!G78="","",SAISIE!E78)</f>
        <v/>
      </c>
      <c r="E1092" s="63" t="str">
        <f>IF(SAISIE!G78="","",SAISIE!F78)</f>
        <v/>
      </c>
      <c r="F1092" s="70" t="str">
        <f>IF(SAISIE!$G78="","",IF(SAISIE!$N78="","",SAISIE!$N78))</f>
        <v/>
      </c>
      <c r="G1092" s="63" t="str">
        <f>IF(SAISIE!G78="","",SAISIE!G78)</f>
        <v/>
      </c>
      <c r="H1092" s="63"/>
      <c r="I1092" s="63" t="str">
        <f>IF(SAISIE!$G78="","",SAISIE!$Q78)</f>
        <v/>
      </c>
      <c r="J1092" s="71" t="str">
        <f>IF(COUNTBLANK(SAISIE!$J$6:$M$6)=4,"",IF(SAISIE!G78="","",IF(SAISIE!J78&gt;0,SAISIE!$J$6,IF(SAISIE!K78&gt;0,SAISIE!$K$6,IF(SAISIE!L78&gt;0,SAISIE!$L$6,IF(SAISIE!M78&gt;0,SAISIE!$M$6,""))))))</f>
        <v/>
      </c>
      <c r="O1092" s="59" t="s">
        <v>51</v>
      </c>
    </row>
    <row r="1093" spans="1:15" x14ac:dyDescent="0.25">
      <c r="A1093" s="63" t="str">
        <f>IF(AND(G1093="",H1093=""),"SUPPR",SAISIE!$B$3)</f>
        <v>SUPPR</v>
      </c>
      <c r="B1093" s="63" t="str">
        <f>IF(SAISIE!H78="","",IF(LEN(SAISIE!B78)=1,CONCATENATE("0",SAISIE!B78,"/",SAISIE!$B$4,"/",SAISIE!$B$5),CONCATENATE(SAISIE!B78,"/",SAISIE!$B$4,"/",SAISIE!$B$5)))</f>
        <v/>
      </c>
      <c r="C1093" s="63" t="str">
        <f>IF(SAISIE!H78="","",SAISIE!$H$8)</f>
        <v/>
      </c>
      <c r="D1093" s="63" t="str">
        <f>IF(SAISIE!H78="","",SAISIE!E78)</f>
        <v/>
      </c>
      <c r="E1093" s="63" t="str">
        <f>IF(SAISIE!H78="","",SAISIE!F78)</f>
        <v/>
      </c>
      <c r="F1093" s="70" t="str">
        <f>IF(SAISIE!$H78="","",IF(SAISIE!$N78="","",SAISIE!$N78))</f>
        <v/>
      </c>
      <c r="G1093" s="63" t="str">
        <f>IF(SAISIE!H78="","",SAISIE!H78)</f>
        <v/>
      </c>
      <c r="H1093" s="63"/>
      <c r="I1093" s="63" t="str">
        <f>IF(SAISIE!$H78="","",SAISIE!$Q78)</f>
        <v/>
      </c>
      <c r="J1093" s="71" t="str">
        <f>IF(COUNTBLANK(SAISIE!$J$6:$M$6)=4,"",IF(SAISIE!H78="","",IF(SAISIE!J78&gt;0,SAISIE!$J$6,IF(SAISIE!K78&gt;0,SAISIE!$K$6,IF(SAISIE!L78&gt;0,SAISIE!$L$6,IF(SAISIE!M78&gt;0,SAISIE!$M$6,""))))))</f>
        <v/>
      </c>
      <c r="O1093" s="59" t="s">
        <v>52</v>
      </c>
    </row>
    <row r="1094" spans="1:15" x14ac:dyDescent="0.25">
      <c r="A1094" s="63" t="str">
        <f>IF(AND(G1094="",H1094=""),"SUPPR",SAISIE!$B$3)</f>
        <v>SUPPR</v>
      </c>
      <c r="B1094" s="63" t="str">
        <f>IF(SAISIE!I78="","",IF(LEN(SAISIE!B78)=1,CONCATENATE("0",SAISIE!B78,"/",SAISIE!$B$4,"/",SAISIE!$B$5),CONCATENATE(SAISIE!B78,"/",SAISIE!$B$4,"/",SAISIE!$B$5)))</f>
        <v/>
      </c>
      <c r="C1094" s="63" t="str">
        <f>IF(SAISIE!I78="","",SAISIE!$I$8)</f>
        <v/>
      </c>
      <c r="D1094" s="63" t="str">
        <f>IF(SAISIE!I78="","",SAISIE!E78)</f>
        <v/>
      </c>
      <c r="E1094" s="63" t="str">
        <f>IF(SAISIE!I78="","",SAISIE!F78)</f>
        <v/>
      </c>
      <c r="F1094" s="70" t="str">
        <f>IF(SAISIE!$I78="","",IF(SAISIE!$N78="","",SAISIE!$N78))</f>
        <v/>
      </c>
      <c r="G1094" s="63" t="str">
        <f>IF(SAISIE!I78="","",SAISIE!I78)</f>
        <v/>
      </c>
      <c r="H1094" s="63"/>
      <c r="I1094" s="63" t="str">
        <f>IF(SAISIE!$I78="","",SAISIE!$Q78)</f>
        <v/>
      </c>
      <c r="J1094" s="71" t="str">
        <f>IF(COUNTBLANK(SAISIE!$J$6:$M$6)=4,"",IF(SAISIE!I78="","",IF(SAISIE!J78&gt;0,SAISIE!$J$6,IF(SAISIE!K78&gt;0,SAISIE!$K$6,IF(SAISIE!L78&gt;0,SAISIE!$L$6,IF(SAISIE!M78&gt;0,SAISIE!$M$6,""))))))</f>
        <v/>
      </c>
      <c r="O1094" s="59" t="s">
        <v>53</v>
      </c>
    </row>
    <row r="1095" spans="1:15" x14ac:dyDescent="0.25">
      <c r="A1095" s="63" t="e">
        <f>IF(AND(G1095="",H1095=""),"SUPPR",SAISIE!$B$3)</f>
        <v>#REF!</v>
      </c>
      <c r="B1095" s="63" t="e">
        <f>IF(SAISIE!#REF!="","",IF(LEN(SAISIE!B78)=1,CONCATENATE("0",SAISIE!B78,"/",SAISIE!$B$4,"/",SAISIE!$B$5),CONCATENATE(SAISIE!B78,"/",SAISIE!$B$4,"/",SAISIE!$B$5)))</f>
        <v>#REF!</v>
      </c>
      <c r="C1095" s="63" t="e">
        <f>IF(SAISIE!#REF!="","",SAISIE!#REF!)</f>
        <v>#REF!</v>
      </c>
      <c r="D1095" s="63" t="e">
        <f>IF(SAISIE!#REF!="","",SAISIE!E78)</f>
        <v>#REF!</v>
      </c>
      <c r="E1095" s="63" t="e">
        <f>IF(SAISIE!#REF!="","",SAISIE!F78)</f>
        <v>#REF!</v>
      </c>
      <c r="F1095" s="70" t="e">
        <f>IF(SAISIE!#REF!="","",IF(SAISIE!$N78="","",SAISIE!$N78))</f>
        <v>#REF!</v>
      </c>
      <c r="G1095" s="63" t="e">
        <f>IF(SAISIE!#REF!="","",SAISIE!#REF!)</f>
        <v>#REF!</v>
      </c>
      <c r="H1095" s="63"/>
      <c r="I1095" s="63" t="e">
        <f>IF(SAISIE!#REF!="","",SAISIE!$Q78)</f>
        <v>#REF!</v>
      </c>
      <c r="J1095" s="71" t="str">
        <f>IF(COUNTBLANK(SAISIE!$J$6:$M$6)=4,"",IF(SAISIE!#REF!="","",IF(SAISIE!J78&gt;0,SAISIE!$J$6,IF(SAISIE!K78&gt;0,SAISIE!$K$6,IF(SAISIE!L78&gt;0,SAISIE!$L$6,IF(SAISIE!M78&gt;0,SAISIE!$M$6,""))))))</f>
        <v/>
      </c>
      <c r="O1095" s="59" t="s">
        <v>54</v>
      </c>
    </row>
    <row r="1096" spans="1:15" x14ac:dyDescent="0.25">
      <c r="A1096" s="63" t="e">
        <f>IF(AND(G1096="",H1096=""),"SUPPR",SAISIE!$B$3)</f>
        <v>#REF!</v>
      </c>
      <c r="B1096" s="63" t="e">
        <f>IF(SAISIE!#REF!="","",IF(LEN(SAISIE!B78)=1,CONCATENATE("0",SAISIE!B78,"/",SAISIE!$B$4,"/",SAISIE!$B$5),CONCATENATE(SAISIE!B78,"/",SAISIE!$B$4,"/",SAISIE!$B$5)))</f>
        <v>#REF!</v>
      </c>
      <c r="C1096" s="63" t="e">
        <f>IF(SAISIE!#REF!="","",SAISIE!#REF!)</f>
        <v>#REF!</v>
      </c>
      <c r="D1096" s="63" t="e">
        <f>IF(SAISIE!#REF!="","",SAISIE!E78)</f>
        <v>#REF!</v>
      </c>
      <c r="E1096" s="63" t="e">
        <f>IF(SAISIE!#REF!="","",SAISIE!F78)</f>
        <v>#REF!</v>
      </c>
      <c r="F1096" s="70" t="e">
        <f>IF(SAISIE!#REF!="","",IF(SAISIE!$N78="","",SAISIE!$N78))</f>
        <v>#REF!</v>
      </c>
      <c r="G1096" s="63" t="e">
        <f>IF(SAISIE!#REF!="","",SAISIE!#REF!)</f>
        <v>#REF!</v>
      </c>
      <c r="H1096" s="63"/>
      <c r="I1096" s="63" t="e">
        <f>IF(SAISIE!#REF!="","",SAISIE!$Q78)</f>
        <v>#REF!</v>
      </c>
      <c r="J1096" s="71" t="str">
        <f>IF(COUNTBLANK(SAISIE!$J$6:$M$6)=4,"",IF(SAISIE!#REF!="","",IF(SAISIE!J78&gt;0,SAISIE!$J$6,IF(SAISIE!K78&gt;0,SAISIE!$K$6,IF(SAISIE!L78&gt;0,SAISIE!$L$6,IF(SAISIE!M78&gt;0,SAISIE!$M$6,""))))))</f>
        <v/>
      </c>
      <c r="O1096" s="59" t="s">
        <v>55</v>
      </c>
    </row>
    <row r="1097" spans="1:15" x14ac:dyDescent="0.25">
      <c r="A1097" s="63" t="e">
        <f>IF(AND(G1097="",H1097=""),"SUPPR",SAISIE!$B$3)</f>
        <v>#REF!</v>
      </c>
      <c r="B1097" s="63" t="e">
        <f>IF(SAISIE!#REF!="","",IF(LEN(SAISIE!B78)=1,CONCATENATE("0",SAISIE!B78,"/",SAISIE!$B$4,"/",SAISIE!$B$5),CONCATENATE(SAISIE!B78,"/",SAISIE!$B$4,"/",SAISIE!$B$5)))</f>
        <v>#REF!</v>
      </c>
      <c r="C1097" s="63" t="e">
        <f>IF(SAISIE!#REF!="","",SAISIE!#REF!)</f>
        <v>#REF!</v>
      </c>
      <c r="D1097" s="63" t="e">
        <f>IF(SAISIE!#REF!="","",SAISIE!E78)</f>
        <v>#REF!</v>
      </c>
      <c r="E1097" s="63" t="e">
        <f>IF(SAISIE!#REF!="","",SAISIE!F78)</f>
        <v>#REF!</v>
      </c>
      <c r="F1097" s="70" t="e">
        <f>IF(SAISIE!#REF!="","",IF(SAISIE!$N78="","",SAISIE!$N78))</f>
        <v>#REF!</v>
      </c>
      <c r="G1097" s="63" t="e">
        <f>IF(SAISIE!#REF!="","",SAISIE!#REF!)</f>
        <v>#REF!</v>
      </c>
      <c r="H1097" s="63"/>
      <c r="I1097" s="63" t="e">
        <f>IF(SAISIE!#REF!="","",SAISIE!$Q78)</f>
        <v>#REF!</v>
      </c>
      <c r="J1097" s="71" t="str">
        <f>IF(COUNTBLANK(SAISIE!$J$6:$M$6)=4,"",IF(SAISIE!#REF!="","",IF(SAISIE!J78&gt;0,SAISIE!$J$6,IF(SAISIE!K78&gt;0,SAISIE!$K$6,IF(SAISIE!L78&gt;0,SAISIE!$L$6,IF(SAISIE!M78&gt;0,SAISIE!$M$6,""))))))</f>
        <v/>
      </c>
      <c r="O1097" s="59" t="s">
        <v>56</v>
      </c>
    </row>
    <row r="1098" spans="1:15" x14ac:dyDescent="0.25">
      <c r="A1098" s="63" t="e">
        <f>IF(AND(G1098="",H1098=""),"SUPPR",SAISIE!$B$3)</f>
        <v>#REF!</v>
      </c>
      <c r="B1098" s="63" t="e">
        <f>IF(SAISIE!#REF!="","",IF(LEN(SAISIE!B78)=1,CONCATENATE("0",SAISIE!B78,"/",SAISIE!$B$4,"/",SAISIE!$B$5),CONCATENATE(SAISIE!B78,"/",SAISIE!$B$4,"/",SAISIE!$B$5)))</f>
        <v>#REF!</v>
      </c>
      <c r="C1098" s="63" t="e">
        <f>IF(SAISIE!#REF!="","",SAISIE!#REF!)</f>
        <v>#REF!</v>
      </c>
      <c r="D1098" s="63" t="e">
        <f>IF(SAISIE!#REF!="","",SAISIE!E78)</f>
        <v>#REF!</v>
      </c>
      <c r="E1098" s="63" t="e">
        <f>IF(SAISIE!#REF!="","",SAISIE!F78)</f>
        <v>#REF!</v>
      </c>
      <c r="F1098" s="70" t="e">
        <f>IF(SAISIE!#REF!="","",IF(SAISIE!$N78="","",SAISIE!$N78))</f>
        <v>#REF!</v>
      </c>
      <c r="G1098" s="63" t="e">
        <f>IF(SAISIE!#REF!="","",SAISIE!#REF!)</f>
        <v>#REF!</v>
      </c>
      <c r="H1098" s="63"/>
      <c r="I1098" s="63" t="e">
        <f>IF(SAISIE!#REF!="","",SAISIE!$Q78)</f>
        <v>#REF!</v>
      </c>
      <c r="J1098" s="71" t="str">
        <f>IF(COUNTBLANK(SAISIE!$J$6:$M$6)=4,"",IF(SAISIE!#REF!="","",IF(SAISIE!J78&gt;0,SAISIE!$J$6,IF(SAISIE!K78&gt;0,SAISIE!$K$6,IF(SAISIE!L78&gt;0,SAISIE!$L$6,IF(SAISIE!M78&gt;0,SAISIE!$M$6,""))))))</f>
        <v/>
      </c>
      <c r="O1098" s="59" t="s">
        <v>57</v>
      </c>
    </row>
    <row r="1099" spans="1:15" x14ac:dyDescent="0.25">
      <c r="A1099" s="63" t="e">
        <f>IF(AND(G1099="",H1099=""),"SUPPR",SAISIE!$B$3)</f>
        <v>#REF!</v>
      </c>
      <c r="B1099" s="63" t="e">
        <f>IF(SAISIE!#REF!="","",IF(LEN(SAISIE!B78)=1,CONCATENATE("0",SAISIE!B78,"/",SAISIE!$B$4,"/",SAISIE!$B$5),CONCATENATE(SAISIE!B78,"/",SAISIE!$B$4,"/",SAISIE!$B$5)))</f>
        <v>#REF!</v>
      </c>
      <c r="C1099" s="63" t="e">
        <f>IF(SAISIE!#REF!="","",SAISIE!#REF!)</f>
        <v>#REF!</v>
      </c>
      <c r="D1099" s="63" t="e">
        <f>IF(SAISIE!#REF!="","",SAISIE!E78)</f>
        <v>#REF!</v>
      </c>
      <c r="E1099" s="63" t="e">
        <f>IF(SAISIE!#REF!="","",SAISIE!F78)</f>
        <v>#REF!</v>
      </c>
      <c r="F1099" s="70" t="e">
        <f>IF(SAISIE!#REF!="","",IF(SAISIE!$N78="","",SAISIE!$N78))</f>
        <v>#REF!</v>
      </c>
      <c r="G1099" s="63" t="e">
        <f>IF(SAISIE!#REF!="","",SAISIE!#REF!)</f>
        <v>#REF!</v>
      </c>
      <c r="H1099" s="63"/>
      <c r="I1099" s="63" t="e">
        <f>IF(SAISIE!#REF!="","",SAISIE!$Q78)</f>
        <v>#REF!</v>
      </c>
      <c r="J1099" s="71" t="str">
        <f>IF(COUNTBLANK(SAISIE!$J$6:$M$6)=4,"",IF(SAISIE!#REF!="","",IF(SAISIE!J78&gt;0,SAISIE!$J$6,IF(SAISIE!K78&gt;0,SAISIE!$K$6,IF(SAISIE!L78&gt;0,SAISIE!$L$6,IF(SAISIE!M78&gt;0,SAISIE!$M$6,""))))))</f>
        <v/>
      </c>
      <c r="O1099" s="59" t="s">
        <v>58</v>
      </c>
    </row>
    <row r="1100" spans="1:15" x14ac:dyDescent="0.25">
      <c r="A1100" s="63" t="e">
        <f>IF(AND(G1100="",H1100=""),"SUPPR",SAISIE!$B$3)</f>
        <v>#REF!</v>
      </c>
      <c r="B1100" s="63" t="e">
        <f>IF(SAISIE!#REF!="","",IF(LEN(SAISIE!B78)=1,CONCATENATE("0",SAISIE!B78,"/",SAISIE!$B$4,"/",SAISIE!$B$5),CONCATENATE(SAISIE!B78,"/",SAISIE!$B$4,"/",SAISIE!$B$5)))</f>
        <v>#REF!</v>
      </c>
      <c r="C1100" s="63" t="e">
        <f>IF(SAISIE!#REF!="","",SAISIE!#REF!)</f>
        <v>#REF!</v>
      </c>
      <c r="D1100" s="63" t="e">
        <f>IF(SAISIE!#REF!="","",SAISIE!E78)</f>
        <v>#REF!</v>
      </c>
      <c r="E1100" s="63" t="e">
        <f>IF(SAISIE!#REF!="","",SAISIE!F78)</f>
        <v>#REF!</v>
      </c>
      <c r="F1100" s="70" t="e">
        <f>IF(SAISIE!#REF!="","",IF(SAISIE!$N78="","",SAISIE!$N78))</f>
        <v>#REF!</v>
      </c>
      <c r="G1100" s="63" t="e">
        <f>IF(SAISIE!#REF!="","",SAISIE!#REF!)</f>
        <v>#REF!</v>
      </c>
      <c r="H1100" s="63"/>
      <c r="I1100" s="63" t="e">
        <f>IF(SAISIE!#REF!="","",SAISIE!$Q78)</f>
        <v>#REF!</v>
      </c>
      <c r="J1100" s="71" t="str">
        <f>IF(COUNTBLANK(SAISIE!$J$6:$M$6)=4,"",IF(SAISIE!#REF!="","",IF(SAISIE!J78&gt;0,SAISIE!$J$6,IF(SAISIE!K78&gt;0,SAISIE!$K$6,IF(SAISIE!L78&gt;0,SAISIE!$L$6,IF(SAISIE!M78&gt;0,SAISIE!$M$6,""))))))</f>
        <v/>
      </c>
      <c r="O1100" s="59" t="s">
        <v>59</v>
      </c>
    </row>
    <row r="1101" spans="1:15" x14ac:dyDescent="0.25">
      <c r="A1101" s="63" t="e">
        <f>IF(AND(G1101="",H1101=""),"SUPPR",SAISIE!$B$3)</f>
        <v>#REF!</v>
      </c>
      <c r="B1101" s="63" t="e">
        <f>IF(SAISIE!#REF!="","",IF(LEN(SAISIE!B78)=1,CONCATENATE("0",SAISIE!B78,"/",SAISIE!$B$4,"/",SAISIE!$B$5),CONCATENATE(SAISIE!B78,"/",SAISIE!$B$4,"/",SAISIE!$B$5)))</f>
        <v>#REF!</v>
      </c>
      <c r="C1101" s="63" t="e">
        <f>IF(SAISIE!#REF!="","",SAISIE!#REF!)</f>
        <v>#REF!</v>
      </c>
      <c r="D1101" s="63" t="e">
        <f>IF(SAISIE!#REF!="","",SAISIE!E78)</f>
        <v>#REF!</v>
      </c>
      <c r="E1101" s="63" t="e">
        <f>IF(SAISIE!#REF!="","",SAISIE!F78)</f>
        <v>#REF!</v>
      </c>
      <c r="F1101" s="70" t="e">
        <f>IF(SAISIE!#REF!="","",IF(SAISIE!$N78="","",SAISIE!$N78))</f>
        <v>#REF!</v>
      </c>
      <c r="G1101" s="63" t="e">
        <f>IF(SAISIE!#REF!="","",SAISIE!#REF!)</f>
        <v>#REF!</v>
      </c>
      <c r="H1101" s="63"/>
      <c r="I1101" s="63" t="e">
        <f>IF(SAISIE!#REF!="","",SAISIE!$Q78)</f>
        <v>#REF!</v>
      </c>
      <c r="J1101" s="71" t="str">
        <f>IF(COUNTBLANK(SAISIE!$J$6:$M$6)=4,"",IF(SAISIE!#REF!="","",IF(SAISIE!J78&gt;0,SAISIE!$J$6,IF(SAISIE!K78&gt;0,SAISIE!$K$6,IF(SAISIE!L78&gt;0,SAISIE!$L$6,IF(SAISIE!M78&gt;0,SAISIE!$M$6,""))))))</f>
        <v/>
      </c>
      <c r="O1101" s="59" t="s">
        <v>60</v>
      </c>
    </row>
    <row r="1102" spans="1:15" x14ac:dyDescent="0.25">
      <c r="A1102" s="63" t="str">
        <f>IF(AND(G1102="",H1102=""),"SUPPR",SAISIE!$B$3)</f>
        <v>SUPPR</v>
      </c>
      <c r="B1102" s="63" t="str">
        <f>IF(SAISIE!J78="","",IF(LEN(SAISIE!B78)=1,CONCATENATE("0",SAISIE!B78,"/",SAISIE!$B$4,"/",SAISIE!$B$5),CONCATENATE(SAISIE!B78,"/",SAISIE!$B$4,"/",SAISIE!$B$5)))</f>
        <v/>
      </c>
      <c r="C1102" s="63" t="str">
        <f>IF(SAISIE!J78="","",SAISIE!$J$8)</f>
        <v/>
      </c>
      <c r="D1102" s="63" t="str">
        <f>IF(SAISIE!J78="","",SAISIE!E78)</f>
        <v/>
      </c>
      <c r="E1102" s="63" t="str">
        <f>IF(SAISIE!J78="","",SAISIE!F78)</f>
        <v/>
      </c>
      <c r="F1102" s="70" t="str">
        <f>IF(SAISIE!$J78="","",IF(SAISIE!$N78="","",SAISIE!$N78))</f>
        <v/>
      </c>
      <c r="G1102" s="63" t="str">
        <f>IF(SAISIE!J78="","",SAISIE!J78)</f>
        <v/>
      </c>
      <c r="H1102" s="63"/>
      <c r="I1102" s="72"/>
      <c r="J1102" s="71"/>
      <c r="O1102" s="73"/>
    </row>
    <row r="1103" spans="1:15" x14ac:dyDescent="0.25">
      <c r="A1103" s="63" t="str">
        <f>IF(AND(G1103="",H1103=""),"SUPPR",SAISIE!$B$3)</f>
        <v>SUPPR</v>
      </c>
      <c r="B1103" s="63" t="str">
        <f>IF(SAISIE!K78="","",IF(LEN(SAISIE!B78)=1,CONCATENATE("0",SAISIE!B78,"/",SAISIE!$B$4,"/",SAISIE!$B$5),CONCATENATE(SAISIE!B78,"/",SAISIE!$B$4,"/",SAISIE!$B$5)))</f>
        <v/>
      </c>
      <c r="C1103" s="63" t="str">
        <f>IF(SAISIE!K78="","",SAISIE!$K$8)</f>
        <v/>
      </c>
      <c r="D1103" s="63" t="str">
        <f>IF(SAISIE!K78="","",SAISIE!E78)</f>
        <v/>
      </c>
      <c r="E1103" s="63" t="str">
        <f>IF(SAISIE!K78="","",SAISIE!F78)</f>
        <v/>
      </c>
      <c r="F1103" s="70" t="str">
        <f>IF(SAISIE!$K78="","",IF(SAISIE!$N78="","",SAISIE!$N78))</f>
        <v/>
      </c>
      <c r="G1103" s="63" t="str">
        <f>IF(SAISIE!K78="","",SAISIE!K78)</f>
        <v/>
      </c>
      <c r="H1103" s="63"/>
      <c r="I1103" s="72"/>
      <c r="J1103" s="71"/>
    </row>
    <row r="1104" spans="1:15" x14ac:dyDescent="0.25">
      <c r="A1104" s="63" t="str">
        <f>IF(AND(G1104="",H1104=""),"SUPPR",SAISIE!$B$3)</f>
        <v>SUPPR</v>
      </c>
      <c r="B1104" s="63" t="str">
        <f>IF(SAISIE!L78="","",IF(LEN(SAISIE!B78)=1,CONCATENATE("0",SAISIE!B78,"/",SAISIE!$B$4,"/",SAISIE!$B$5),CONCATENATE(SAISIE!B78,"/",SAISIE!$B$4,"/",SAISIE!$B$5)))</f>
        <v/>
      </c>
      <c r="C1104" s="63" t="str">
        <f>IF(SAISIE!L78="","",SAISIE!$L$8)</f>
        <v/>
      </c>
      <c r="D1104" s="63" t="str">
        <f>IF(SAISIE!L78="","",SAISIE!E78)</f>
        <v/>
      </c>
      <c r="E1104" s="63" t="str">
        <f>IF(SAISIE!L78="","",SAISIE!F78)</f>
        <v/>
      </c>
      <c r="F1104" s="70" t="str">
        <f>IF(SAISIE!$L78="","",IF(SAISIE!$N78="","",SAISIE!$N78))</f>
        <v/>
      </c>
      <c r="G1104" s="63" t="str">
        <f>IF(SAISIE!L78="","",SAISIE!L78)</f>
        <v/>
      </c>
      <c r="H1104" s="63"/>
      <c r="I1104" s="72"/>
      <c r="J1104" s="71"/>
    </row>
    <row r="1105" spans="1:15" x14ac:dyDescent="0.25">
      <c r="A1105" s="63" t="str">
        <f>IF(AND(G1105="",H1105=""),"SUPPR",SAISIE!$B$3)</f>
        <v>SUPPR</v>
      </c>
      <c r="B1105" s="63" t="str">
        <f>IF(SAISIE!M78="","",IF(LEN(SAISIE!B78)=1,CONCATENATE("0",SAISIE!B78,"/",SAISIE!$B$4,"/",SAISIE!$B$5),CONCATENATE(SAISIE!B78,"/",SAISIE!$B$4,"/",SAISIE!$B$5)))</f>
        <v/>
      </c>
      <c r="C1105" s="74" t="str">
        <f>IF(SAISIE!M78="","",SAISIE!$M$8)</f>
        <v/>
      </c>
      <c r="D1105" s="74" t="str">
        <f>IF(SAISIE!M78="","",SAISIE!E78)</f>
        <v/>
      </c>
      <c r="E1105" s="74" t="str">
        <f>IF(SAISIE!M78="","",SAISIE!F78)</f>
        <v/>
      </c>
      <c r="F1105" s="75" t="str">
        <f>IF(SAISIE!$M78="","",IF(SAISIE!$N78="","",SAISIE!$N78))</f>
        <v/>
      </c>
      <c r="G1105" s="74" t="str">
        <f>IF(SAISIE!M78="","",SAISIE!M78)</f>
        <v/>
      </c>
      <c r="H1105" s="76"/>
      <c r="I1105" s="77"/>
      <c r="J1105" s="78"/>
    </row>
    <row r="1106" spans="1:15" x14ac:dyDescent="0.25">
      <c r="A1106" s="63" t="str">
        <f>IF(AND(G1106="",H1106=""),"SUPPR",SAISIE!$B$3)</f>
        <v>SUPPR</v>
      </c>
      <c r="B1106" s="64" t="str">
        <f>IF(SAISIE!B79="","",IF(LEN(SAISIE!B79)=1,CONCATENATE("0",SAISIE!B79,"/",SAISIE!$B$4,"/",SAISIE!$B$5),CONCATENATE(SAISIE!B79,"/",SAISIE!$B$4,"/",SAISIE!$B$5)))</f>
        <v/>
      </c>
      <c r="C1106" s="64" t="str">
        <f>IF(SAISIE!B79="","",CONCATENATE($M$2,SAISIE!C79))</f>
        <v/>
      </c>
      <c r="D1106" s="64" t="str">
        <f>IF(SAISIE!B79="","",SAISIE!E79)</f>
        <v/>
      </c>
      <c r="E1106" s="64" t="str">
        <f>IF(SAISIE!B79="","",SAISIE!F79)</f>
        <v/>
      </c>
      <c r="F1106" s="65" t="str">
        <f>IF(A1106="SUPPR","",IF(SAISIE!$N79="","",SAISIE!$N79))</f>
        <v/>
      </c>
      <c r="G1106" s="64"/>
      <c r="H1106" s="64" t="str">
        <f>IF(SAISIE!B79="","",SAISIE!D79)</f>
        <v/>
      </c>
      <c r="I1106" s="66"/>
      <c r="J1106" s="67" t="str">
        <f>IF(AZ79="","","")</f>
        <v/>
      </c>
      <c r="O1106" s="69">
        <f>O1090+1</f>
        <v>79</v>
      </c>
    </row>
    <row r="1107" spans="1:15" x14ac:dyDescent="0.25">
      <c r="A1107" s="63" t="str">
        <f>IF(AND(G1107="",H1107=""),"SUPPR",SAISIE!$B$3)</f>
        <v>SUPPR</v>
      </c>
      <c r="B1107" s="63" t="str">
        <f>IF(SAISIE!P79="","",IF(LEN(SAISIE!B79)=1,CONCATENATE("0",SAISIE!B79,"/",SAISIE!$B$4,"/",SAISIE!$B$5),CONCATENATE(SAISIE!B79,"/",SAISIE!$B$4,"/",SAISIE!$B$5)))</f>
        <v/>
      </c>
      <c r="C1107" s="63" t="str">
        <f>IF(SAISIE!P79="","",SAISIE!O79)</f>
        <v/>
      </c>
      <c r="D1107" s="63" t="str">
        <f>IF(SAISIE!P79="","",SAISIE!E79)</f>
        <v/>
      </c>
      <c r="E1107" s="63" t="str">
        <f>IF(SAISIE!P79="","",SAISIE!F79)</f>
        <v/>
      </c>
      <c r="F1107" s="70" t="str">
        <f>IF(SAISIE!$P79="","",IF(SAISIE!$N79="","",SAISIE!$N79))</f>
        <v/>
      </c>
      <c r="G1107" s="63" t="str">
        <f>IF(SAISIE!P79="","",SAISIE!P79)</f>
        <v/>
      </c>
      <c r="H1107" s="63"/>
      <c r="I1107" s="63" t="str">
        <f>IF(SAISIE!$P79="","",SAISIE!$Q79)</f>
        <v/>
      </c>
      <c r="J1107" s="71" t="str">
        <f>IF(COUNTBLANK(SAISIE!$J$6:$M$6)=4,"",IF(SAISIE!P79="","",IF(SAISIE!J79&gt;0,SAISIE!$J$6,IF(SAISIE!K79&gt;0,SAISIE!$K$6,IF(SAISIE!L79&gt;0,SAISIE!$L$6,IF(SAISIE!M79&gt;0,SAISIE!$M$6,""))))))</f>
        <v/>
      </c>
      <c r="O1107" s="59" t="s">
        <v>50</v>
      </c>
    </row>
    <row r="1108" spans="1:15" x14ac:dyDescent="0.25">
      <c r="A1108" s="63" t="str">
        <f>IF(AND(G1108="",H1108=""),"SUPPR",SAISIE!$B$3)</f>
        <v>SUPPR</v>
      </c>
      <c r="B1108" s="63" t="str">
        <f>IF(SAISIE!G79="","",IF(LEN(SAISIE!B79)=1,CONCATENATE("0",SAISIE!B79,"/",SAISIE!$B$4,"/",SAISIE!$B$5),CONCATENATE(SAISIE!B79,"/",SAISIE!$B$4,"/",SAISIE!$B$5)))</f>
        <v/>
      </c>
      <c r="C1108" s="63" t="str">
        <f>IF(SAISIE!G79="","",SAISIE!$G$8)</f>
        <v/>
      </c>
      <c r="D1108" s="63" t="str">
        <f>IF(SAISIE!G79="","",SAISIE!E79)</f>
        <v/>
      </c>
      <c r="E1108" s="63" t="str">
        <f>IF(SAISIE!G79="","",SAISIE!F79)</f>
        <v/>
      </c>
      <c r="F1108" s="70" t="str">
        <f>IF(SAISIE!$G79="","",IF(SAISIE!$N79="","",SAISIE!$N79))</f>
        <v/>
      </c>
      <c r="G1108" s="63" t="str">
        <f>IF(SAISIE!G79="","",SAISIE!G79)</f>
        <v/>
      </c>
      <c r="H1108" s="63"/>
      <c r="I1108" s="63" t="str">
        <f>IF(SAISIE!$G79="","",SAISIE!$Q79)</f>
        <v/>
      </c>
      <c r="J1108" s="71" t="str">
        <f>IF(COUNTBLANK(SAISIE!$J$6:$M$6)=4,"",IF(SAISIE!G79="","",IF(SAISIE!J79&gt;0,SAISIE!$J$6,IF(SAISIE!K79&gt;0,SAISIE!$K$6,IF(SAISIE!L79&gt;0,SAISIE!$L$6,IF(SAISIE!M79&gt;0,SAISIE!$M$6,""))))))</f>
        <v/>
      </c>
      <c r="O1108" s="59" t="s">
        <v>51</v>
      </c>
    </row>
    <row r="1109" spans="1:15" x14ac:dyDescent="0.25">
      <c r="A1109" s="63" t="str">
        <f>IF(AND(G1109="",H1109=""),"SUPPR",SAISIE!$B$3)</f>
        <v>SUPPR</v>
      </c>
      <c r="B1109" s="63" t="str">
        <f>IF(SAISIE!H79="","",IF(LEN(SAISIE!B79)=1,CONCATENATE("0",SAISIE!B79,"/",SAISIE!$B$4,"/",SAISIE!$B$5),CONCATENATE(SAISIE!B79,"/",SAISIE!$B$4,"/",SAISIE!$B$5)))</f>
        <v/>
      </c>
      <c r="C1109" s="63" t="str">
        <f>IF(SAISIE!H79="","",SAISIE!$H$8)</f>
        <v/>
      </c>
      <c r="D1109" s="63" t="str">
        <f>IF(SAISIE!H79="","",SAISIE!E79)</f>
        <v/>
      </c>
      <c r="E1109" s="63" t="str">
        <f>IF(SAISIE!H79="","",SAISIE!F79)</f>
        <v/>
      </c>
      <c r="F1109" s="70" t="str">
        <f>IF(SAISIE!$H79="","",IF(SAISIE!$N79="","",SAISIE!$N79))</f>
        <v/>
      </c>
      <c r="G1109" s="63" t="str">
        <f>IF(SAISIE!H79="","",SAISIE!H79)</f>
        <v/>
      </c>
      <c r="H1109" s="63"/>
      <c r="I1109" s="63" t="str">
        <f>IF(SAISIE!$H79="","",SAISIE!$Q79)</f>
        <v/>
      </c>
      <c r="J1109" s="71" t="str">
        <f>IF(COUNTBLANK(SAISIE!$J$6:$M$6)=4,"",IF(SAISIE!H79="","",IF(SAISIE!J79&gt;0,SAISIE!$J$6,IF(SAISIE!K79&gt;0,SAISIE!$K$6,IF(SAISIE!L79&gt;0,SAISIE!$L$6,IF(SAISIE!M79&gt;0,SAISIE!$M$6,""))))))</f>
        <v/>
      </c>
      <c r="O1109" s="59" t="s">
        <v>52</v>
      </c>
    </row>
    <row r="1110" spans="1:15" x14ac:dyDescent="0.25">
      <c r="A1110" s="63" t="str">
        <f>IF(AND(G1110="",H1110=""),"SUPPR",SAISIE!$B$3)</f>
        <v>SUPPR</v>
      </c>
      <c r="B1110" s="63" t="str">
        <f>IF(SAISIE!I79="","",IF(LEN(SAISIE!B79)=1,CONCATENATE("0",SAISIE!B79,"/",SAISIE!$B$4,"/",SAISIE!$B$5),CONCATENATE(SAISIE!B79,"/",SAISIE!$B$4,"/",SAISIE!$B$5)))</f>
        <v/>
      </c>
      <c r="C1110" s="63" t="str">
        <f>IF(SAISIE!I79="","",SAISIE!$I$8)</f>
        <v/>
      </c>
      <c r="D1110" s="63" t="str">
        <f>IF(SAISIE!I79="","",SAISIE!E79)</f>
        <v/>
      </c>
      <c r="E1110" s="63" t="str">
        <f>IF(SAISIE!I79="","",SAISIE!F79)</f>
        <v/>
      </c>
      <c r="F1110" s="70" t="str">
        <f>IF(SAISIE!$I79="","",IF(SAISIE!$N79="","",SAISIE!$N79))</f>
        <v/>
      </c>
      <c r="G1110" s="63" t="str">
        <f>IF(SAISIE!I79="","",SAISIE!I79)</f>
        <v/>
      </c>
      <c r="H1110" s="63"/>
      <c r="I1110" s="63" t="str">
        <f>IF(SAISIE!$I79="","",SAISIE!$Q79)</f>
        <v/>
      </c>
      <c r="J1110" s="71" t="str">
        <f>IF(COUNTBLANK(SAISIE!$J$6:$M$6)=4,"",IF(SAISIE!I79="","",IF(SAISIE!J79&gt;0,SAISIE!$J$6,IF(SAISIE!K79&gt;0,SAISIE!$K$6,IF(SAISIE!L79&gt;0,SAISIE!$L$6,IF(SAISIE!M79&gt;0,SAISIE!$M$6,""))))))</f>
        <v/>
      </c>
      <c r="O1110" s="59" t="s">
        <v>53</v>
      </c>
    </row>
    <row r="1111" spans="1:15" x14ac:dyDescent="0.25">
      <c r="A1111" s="63" t="e">
        <f>IF(AND(G1111="",H1111=""),"SUPPR",SAISIE!$B$3)</f>
        <v>#REF!</v>
      </c>
      <c r="B1111" s="63" t="e">
        <f>IF(SAISIE!#REF!="","",IF(LEN(SAISIE!B79)=1,CONCATENATE("0",SAISIE!B79,"/",SAISIE!$B$4,"/",SAISIE!$B$5),CONCATENATE(SAISIE!B79,"/",SAISIE!$B$4,"/",SAISIE!$B$5)))</f>
        <v>#REF!</v>
      </c>
      <c r="C1111" s="63" t="e">
        <f>IF(SAISIE!#REF!="","",SAISIE!#REF!)</f>
        <v>#REF!</v>
      </c>
      <c r="D1111" s="63" t="e">
        <f>IF(SAISIE!#REF!="","",SAISIE!E79)</f>
        <v>#REF!</v>
      </c>
      <c r="E1111" s="63" t="e">
        <f>IF(SAISIE!#REF!="","",SAISIE!F79)</f>
        <v>#REF!</v>
      </c>
      <c r="F1111" s="70" t="e">
        <f>IF(SAISIE!#REF!="","",IF(SAISIE!$N79="","",SAISIE!$N79))</f>
        <v>#REF!</v>
      </c>
      <c r="G1111" s="63" t="e">
        <f>IF(SAISIE!#REF!="","",SAISIE!#REF!)</f>
        <v>#REF!</v>
      </c>
      <c r="H1111" s="63"/>
      <c r="I1111" s="63" t="e">
        <f>IF(SAISIE!#REF!="","",SAISIE!$Q79)</f>
        <v>#REF!</v>
      </c>
      <c r="J1111" s="71" t="str">
        <f>IF(COUNTBLANK(SAISIE!$J$6:$M$6)=4,"",IF(SAISIE!#REF!="","",IF(SAISIE!J79&gt;0,SAISIE!$J$6,IF(SAISIE!K79&gt;0,SAISIE!$K$6,IF(SAISIE!L79&gt;0,SAISIE!$L$6,IF(SAISIE!M79&gt;0,SAISIE!$M$6,""))))))</f>
        <v/>
      </c>
      <c r="O1111" s="59" t="s">
        <v>54</v>
      </c>
    </row>
    <row r="1112" spans="1:15" x14ac:dyDescent="0.25">
      <c r="A1112" s="63" t="e">
        <f>IF(AND(G1112="",H1112=""),"SUPPR",SAISIE!$B$3)</f>
        <v>#REF!</v>
      </c>
      <c r="B1112" s="63" t="e">
        <f>IF(SAISIE!#REF!="","",IF(LEN(SAISIE!B79)=1,CONCATENATE("0",SAISIE!B79,"/",SAISIE!$B$4,"/",SAISIE!$B$5),CONCATENATE(SAISIE!B79,"/",SAISIE!$B$4,"/",SAISIE!$B$5)))</f>
        <v>#REF!</v>
      </c>
      <c r="C1112" s="63" t="e">
        <f>IF(SAISIE!#REF!="","",SAISIE!#REF!)</f>
        <v>#REF!</v>
      </c>
      <c r="D1112" s="63" t="e">
        <f>IF(SAISIE!#REF!="","",SAISIE!E79)</f>
        <v>#REF!</v>
      </c>
      <c r="E1112" s="63" t="e">
        <f>IF(SAISIE!#REF!="","",SAISIE!F79)</f>
        <v>#REF!</v>
      </c>
      <c r="F1112" s="70" t="e">
        <f>IF(SAISIE!#REF!="","",IF(SAISIE!$N79="","",SAISIE!$N79))</f>
        <v>#REF!</v>
      </c>
      <c r="G1112" s="63" t="e">
        <f>IF(SAISIE!#REF!="","",SAISIE!#REF!)</f>
        <v>#REF!</v>
      </c>
      <c r="H1112" s="63"/>
      <c r="I1112" s="63" t="e">
        <f>IF(SAISIE!#REF!="","",SAISIE!$Q79)</f>
        <v>#REF!</v>
      </c>
      <c r="J1112" s="71" t="str">
        <f>IF(COUNTBLANK(SAISIE!$J$6:$M$6)=4,"",IF(SAISIE!#REF!="","",IF(SAISIE!J79&gt;0,SAISIE!$J$6,IF(SAISIE!K79&gt;0,SAISIE!$K$6,IF(SAISIE!L79&gt;0,SAISIE!$L$6,IF(SAISIE!M79&gt;0,SAISIE!$M$6,""))))))</f>
        <v/>
      </c>
      <c r="O1112" s="59" t="s">
        <v>55</v>
      </c>
    </row>
    <row r="1113" spans="1:15" x14ac:dyDescent="0.25">
      <c r="A1113" s="63" t="e">
        <f>IF(AND(G1113="",H1113=""),"SUPPR",SAISIE!$B$3)</f>
        <v>#REF!</v>
      </c>
      <c r="B1113" s="63" t="e">
        <f>IF(SAISIE!#REF!="","",IF(LEN(SAISIE!B79)=1,CONCATENATE("0",SAISIE!B79,"/",SAISIE!$B$4,"/",SAISIE!$B$5),CONCATENATE(SAISIE!B79,"/",SAISIE!$B$4,"/",SAISIE!$B$5)))</f>
        <v>#REF!</v>
      </c>
      <c r="C1113" s="63" t="e">
        <f>IF(SAISIE!#REF!="","",SAISIE!#REF!)</f>
        <v>#REF!</v>
      </c>
      <c r="D1113" s="63" t="e">
        <f>IF(SAISIE!#REF!="","",SAISIE!E79)</f>
        <v>#REF!</v>
      </c>
      <c r="E1113" s="63" t="e">
        <f>IF(SAISIE!#REF!="","",SAISIE!F79)</f>
        <v>#REF!</v>
      </c>
      <c r="F1113" s="70" t="e">
        <f>IF(SAISIE!#REF!="","",IF(SAISIE!$N79="","",SAISIE!$N79))</f>
        <v>#REF!</v>
      </c>
      <c r="G1113" s="63" t="e">
        <f>IF(SAISIE!#REF!="","",SAISIE!#REF!)</f>
        <v>#REF!</v>
      </c>
      <c r="H1113" s="63"/>
      <c r="I1113" s="63" t="e">
        <f>IF(SAISIE!#REF!="","",SAISIE!$Q79)</f>
        <v>#REF!</v>
      </c>
      <c r="J1113" s="71" t="str">
        <f>IF(COUNTBLANK(SAISIE!$J$6:$M$6)=4,"",IF(SAISIE!#REF!="","",IF(SAISIE!J79&gt;0,SAISIE!$J$6,IF(SAISIE!K79&gt;0,SAISIE!$K$6,IF(SAISIE!L79&gt;0,SAISIE!$L$6,IF(SAISIE!M79&gt;0,SAISIE!$M$6,""))))))</f>
        <v/>
      </c>
      <c r="O1113" s="59" t="s">
        <v>56</v>
      </c>
    </row>
    <row r="1114" spans="1:15" x14ac:dyDescent="0.25">
      <c r="A1114" s="63" t="e">
        <f>IF(AND(G1114="",H1114=""),"SUPPR",SAISIE!$B$3)</f>
        <v>#REF!</v>
      </c>
      <c r="B1114" s="63" t="e">
        <f>IF(SAISIE!#REF!="","",IF(LEN(SAISIE!B79)=1,CONCATENATE("0",SAISIE!B79,"/",SAISIE!$B$4,"/",SAISIE!$B$5),CONCATENATE(SAISIE!B79,"/",SAISIE!$B$4,"/",SAISIE!$B$5)))</f>
        <v>#REF!</v>
      </c>
      <c r="C1114" s="63" t="e">
        <f>IF(SAISIE!#REF!="","",SAISIE!#REF!)</f>
        <v>#REF!</v>
      </c>
      <c r="D1114" s="63" t="e">
        <f>IF(SAISIE!#REF!="","",SAISIE!E79)</f>
        <v>#REF!</v>
      </c>
      <c r="E1114" s="63" t="e">
        <f>IF(SAISIE!#REF!="","",SAISIE!F79)</f>
        <v>#REF!</v>
      </c>
      <c r="F1114" s="70" t="e">
        <f>IF(SAISIE!#REF!="","",IF(SAISIE!$N79="","",SAISIE!$N79))</f>
        <v>#REF!</v>
      </c>
      <c r="G1114" s="63" t="e">
        <f>IF(SAISIE!#REF!="","",SAISIE!#REF!)</f>
        <v>#REF!</v>
      </c>
      <c r="H1114" s="63"/>
      <c r="I1114" s="63" t="e">
        <f>IF(SAISIE!#REF!="","",SAISIE!$Q79)</f>
        <v>#REF!</v>
      </c>
      <c r="J1114" s="71" t="str">
        <f>IF(COUNTBLANK(SAISIE!$J$6:$M$6)=4,"",IF(SAISIE!#REF!="","",IF(SAISIE!J79&gt;0,SAISIE!$J$6,IF(SAISIE!K79&gt;0,SAISIE!$K$6,IF(SAISIE!L79&gt;0,SAISIE!$L$6,IF(SAISIE!M79&gt;0,SAISIE!$M$6,""))))))</f>
        <v/>
      </c>
      <c r="O1114" s="59" t="s">
        <v>57</v>
      </c>
    </row>
    <row r="1115" spans="1:15" x14ac:dyDescent="0.25">
      <c r="A1115" s="63" t="e">
        <f>IF(AND(G1115="",H1115=""),"SUPPR",SAISIE!$B$3)</f>
        <v>#REF!</v>
      </c>
      <c r="B1115" s="63" t="e">
        <f>IF(SAISIE!#REF!="","",IF(LEN(SAISIE!B79)=1,CONCATENATE("0",SAISIE!B79,"/",SAISIE!$B$4,"/",SAISIE!$B$5),CONCATENATE(SAISIE!B79,"/",SAISIE!$B$4,"/",SAISIE!$B$5)))</f>
        <v>#REF!</v>
      </c>
      <c r="C1115" s="63" t="e">
        <f>IF(SAISIE!#REF!="","",SAISIE!#REF!)</f>
        <v>#REF!</v>
      </c>
      <c r="D1115" s="63" t="e">
        <f>IF(SAISIE!#REF!="","",SAISIE!E79)</f>
        <v>#REF!</v>
      </c>
      <c r="E1115" s="63" t="e">
        <f>IF(SAISIE!#REF!="","",SAISIE!F79)</f>
        <v>#REF!</v>
      </c>
      <c r="F1115" s="70" t="e">
        <f>IF(SAISIE!#REF!="","",IF(SAISIE!$N79="","",SAISIE!$N79))</f>
        <v>#REF!</v>
      </c>
      <c r="G1115" s="63" t="e">
        <f>IF(SAISIE!#REF!="","",SAISIE!#REF!)</f>
        <v>#REF!</v>
      </c>
      <c r="H1115" s="63"/>
      <c r="I1115" s="63" t="e">
        <f>IF(SAISIE!#REF!="","",SAISIE!$Q79)</f>
        <v>#REF!</v>
      </c>
      <c r="J1115" s="71" t="str">
        <f>IF(COUNTBLANK(SAISIE!$J$6:$M$6)=4,"",IF(SAISIE!#REF!="","",IF(SAISIE!J79&gt;0,SAISIE!$J$6,IF(SAISIE!K79&gt;0,SAISIE!$K$6,IF(SAISIE!L79&gt;0,SAISIE!$L$6,IF(SAISIE!M79&gt;0,SAISIE!$M$6,""))))))</f>
        <v/>
      </c>
      <c r="O1115" s="59" t="s">
        <v>58</v>
      </c>
    </row>
    <row r="1116" spans="1:15" x14ac:dyDescent="0.25">
      <c r="A1116" s="63" t="e">
        <f>IF(AND(G1116="",H1116=""),"SUPPR",SAISIE!$B$3)</f>
        <v>#REF!</v>
      </c>
      <c r="B1116" s="63" t="e">
        <f>IF(SAISIE!#REF!="","",IF(LEN(SAISIE!B79)=1,CONCATENATE("0",SAISIE!B79,"/",SAISIE!$B$4,"/",SAISIE!$B$5),CONCATENATE(SAISIE!B79,"/",SAISIE!$B$4,"/",SAISIE!$B$5)))</f>
        <v>#REF!</v>
      </c>
      <c r="C1116" s="63" t="e">
        <f>IF(SAISIE!#REF!="","",SAISIE!#REF!)</f>
        <v>#REF!</v>
      </c>
      <c r="D1116" s="63" t="e">
        <f>IF(SAISIE!#REF!="","",SAISIE!E79)</f>
        <v>#REF!</v>
      </c>
      <c r="E1116" s="63" t="e">
        <f>IF(SAISIE!#REF!="","",SAISIE!F79)</f>
        <v>#REF!</v>
      </c>
      <c r="F1116" s="70" t="e">
        <f>IF(SAISIE!#REF!="","",IF(SAISIE!$N79="","",SAISIE!$N79))</f>
        <v>#REF!</v>
      </c>
      <c r="G1116" s="63" t="e">
        <f>IF(SAISIE!#REF!="","",SAISIE!#REF!)</f>
        <v>#REF!</v>
      </c>
      <c r="H1116" s="63"/>
      <c r="I1116" s="63" t="e">
        <f>IF(SAISIE!#REF!="","",SAISIE!$Q79)</f>
        <v>#REF!</v>
      </c>
      <c r="J1116" s="71" t="str">
        <f>IF(COUNTBLANK(SAISIE!$J$6:$M$6)=4,"",IF(SAISIE!#REF!="","",IF(SAISIE!J79&gt;0,SAISIE!$J$6,IF(SAISIE!K79&gt;0,SAISIE!$K$6,IF(SAISIE!L79&gt;0,SAISIE!$L$6,IF(SAISIE!M79&gt;0,SAISIE!$M$6,""))))))</f>
        <v/>
      </c>
      <c r="O1116" s="59" t="s">
        <v>59</v>
      </c>
    </row>
    <row r="1117" spans="1:15" x14ac:dyDescent="0.25">
      <c r="A1117" s="63" t="e">
        <f>IF(AND(G1117="",H1117=""),"SUPPR",SAISIE!$B$3)</f>
        <v>#REF!</v>
      </c>
      <c r="B1117" s="63" t="e">
        <f>IF(SAISIE!#REF!="","",IF(LEN(SAISIE!B79)=1,CONCATENATE("0",SAISIE!B79,"/",SAISIE!$B$4,"/",SAISIE!$B$5),CONCATENATE(SAISIE!B79,"/",SAISIE!$B$4,"/",SAISIE!$B$5)))</f>
        <v>#REF!</v>
      </c>
      <c r="C1117" s="63" t="e">
        <f>IF(SAISIE!#REF!="","",SAISIE!#REF!)</f>
        <v>#REF!</v>
      </c>
      <c r="D1117" s="63" t="e">
        <f>IF(SAISIE!#REF!="","",SAISIE!E79)</f>
        <v>#REF!</v>
      </c>
      <c r="E1117" s="63" t="e">
        <f>IF(SAISIE!#REF!="","",SAISIE!F79)</f>
        <v>#REF!</v>
      </c>
      <c r="F1117" s="70" t="e">
        <f>IF(SAISIE!#REF!="","",IF(SAISIE!$N79="","",SAISIE!$N79))</f>
        <v>#REF!</v>
      </c>
      <c r="G1117" s="63" t="e">
        <f>IF(SAISIE!#REF!="","",SAISIE!#REF!)</f>
        <v>#REF!</v>
      </c>
      <c r="H1117" s="63"/>
      <c r="I1117" s="63" t="e">
        <f>IF(SAISIE!#REF!="","",SAISIE!$Q79)</f>
        <v>#REF!</v>
      </c>
      <c r="J1117" s="71" t="str">
        <f>IF(COUNTBLANK(SAISIE!$J$6:$M$6)=4,"",IF(SAISIE!#REF!="","",IF(SAISIE!J79&gt;0,SAISIE!$J$6,IF(SAISIE!K79&gt;0,SAISIE!$K$6,IF(SAISIE!L79&gt;0,SAISIE!$L$6,IF(SAISIE!M79&gt;0,SAISIE!$M$6,""))))))</f>
        <v/>
      </c>
      <c r="O1117" s="59" t="s">
        <v>60</v>
      </c>
    </row>
    <row r="1118" spans="1:15" x14ac:dyDescent="0.25">
      <c r="A1118" s="63" t="str">
        <f>IF(AND(G1118="",H1118=""),"SUPPR",SAISIE!$B$3)</f>
        <v>SUPPR</v>
      </c>
      <c r="B1118" s="63" t="str">
        <f>IF(SAISIE!J79="","",IF(LEN(SAISIE!B79)=1,CONCATENATE("0",SAISIE!B79,"/",SAISIE!$B$4,"/",SAISIE!$B$5),CONCATENATE(SAISIE!B79,"/",SAISIE!$B$4,"/",SAISIE!$B$5)))</f>
        <v/>
      </c>
      <c r="C1118" s="63" t="str">
        <f>IF(SAISIE!J79="","",SAISIE!$J$8)</f>
        <v/>
      </c>
      <c r="D1118" s="63" t="str">
        <f>IF(SAISIE!J79="","",SAISIE!E79)</f>
        <v/>
      </c>
      <c r="E1118" s="63" t="str">
        <f>IF(SAISIE!J79="","",SAISIE!F79)</f>
        <v/>
      </c>
      <c r="F1118" s="70" t="str">
        <f>IF(SAISIE!$J79="","",IF(SAISIE!$N79="","",SAISIE!$N79))</f>
        <v/>
      </c>
      <c r="G1118" s="63" t="str">
        <f>IF(SAISIE!J79="","",SAISIE!J79)</f>
        <v/>
      </c>
      <c r="H1118" s="63"/>
      <c r="I1118" s="72"/>
      <c r="J1118" s="71"/>
      <c r="O1118" s="73"/>
    </row>
    <row r="1119" spans="1:15" x14ac:dyDescent="0.25">
      <c r="A1119" s="63" t="str">
        <f>IF(AND(G1119="",H1119=""),"SUPPR",SAISIE!$B$3)</f>
        <v>SUPPR</v>
      </c>
      <c r="B1119" s="63" t="str">
        <f>IF(SAISIE!K79="","",IF(LEN(SAISIE!B79)=1,CONCATENATE("0",SAISIE!B79,"/",SAISIE!$B$4,"/",SAISIE!$B$5),CONCATENATE(SAISIE!B79,"/",SAISIE!$B$4,"/",SAISIE!$B$5)))</f>
        <v/>
      </c>
      <c r="C1119" s="63" t="str">
        <f>IF(SAISIE!K79="","",SAISIE!$K$8)</f>
        <v/>
      </c>
      <c r="D1119" s="63" t="str">
        <f>IF(SAISIE!K79="","",SAISIE!E79)</f>
        <v/>
      </c>
      <c r="E1119" s="63" t="str">
        <f>IF(SAISIE!K79="","",SAISIE!F79)</f>
        <v/>
      </c>
      <c r="F1119" s="70" t="str">
        <f>IF(SAISIE!$K79="","",IF(SAISIE!$N79="","",SAISIE!$N79))</f>
        <v/>
      </c>
      <c r="G1119" s="63" t="str">
        <f>IF(SAISIE!K79="","",SAISIE!K79)</f>
        <v/>
      </c>
      <c r="H1119" s="63"/>
      <c r="I1119" s="72"/>
      <c r="J1119" s="71"/>
    </row>
    <row r="1120" spans="1:15" x14ac:dyDescent="0.25">
      <c r="A1120" s="63" t="str">
        <f>IF(AND(G1120="",H1120=""),"SUPPR",SAISIE!$B$3)</f>
        <v>SUPPR</v>
      </c>
      <c r="B1120" s="63" t="str">
        <f>IF(SAISIE!L79="","",IF(LEN(SAISIE!B79)=1,CONCATENATE("0",SAISIE!B79,"/",SAISIE!$B$4,"/",SAISIE!$B$5),CONCATENATE(SAISIE!B79,"/",SAISIE!$B$4,"/",SAISIE!$B$5)))</f>
        <v/>
      </c>
      <c r="C1120" s="63" t="str">
        <f>IF(SAISIE!L79="","",SAISIE!$L$8)</f>
        <v/>
      </c>
      <c r="D1120" s="63" t="str">
        <f>IF(SAISIE!L79="","",SAISIE!E79)</f>
        <v/>
      </c>
      <c r="E1120" s="63" t="str">
        <f>IF(SAISIE!L79="","",SAISIE!F79)</f>
        <v/>
      </c>
      <c r="F1120" s="70" t="str">
        <f>IF(SAISIE!$L79="","",IF(SAISIE!$N79="","",SAISIE!$N79))</f>
        <v/>
      </c>
      <c r="G1120" s="63" t="str">
        <f>IF(SAISIE!L79="","",SAISIE!L79)</f>
        <v/>
      </c>
      <c r="H1120" s="63"/>
      <c r="I1120" s="72"/>
      <c r="J1120" s="71"/>
    </row>
    <row r="1121" spans="1:15" x14ac:dyDescent="0.25">
      <c r="A1121" s="63" t="str">
        <f>IF(AND(G1121="",H1121=""),"SUPPR",SAISIE!$B$3)</f>
        <v>SUPPR</v>
      </c>
      <c r="B1121" s="63" t="str">
        <f>IF(SAISIE!M79="","",IF(LEN(SAISIE!B79)=1,CONCATENATE("0",SAISIE!B79,"/",SAISIE!$B$4,"/",SAISIE!$B$5),CONCATENATE(SAISIE!B79,"/",SAISIE!$B$4,"/",SAISIE!$B$5)))</f>
        <v/>
      </c>
      <c r="C1121" s="74" t="str">
        <f>IF(SAISIE!M79="","",SAISIE!$M$8)</f>
        <v/>
      </c>
      <c r="D1121" s="74" t="str">
        <f>IF(SAISIE!M79="","",SAISIE!E79)</f>
        <v/>
      </c>
      <c r="E1121" s="74" t="str">
        <f>IF(SAISIE!M79="","",SAISIE!F79)</f>
        <v/>
      </c>
      <c r="F1121" s="75" t="str">
        <f>IF(SAISIE!$M79="","",IF(SAISIE!$N79="","",SAISIE!$N79))</f>
        <v/>
      </c>
      <c r="G1121" s="74" t="str">
        <f>IF(SAISIE!M79="","",SAISIE!M79)</f>
        <v/>
      </c>
      <c r="H1121" s="76"/>
      <c r="I1121" s="77"/>
      <c r="J1121" s="78"/>
    </row>
    <row r="1122" spans="1:15" x14ac:dyDescent="0.25">
      <c r="A1122" s="63" t="str">
        <f>IF(AND(G1122="",H1122=""),"SUPPR",SAISIE!$B$3)</f>
        <v>SUPPR</v>
      </c>
      <c r="B1122" s="64" t="str">
        <f>IF(SAISIE!B80="","",IF(LEN(SAISIE!B80)=1,CONCATENATE("0",SAISIE!B80,"/",SAISIE!$B$4,"/",SAISIE!$B$5),CONCATENATE(SAISIE!B80,"/",SAISIE!$B$4,"/",SAISIE!$B$5)))</f>
        <v/>
      </c>
      <c r="C1122" s="64" t="str">
        <f>IF(SAISIE!B80="","",CONCATENATE($M$2,SAISIE!C80))</f>
        <v/>
      </c>
      <c r="D1122" s="64" t="str">
        <f>IF(SAISIE!B80="","",SAISIE!E80)</f>
        <v/>
      </c>
      <c r="E1122" s="64" t="str">
        <f>IF(SAISIE!B80="","",SAISIE!F80)</f>
        <v/>
      </c>
      <c r="F1122" s="65" t="str">
        <f>IF(A1122="SUPPR","",IF(SAISIE!$N80="","",SAISIE!$N80))</f>
        <v/>
      </c>
      <c r="G1122" s="64"/>
      <c r="H1122" s="64" t="str">
        <f>IF(SAISIE!B80="","",SAISIE!D80)</f>
        <v/>
      </c>
      <c r="I1122" s="66"/>
      <c r="J1122" s="67" t="str">
        <f>IF(AZ80="","","")</f>
        <v/>
      </c>
      <c r="O1122" s="69">
        <f>O1106+1</f>
        <v>80</v>
      </c>
    </row>
    <row r="1123" spans="1:15" x14ac:dyDescent="0.25">
      <c r="A1123" s="63" t="str">
        <f>IF(AND(G1123="",H1123=""),"SUPPR",SAISIE!$B$3)</f>
        <v>SUPPR</v>
      </c>
      <c r="B1123" s="63" t="str">
        <f>IF(SAISIE!P80="","",IF(LEN(SAISIE!B80)=1,CONCATENATE("0",SAISIE!B80,"/",SAISIE!$B$4,"/",SAISIE!$B$5),CONCATENATE(SAISIE!B80,"/",SAISIE!$B$4,"/",SAISIE!$B$5)))</f>
        <v/>
      </c>
      <c r="C1123" s="63" t="str">
        <f>IF(SAISIE!P80="","",SAISIE!O80)</f>
        <v/>
      </c>
      <c r="D1123" s="63" t="str">
        <f>IF(SAISIE!P80="","",SAISIE!E80)</f>
        <v/>
      </c>
      <c r="E1123" s="63" t="str">
        <f>IF(SAISIE!P80="","",SAISIE!F80)</f>
        <v/>
      </c>
      <c r="F1123" s="70" t="str">
        <f>IF(SAISIE!$P80="","",IF(SAISIE!$N80="","",SAISIE!$N80))</f>
        <v/>
      </c>
      <c r="G1123" s="63" t="str">
        <f>IF(SAISIE!P80="","",SAISIE!P80)</f>
        <v/>
      </c>
      <c r="H1123" s="63"/>
      <c r="I1123" s="63" t="str">
        <f>IF(SAISIE!$P80="","",SAISIE!$Q80)</f>
        <v/>
      </c>
      <c r="J1123" s="71" t="str">
        <f>IF(COUNTBLANK(SAISIE!$J$6:$M$6)=4,"",IF(SAISIE!P80="","",IF(SAISIE!J80&gt;0,SAISIE!$J$6,IF(SAISIE!K80&gt;0,SAISIE!$K$6,IF(SAISIE!L80&gt;0,SAISIE!$L$6,IF(SAISIE!M80&gt;0,SAISIE!$M$6,""))))))</f>
        <v/>
      </c>
      <c r="O1123" s="59" t="s">
        <v>50</v>
      </c>
    </row>
    <row r="1124" spans="1:15" x14ac:dyDescent="0.25">
      <c r="A1124" s="63" t="str">
        <f>IF(AND(G1124="",H1124=""),"SUPPR",SAISIE!$B$3)</f>
        <v>SUPPR</v>
      </c>
      <c r="B1124" s="63" t="str">
        <f>IF(SAISIE!G80="","",IF(LEN(SAISIE!B80)=1,CONCATENATE("0",SAISIE!B80,"/",SAISIE!$B$4,"/",SAISIE!$B$5),CONCATENATE(SAISIE!B80,"/",SAISIE!$B$4,"/",SAISIE!$B$5)))</f>
        <v/>
      </c>
      <c r="C1124" s="63" t="str">
        <f>IF(SAISIE!G80="","",SAISIE!$G$8)</f>
        <v/>
      </c>
      <c r="D1124" s="63" t="str">
        <f>IF(SAISIE!G80="","",SAISIE!E80)</f>
        <v/>
      </c>
      <c r="E1124" s="63" t="str">
        <f>IF(SAISIE!G80="","",SAISIE!F80)</f>
        <v/>
      </c>
      <c r="F1124" s="70" t="str">
        <f>IF(SAISIE!$G80="","",IF(SAISIE!$N80="","",SAISIE!$N80))</f>
        <v/>
      </c>
      <c r="G1124" s="63" t="str">
        <f>IF(SAISIE!G80="","",SAISIE!G80)</f>
        <v/>
      </c>
      <c r="H1124" s="63"/>
      <c r="I1124" s="63" t="str">
        <f>IF(SAISIE!$G80="","",SAISIE!$Q80)</f>
        <v/>
      </c>
      <c r="J1124" s="71" t="str">
        <f>IF(COUNTBLANK(SAISIE!$J$6:$M$6)=4,"",IF(SAISIE!G80="","",IF(SAISIE!J80&gt;0,SAISIE!$J$6,IF(SAISIE!K80&gt;0,SAISIE!$K$6,IF(SAISIE!L80&gt;0,SAISIE!$L$6,IF(SAISIE!M80&gt;0,SAISIE!$M$6,""))))))</f>
        <v/>
      </c>
      <c r="O1124" s="59" t="s">
        <v>51</v>
      </c>
    </row>
    <row r="1125" spans="1:15" x14ac:dyDescent="0.25">
      <c r="A1125" s="63" t="str">
        <f>IF(AND(G1125="",H1125=""),"SUPPR",SAISIE!$B$3)</f>
        <v>SUPPR</v>
      </c>
      <c r="B1125" s="63" t="str">
        <f>IF(SAISIE!H80="","",IF(LEN(SAISIE!B80)=1,CONCATENATE("0",SAISIE!B80,"/",SAISIE!$B$4,"/",SAISIE!$B$5),CONCATENATE(SAISIE!B80,"/",SAISIE!$B$4,"/",SAISIE!$B$5)))</f>
        <v/>
      </c>
      <c r="C1125" s="63" t="str">
        <f>IF(SAISIE!H80="","",SAISIE!$H$8)</f>
        <v/>
      </c>
      <c r="D1125" s="63" t="str">
        <f>IF(SAISIE!H80="","",SAISIE!E80)</f>
        <v/>
      </c>
      <c r="E1125" s="63" t="str">
        <f>IF(SAISIE!H80="","",SAISIE!F80)</f>
        <v/>
      </c>
      <c r="F1125" s="70" t="str">
        <f>IF(SAISIE!$H80="","",IF(SAISIE!$N80="","",SAISIE!$N80))</f>
        <v/>
      </c>
      <c r="G1125" s="63" t="str">
        <f>IF(SAISIE!H80="","",SAISIE!H80)</f>
        <v/>
      </c>
      <c r="H1125" s="63"/>
      <c r="I1125" s="63" t="str">
        <f>IF(SAISIE!$H80="","",SAISIE!$Q80)</f>
        <v/>
      </c>
      <c r="J1125" s="71" t="str">
        <f>IF(COUNTBLANK(SAISIE!$J$6:$M$6)=4,"",IF(SAISIE!H80="","",IF(SAISIE!J80&gt;0,SAISIE!$J$6,IF(SAISIE!K80&gt;0,SAISIE!$K$6,IF(SAISIE!L80&gt;0,SAISIE!$L$6,IF(SAISIE!M80&gt;0,SAISIE!$M$6,""))))))</f>
        <v/>
      </c>
      <c r="O1125" s="59" t="s">
        <v>52</v>
      </c>
    </row>
    <row r="1126" spans="1:15" x14ac:dyDescent="0.25">
      <c r="A1126" s="63" t="str">
        <f>IF(AND(G1126="",H1126=""),"SUPPR",SAISIE!$B$3)</f>
        <v>SUPPR</v>
      </c>
      <c r="B1126" s="63" t="str">
        <f>IF(SAISIE!I80="","",IF(LEN(SAISIE!B80)=1,CONCATENATE("0",SAISIE!B80,"/",SAISIE!$B$4,"/",SAISIE!$B$5),CONCATENATE(SAISIE!B80,"/",SAISIE!$B$4,"/",SAISIE!$B$5)))</f>
        <v/>
      </c>
      <c r="C1126" s="63" t="str">
        <f>IF(SAISIE!I80="","",SAISIE!$I$8)</f>
        <v/>
      </c>
      <c r="D1126" s="63" t="str">
        <f>IF(SAISIE!I80="","",SAISIE!E80)</f>
        <v/>
      </c>
      <c r="E1126" s="63" t="str">
        <f>IF(SAISIE!I80="","",SAISIE!F80)</f>
        <v/>
      </c>
      <c r="F1126" s="70" t="str">
        <f>IF(SAISIE!$I80="","",IF(SAISIE!$N80="","",SAISIE!$N80))</f>
        <v/>
      </c>
      <c r="G1126" s="63" t="str">
        <f>IF(SAISIE!I80="","",SAISIE!I80)</f>
        <v/>
      </c>
      <c r="H1126" s="63"/>
      <c r="I1126" s="63" t="str">
        <f>IF(SAISIE!$I80="","",SAISIE!$Q80)</f>
        <v/>
      </c>
      <c r="J1126" s="71" t="str">
        <f>IF(COUNTBLANK(SAISIE!$J$6:$M$6)=4,"",IF(SAISIE!I80="","",IF(SAISIE!J80&gt;0,SAISIE!$J$6,IF(SAISIE!K80&gt;0,SAISIE!$K$6,IF(SAISIE!L80&gt;0,SAISIE!$L$6,IF(SAISIE!M80&gt;0,SAISIE!$M$6,""))))))</f>
        <v/>
      </c>
      <c r="O1126" s="59" t="s">
        <v>53</v>
      </c>
    </row>
    <row r="1127" spans="1:15" x14ac:dyDescent="0.25">
      <c r="A1127" s="63" t="e">
        <f>IF(AND(G1127="",H1127=""),"SUPPR",SAISIE!$B$3)</f>
        <v>#REF!</v>
      </c>
      <c r="B1127" s="63" t="e">
        <f>IF(SAISIE!#REF!="","",IF(LEN(SAISIE!B80)=1,CONCATENATE("0",SAISIE!B80,"/",SAISIE!$B$4,"/",SAISIE!$B$5),CONCATENATE(SAISIE!B80,"/",SAISIE!$B$4,"/",SAISIE!$B$5)))</f>
        <v>#REF!</v>
      </c>
      <c r="C1127" s="63" t="e">
        <f>IF(SAISIE!#REF!="","",SAISIE!#REF!)</f>
        <v>#REF!</v>
      </c>
      <c r="D1127" s="63" t="e">
        <f>IF(SAISIE!#REF!="","",SAISIE!E80)</f>
        <v>#REF!</v>
      </c>
      <c r="E1127" s="63" t="e">
        <f>IF(SAISIE!#REF!="","",SAISIE!F80)</f>
        <v>#REF!</v>
      </c>
      <c r="F1127" s="70" t="e">
        <f>IF(SAISIE!#REF!="","",IF(SAISIE!$N80="","",SAISIE!$N80))</f>
        <v>#REF!</v>
      </c>
      <c r="G1127" s="63" t="e">
        <f>IF(SAISIE!#REF!="","",SAISIE!#REF!)</f>
        <v>#REF!</v>
      </c>
      <c r="H1127" s="63"/>
      <c r="I1127" s="63" t="e">
        <f>IF(SAISIE!#REF!="","",SAISIE!$Q80)</f>
        <v>#REF!</v>
      </c>
      <c r="J1127" s="71" t="str">
        <f>IF(COUNTBLANK(SAISIE!$J$6:$M$6)=4,"",IF(SAISIE!#REF!="","",IF(SAISIE!J80&gt;0,SAISIE!$J$6,IF(SAISIE!K80&gt;0,SAISIE!$K$6,IF(SAISIE!L80&gt;0,SAISIE!$L$6,IF(SAISIE!M80&gt;0,SAISIE!$M$6,""))))))</f>
        <v/>
      </c>
      <c r="O1127" s="59" t="s">
        <v>54</v>
      </c>
    </row>
    <row r="1128" spans="1:15" x14ac:dyDescent="0.25">
      <c r="A1128" s="63" t="e">
        <f>IF(AND(G1128="",H1128=""),"SUPPR",SAISIE!$B$3)</f>
        <v>#REF!</v>
      </c>
      <c r="B1128" s="63" t="e">
        <f>IF(SAISIE!#REF!="","",IF(LEN(SAISIE!B80)=1,CONCATENATE("0",SAISIE!B80,"/",SAISIE!$B$4,"/",SAISIE!$B$5),CONCATENATE(SAISIE!B80,"/",SAISIE!$B$4,"/",SAISIE!$B$5)))</f>
        <v>#REF!</v>
      </c>
      <c r="C1128" s="63" t="e">
        <f>IF(SAISIE!#REF!="","",SAISIE!#REF!)</f>
        <v>#REF!</v>
      </c>
      <c r="D1128" s="63" t="e">
        <f>IF(SAISIE!#REF!="","",SAISIE!E80)</f>
        <v>#REF!</v>
      </c>
      <c r="E1128" s="63" t="e">
        <f>IF(SAISIE!#REF!="","",SAISIE!F80)</f>
        <v>#REF!</v>
      </c>
      <c r="F1128" s="70" t="e">
        <f>IF(SAISIE!#REF!="","",IF(SAISIE!$N80="","",SAISIE!$N80))</f>
        <v>#REF!</v>
      </c>
      <c r="G1128" s="63" t="e">
        <f>IF(SAISIE!#REF!="","",SAISIE!#REF!)</f>
        <v>#REF!</v>
      </c>
      <c r="H1128" s="63"/>
      <c r="I1128" s="63" t="e">
        <f>IF(SAISIE!#REF!="","",SAISIE!$Q80)</f>
        <v>#REF!</v>
      </c>
      <c r="J1128" s="71" t="str">
        <f>IF(COUNTBLANK(SAISIE!$J$6:$M$6)=4,"",IF(SAISIE!#REF!="","",IF(SAISIE!J80&gt;0,SAISIE!$J$6,IF(SAISIE!K80&gt;0,SAISIE!$K$6,IF(SAISIE!L80&gt;0,SAISIE!$L$6,IF(SAISIE!M80&gt;0,SAISIE!$M$6,""))))))</f>
        <v/>
      </c>
      <c r="O1128" s="59" t="s">
        <v>55</v>
      </c>
    </row>
    <row r="1129" spans="1:15" x14ac:dyDescent="0.25">
      <c r="A1129" s="63" t="e">
        <f>IF(AND(G1129="",H1129=""),"SUPPR",SAISIE!$B$3)</f>
        <v>#REF!</v>
      </c>
      <c r="B1129" s="63" t="e">
        <f>IF(SAISIE!#REF!="","",IF(LEN(SAISIE!B80)=1,CONCATENATE("0",SAISIE!B80,"/",SAISIE!$B$4,"/",SAISIE!$B$5),CONCATENATE(SAISIE!B80,"/",SAISIE!$B$4,"/",SAISIE!$B$5)))</f>
        <v>#REF!</v>
      </c>
      <c r="C1129" s="63" t="e">
        <f>IF(SAISIE!#REF!="","",SAISIE!#REF!)</f>
        <v>#REF!</v>
      </c>
      <c r="D1129" s="63" t="e">
        <f>IF(SAISIE!#REF!="","",SAISIE!E80)</f>
        <v>#REF!</v>
      </c>
      <c r="E1129" s="63" t="e">
        <f>IF(SAISIE!#REF!="","",SAISIE!F80)</f>
        <v>#REF!</v>
      </c>
      <c r="F1129" s="70" t="e">
        <f>IF(SAISIE!#REF!="","",IF(SAISIE!$N80="","",SAISIE!$N80))</f>
        <v>#REF!</v>
      </c>
      <c r="G1129" s="63" t="e">
        <f>IF(SAISIE!#REF!="","",SAISIE!#REF!)</f>
        <v>#REF!</v>
      </c>
      <c r="H1129" s="63"/>
      <c r="I1129" s="63" t="e">
        <f>IF(SAISIE!#REF!="","",SAISIE!$Q80)</f>
        <v>#REF!</v>
      </c>
      <c r="J1129" s="71" t="str">
        <f>IF(COUNTBLANK(SAISIE!$J$6:$M$6)=4,"",IF(SAISIE!#REF!="","",IF(SAISIE!J80&gt;0,SAISIE!$J$6,IF(SAISIE!K80&gt;0,SAISIE!$K$6,IF(SAISIE!L80&gt;0,SAISIE!$L$6,IF(SAISIE!M80&gt;0,SAISIE!$M$6,""))))))</f>
        <v/>
      </c>
      <c r="O1129" s="59" t="s">
        <v>56</v>
      </c>
    </row>
    <row r="1130" spans="1:15" x14ac:dyDescent="0.25">
      <c r="A1130" s="63" t="e">
        <f>IF(AND(G1130="",H1130=""),"SUPPR",SAISIE!$B$3)</f>
        <v>#REF!</v>
      </c>
      <c r="B1130" s="63" t="e">
        <f>IF(SAISIE!#REF!="","",IF(LEN(SAISIE!B80)=1,CONCATENATE("0",SAISIE!B80,"/",SAISIE!$B$4,"/",SAISIE!$B$5),CONCATENATE(SAISIE!B80,"/",SAISIE!$B$4,"/",SAISIE!$B$5)))</f>
        <v>#REF!</v>
      </c>
      <c r="C1130" s="63" t="e">
        <f>IF(SAISIE!#REF!="","",SAISIE!#REF!)</f>
        <v>#REF!</v>
      </c>
      <c r="D1130" s="63" t="e">
        <f>IF(SAISIE!#REF!="","",SAISIE!E80)</f>
        <v>#REF!</v>
      </c>
      <c r="E1130" s="63" t="e">
        <f>IF(SAISIE!#REF!="","",SAISIE!F80)</f>
        <v>#REF!</v>
      </c>
      <c r="F1130" s="70" t="e">
        <f>IF(SAISIE!#REF!="","",IF(SAISIE!$N80="","",SAISIE!$N80))</f>
        <v>#REF!</v>
      </c>
      <c r="G1130" s="63" t="e">
        <f>IF(SAISIE!#REF!="","",SAISIE!#REF!)</f>
        <v>#REF!</v>
      </c>
      <c r="H1130" s="63"/>
      <c r="I1130" s="63" t="e">
        <f>IF(SAISIE!#REF!="","",SAISIE!$Q80)</f>
        <v>#REF!</v>
      </c>
      <c r="J1130" s="71" t="str">
        <f>IF(COUNTBLANK(SAISIE!$J$6:$M$6)=4,"",IF(SAISIE!#REF!="","",IF(SAISIE!J80&gt;0,SAISIE!$J$6,IF(SAISIE!K80&gt;0,SAISIE!$K$6,IF(SAISIE!L80&gt;0,SAISIE!$L$6,IF(SAISIE!M80&gt;0,SAISIE!$M$6,""))))))</f>
        <v/>
      </c>
      <c r="O1130" s="59" t="s">
        <v>57</v>
      </c>
    </row>
    <row r="1131" spans="1:15" x14ac:dyDescent="0.25">
      <c r="A1131" s="63" t="e">
        <f>IF(AND(G1131="",H1131=""),"SUPPR",SAISIE!$B$3)</f>
        <v>#REF!</v>
      </c>
      <c r="B1131" s="63" t="e">
        <f>IF(SAISIE!#REF!="","",IF(LEN(SAISIE!B80)=1,CONCATENATE("0",SAISIE!B80,"/",SAISIE!$B$4,"/",SAISIE!$B$5),CONCATENATE(SAISIE!B80,"/",SAISIE!$B$4,"/",SAISIE!$B$5)))</f>
        <v>#REF!</v>
      </c>
      <c r="C1131" s="63" t="e">
        <f>IF(SAISIE!#REF!="","",SAISIE!#REF!)</f>
        <v>#REF!</v>
      </c>
      <c r="D1131" s="63" t="e">
        <f>IF(SAISIE!#REF!="","",SAISIE!E80)</f>
        <v>#REF!</v>
      </c>
      <c r="E1131" s="63" t="e">
        <f>IF(SAISIE!#REF!="","",SAISIE!F80)</f>
        <v>#REF!</v>
      </c>
      <c r="F1131" s="70" t="e">
        <f>IF(SAISIE!#REF!="","",IF(SAISIE!$N80="","",SAISIE!$N80))</f>
        <v>#REF!</v>
      </c>
      <c r="G1131" s="63" t="e">
        <f>IF(SAISIE!#REF!="","",SAISIE!#REF!)</f>
        <v>#REF!</v>
      </c>
      <c r="H1131" s="63"/>
      <c r="I1131" s="63" t="e">
        <f>IF(SAISIE!#REF!="","",SAISIE!$Q80)</f>
        <v>#REF!</v>
      </c>
      <c r="J1131" s="71" t="str">
        <f>IF(COUNTBLANK(SAISIE!$J$6:$M$6)=4,"",IF(SAISIE!#REF!="","",IF(SAISIE!J80&gt;0,SAISIE!$J$6,IF(SAISIE!K80&gt;0,SAISIE!$K$6,IF(SAISIE!L80&gt;0,SAISIE!$L$6,IF(SAISIE!M80&gt;0,SAISIE!$M$6,""))))))</f>
        <v/>
      </c>
      <c r="O1131" s="59" t="s">
        <v>58</v>
      </c>
    </row>
    <row r="1132" spans="1:15" x14ac:dyDescent="0.25">
      <c r="A1132" s="63" t="e">
        <f>IF(AND(G1132="",H1132=""),"SUPPR",SAISIE!$B$3)</f>
        <v>#REF!</v>
      </c>
      <c r="B1132" s="63" t="e">
        <f>IF(SAISIE!#REF!="","",IF(LEN(SAISIE!B80)=1,CONCATENATE("0",SAISIE!B80,"/",SAISIE!$B$4,"/",SAISIE!$B$5),CONCATENATE(SAISIE!B80,"/",SAISIE!$B$4,"/",SAISIE!$B$5)))</f>
        <v>#REF!</v>
      </c>
      <c r="C1132" s="63" t="e">
        <f>IF(SAISIE!#REF!="","",SAISIE!#REF!)</f>
        <v>#REF!</v>
      </c>
      <c r="D1132" s="63" t="e">
        <f>IF(SAISIE!#REF!="","",SAISIE!E80)</f>
        <v>#REF!</v>
      </c>
      <c r="E1132" s="63" t="e">
        <f>IF(SAISIE!#REF!="","",SAISIE!F80)</f>
        <v>#REF!</v>
      </c>
      <c r="F1132" s="70" t="e">
        <f>IF(SAISIE!#REF!="","",IF(SAISIE!$N80="","",SAISIE!$N80))</f>
        <v>#REF!</v>
      </c>
      <c r="G1132" s="63" t="e">
        <f>IF(SAISIE!#REF!="","",SAISIE!#REF!)</f>
        <v>#REF!</v>
      </c>
      <c r="H1132" s="63"/>
      <c r="I1132" s="63" t="e">
        <f>IF(SAISIE!#REF!="","",SAISIE!$Q80)</f>
        <v>#REF!</v>
      </c>
      <c r="J1132" s="71" t="str">
        <f>IF(COUNTBLANK(SAISIE!$J$6:$M$6)=4,"",IF(SAISIE!#REF!="","",IF(SAISIE!J80&gt;0,SAISIE!$J$6,IF(SAISIE!K80&gt;0,SAISIE!$K$6,IF(SAISIE!L80&gt;0,SAISIE!$L$6,IF(SAISIE!M80&gt;0,SAISIE!$M$6,""))))))</f>
        <v/>
      </c>
      <c r="O1132" s="59" t="s">
        <v>59</v>
      </c>
    </row>
    <row r="1133" spans="1:15" x14ac:dyDescent="0.25">
      <c r="A1133" s="63" t="e">
        <f>IF(AND(G1133="",H1133=""),"SUPPR",SAISIE!$B$3)</f>
        <v>#REF!</v>
      </c>
      <c r="B1133" s="63" t="e">
        <f>IF(SAISIE!#REF!="","",IF(LEN(SAISIE!B80)=1,CONCATENATE("0",SAISIE!B80,"/",SAISIE!$B$4,"/",SAISIE!$B$5),CONCATENATE(SAISIE!B80,"/",SAISIE!$B$4,"/",SAISIE!$B$5)))</f>
        <v>#REF!</v>
      </c>
      <c r="C1133" s="63" t="e">
        <f>IF(SAISIE!#REF!="","",SAISIE!#REF!)</f>
        <v>#REF!</v>
      </c>
      <c r="D1133" s="63" t="e">
        <f>IF(SAISIE!#REF!="","",SAISIE!E80)</f>
        <v>#REF!</v>
      </c>
      <c r="E1133" s="63" t="e">
        <f>IF(SAISIE!#REF!="","",SAISIE!F80)</f>
        <v>#REF!</v>
      </c>
      <c r="F1133" s="70" t="e">
        <f>IF(SAISIE!#REF!="","",IF(SAISIE!$N80="","",SAISIE!$N80))</f>
        <v>#REF!</v>
      </c>
      <c r="G1133" s="63" t="e">
        <f>IF(SAISIE!#REF!="","",SAISIE!#REF!)</f>
        <v>#REF!</v>
      </c>
      <c r="H1133" s="63"/>
      <c r="I1133" s="63" t="e">
        <f>IF(SAISIE!#REF!="","",SAISIE!$Q80)</f>
        <v>#REF!</v>
      </c>
      <c r="J1133" s="71" t="str">
        <f>IF(COUNTBLANK(SAISIE!$J$6:$M$6)=4,"",IF(SAISIE!#REF!="","",IF(SAISIE!J80&gt;0,SAISIE!$J$6,IF(SAISIE!K80&gt;0,SAISIE!$K$6,IF(SAISIE!L80&gt;0,SAISIE!$L$6,IF(SAISIE!M80&gt;0,SAISIE!$M$6,""))))))</f>
        <v/>
      </c>
      <c r="O1133" s="59" t="s">
        <v>60</v>
      </c>
    </row>
    <row r="1134" spans="1:15" x14ac:dyDescent="0.25">
      <c r="A1134" s="63" t="str">
        <f>IF(AND(G1134="",H1134=""),"SUPPR",SAISIE!$B$3)</f>
        <v>SUPPR</v>
      </c>
      <c r="B1134" s="63" t="str">
        <f>IF(SAISIE!J80="","",IF(LEN(SAISIE!B80)=1,CONCATENATE("0",SAISIE!B80,"/",SAISIE!$B$4,"/",SAISIE!$B$5),CONCATENATE(SAISIE!B80,"/",SAISIE!$B$4,"/",SAISIE!$B$5)))</f>
        <v/>
      </c>
      <c r="C1134" s="63" t="str">
        <f>IF(SAISIE!J80="","",SAISIE!$J$8)</f>
        <v/>
      </c>
      <c r="D1134" s="63" t="str">
        <f>IF(SAISIE!J80="","",SAISIE!E80)</f>
        <v/>
      </c>
      <c r="E1134" s="63" t="str">
        <f>IF(SAISIE!J80="","",SAISIE!F80)</f>
        <v/>
      </c>
      <c r="F1134" s="70" t="str">
        <f>IF(SAISIE!$J80="","",IF(SAISIE!$N80="","",SAISIE!$N80))</f>
        <v/>
      </c>
      <c r="G1134" s="63" t="str">
        <f>IF(SAISIE!J80="","",SAISIE!J80)</f>
        <v/>
      </c>
      <c r="H1134" s="63"/>
      <c r="I1134" s="72"/>
      <c r="J1134" s="71"/>
      <c r="O1134" s="73"/>
    </row>
    <row r="1135" spans="1:15" x14ac:dyDescent="0.25">
      <c r="A1135" s="63" t="str">
        <f>IF(AND(G1135="",H1135=""),"SUPPR",SAISIE!$B$3)</f>
        <v>SUPPR</v>
      </c>
      <c r="B1135" s="63" t="str">
        <f>IF(SAISIE!K80="","",IF(LEN(SAISIE!B80)=1,CONCATENATE("0",SAISIE!B80,"/",SAISIE!$B$4,"/",SAISIE!$B$5),CONCATENATE(SAISIE!B80,"/",SAISIE!$B$4,"/",SAISIE!$B$5)))</f>
        <v/>
      </c>
      <c r="C1135" s="63" t="str">
        <f>IF(SAISIE!K80="","",SAISIE!$K$8)</f>
        <v/>
      </c>
      <c r="D1135" s="63" t="str">
        <f>IF(SAISIE!K80="","",SAISIE!E80)</f>
        <v/>
      </c>
      <c r="E1135" s="63" t="str">
        <f>IF(SAISIE!K80="","",SAISIE!F80)</f>
        <v/>
      </c>
      <c r="F1135" s="70" t="str">
        <f>IF(SAISIE!$K80="","",IF(SAISIE!$N80="","",SAISIE!$N80))</f>
        <v/>
      </c>
      <c r="G1135" s="63" t="str">
        <f>IF(SAISIE!K80="","",SAISIE!K80)</f>
        <v/>
      </c>
      <c r="H1135" s="63"/>
      <c r="I1135" s="72"/>
      <c r="J1135" s="71"/>
    </row>
    <row r="1136" spans="1:15" x14ac:dyDescent="0.25">
      <c r="A1136" s="63" t="str">
        <f>IF(AND(G1136="",H1136=""),"SUPPR",SAISIE!$B$3)</f>
        <v>SUPPR</v>
      </c>
      <c r="B1136" s="63" t="str">
        <f>IF(SAISIE!L80="","",IF(LEN(SAISIE!B80)=1,CONCATENATE("0",SAISIE!B80,"/",SAISIE!$B$4,"/",SAISIE!$B$5),CONCATENATE(SAISIE!B80,"/",SAISIE!$B$4,"/",SAISIE!$B$5)))</f>
        <v/>
      </c>
      <c r="C1136" s="63" t="str">
        <f>IF(SAISIE!L80="","",SAISIE!$L$8)</f>
        <v/>
      </c>
      <c r="D1136" s="63" t="str">
        <f>IF(SAISIE!L80="","",SAISIE!E80)</f>
        <v/>
      </c>
      <c r="E1136" s="63" t="str">
        <f>IF(SAISIE!L80="","",SAISIE!F80)</f>
        <v/>
      </c>
      <c r="F1136" s="70" t="str">
        <f>IF(SAISIE!$L80="","",IF(SAISIE!$N80="","",SAISIE!$N80))</f>
        <v/>
      </c>
      <c r="G1136" s="63" t="str">
        <f>IF(SAISIE!L80="","",SAISIE!L80)</f>
        <v/>
      </c>
      <c r="H1136" s="63"/>
      <c r="I1136" s="72"/>
      <c r="J1136" s="71"/>
    </row>
    <row r="1137" spans="1:15" x14ac:dyDescent="0.25">
      <c r="A1137" s="63" t="str">
        <f>IF(AND(G1137="",H1137=""),"SUPPR",SAISIE!$B$3)</f>
        <v>SUPPR</v>
      </c>
      <c r="B1137" s="63" t="str">
        <f>IF(SAISIE!M80="","",IF(LEN(SAISIE!B80)=1,CONCATENATE("0",SAISIE!B80,"/",SAISIE!$B$4,"/",SAISIE!$B$5),CONCATENATE(SAISIE!B80,"/",SAISIE!$B$4,"/",SAISIE!$B$5)))</f>
        <v/>
      </c>
      <c r="C1137" s="74" t="str">
        <f>IF(SAISIE!M80="","",SAISIE!$M$8)</f>
        <v/>
      </c>
      <c r="D1137" s="74" t="str">
        <f>IF(SAISIE!M80="","",SAISIE!E80)</f>
        <v/>
      </c>
      <c r="E1137" s="74" t="str">
        <f>IF(SAISIE!M80="","",SAISIE!F80)</f>
        <v/>
      </c>
      <c r="F1137" s="75" t="str">
        <f>IF(SAISIE!$M80="","",IF(SAISIE!$N80="","",SAISIE!$N80))</f>
        <v/>
      </c>
      <c r="G1137" s="74" t="str">
        <f>IF(SAISIE!M80="","",SAISIE!M80)</f>
        <v/>
      </c>
      <c r="H1137" s="76"/>
      <c r="I1137" s="77"/>
      <c r="J1137" s="78"/>
    </row>
    <row r="1138" spans="1:15" x14ac:dyDescent="0.25">
      <c r="A1138" s="63" t="str">
        <f>IF(AND(G1138="",H1138=""),"SUPPR",SAISIE!$B$3)</f>
        <v>SUPPR</v>
      </c>
      <c r="B1138" s="64" t="str">
        <f>IF(SAISIE!B81="","",IF(LEN(SAISIE!B81)=1,CONCATENATE("0",SAISIE!B81,"/",SAISIE!$B$4,"/",SAISIE!$B$5),CONCATENATE(SAISIE!B81,"/",SAISIE!$B$4,"/",SAISIE!$B$5)))</f>
        <v/>
      </c>
      <c r="C1138" s="64" t="str">
        <f>IF(SAISIE!B81="","",CONCATENATE($M$2,SAISIE!C81))</f>
        <v/>
      </c>
      <c r="D1138" s="64" t="str">
        <f>IF(SAISIE!B81="","",SAISIE!E81)</f>
        <v/>
      </c>
      <c r="E1138" s="64" t="str">
        <f>IF(SAISIE!B81="","",SAISIE!F81)</f>
        <v/>
      </c>
      <c r="F1138" s="65" t="str">
        <f>IF(A1138="SUPPR","",IF(SAISIE!$N81="","",SAISIE!$N81))</f>
        <v/>
      </c>
      <c r="G1138" s="64"/>
      <c r="H1138" s="64" t="str">
        <f>IF(SAISIE!B81="","",SAISIE!D81)</f>
        <v/>
      </c>
      <c r="I1138" s="66"/>
      <c r="J1138" s="67" t="str">
        <f>IF(AZ81="","","")</f>
        <v/>
      </c>
      <c r="O1138" s="69">
        <f>O1122+1</f>
        <v>81</v>
      </c>
    </row>
    <row r="1139" spans="1:15" x14ac:dyDescent="0.25">
      <c r="A1139" s="63" t="str">
        <f>IF(AND(G1139="",H1139=""),"SUPPR",SAISIE!$B$3)</f>
        <v>SUPPR</v>
      </c>
      <c r="B1139" s="63" t="str">
        <f>IF(SAISIE!P81="","",IF(LEN(SAISIE!B81)=1,CONCATENATE("0",SAISIE!B81,"/",SAISIE!$B$4,"/",SAISIE!$B$5),CONCATENATE(SAISIE!B81,"/",SAISIE!$B$4,"/",SAISIE!$B$5)))</f>
        <v/>
      </c>
      <c r="C1139" s="63" t="str">
        <f>IF(SAISIE!P81="","",SAISIE!O81)</f>
        <v/>
      </c>
      <c r="D1139" s="63" t="str">
        <f>IF(SAISIE!P81="","",SAISIE!E81)</f>
        <v/>
      </c>
      <c r="E1139" s="63" t="str">
        <f>IF(SAISIE!P81="","",SAISIE!F81)</f>
        <v/>
      </c>
      <c r="F1139" s="70" t="str">
        <f>IF(SAISIE!$P81="","",IF(SAISIE!$N81="","",SAISIE!$N81))</f>
        <v/>
      </c>
      <c r="G1139" s="63" t="str">
        <f>IF(SAISIE!P81="","",SAISIE!P81)</f>
        <v/>
      </c>
      <c r="H1139" s="63"/>
      <c r="I1139" s="63" t="str">
        <f>IF(SAISIE!$P81="","",SAISIE!$Q81)</f>
        <v/>
      </c>
      <c r="J1139" s="71" t="str">
        <f>IF(COUNTBLANK(SAISIE!$J$6:$M$6)=4,"",IF(SAISIE!P81="","",IF(SAISIE!J81&gt;0,SAISIE!$J$6,IF(SAISIE!K81&gt;0,SAISIE!$K$6,IF(SAISIE!L81&gt;0,SAISIE!$L$6,IF(SAISIE!M81&gt;0,SAISIE!$M$6,""))))))</f>
        <v/>
      </c>
      <c r="O1139" s="59" t="s">
        <v>50</v>
      </c>
    </row>
    <row r="1140" spans="1:15" x14ac:dyDescent="0.25">
      <c r="A1140" s="63" t="str">
        <f>IF(AND(G1140="",H1140=""),"SUPPR",SAISIE!$B$3)</f>
        <v>SUPPR</v>
      </c>
      <c r="B1140" s="63" t="str">
        <f>IF(SAISIE!G81="","",IF(LEN(SAISIE!B81)=1,CONCATENATE("0",SAISIE!B81,"/",SAISIE!$B$4,"/",SAISIE!$B$5),CONCATENATE(SAISIE!B81,"/",SAISIE!$B$4,"/",SAISIE!$B$5)))</f>
        <v/>
      </c>
      <c r="C1140" s="63" t="str">
        <f>IF(SAISIE!G81="","",SAISIE!$G$8)</f>
        <v/>
      </c>
      <c r="D1140" s="63" t="str">
        <f>IF(SAISIE!G81="","",SAISIE!E81)</f>
        <v/>
      </c>
      <c r="E1140" s="63" t="str">
        <f>IF(SAISIE!G81="","",SAISIE!F81)</f>
        <v/>
      </c>
      <c r="F1140" s="70" t="str">
        <f>IF(SAISIE!$G81="","",IF(SAISIE!$N81="","",SAISIE!$N81))</f>
        <v/>
      </c>
      <c r="G1140" s="63" t="str">
        <f>IF(SAISIE!G81="","",SAISIE!G81)</f>
        <v/>
      </c>
      <c r="H1140" s="63"/>
      <c r="I1140" s="63" t="str">
        <f>IF(SAISIE!$G81="","",SAISIE!$Q81)</f>
        <v/>
      </c>
      <c r="J1140" s="71" t="str">
        <f>IF(COUNTBLANK(SAISIE!$J$6:$M$6)=4,"",IF(SAISIE!G81="","",IF(SAISIE!J81&gt;0,SAISIE!$J$6,IF(SAISIE!K81&gt;0,SAISIE!$K$6,IF(SAISIE!L81&gt;0,SAISIE!$L$6,IF(SAISIE!M81&gt;0,SAISIE!$M$6,""))))))</f>
        <v/>
      </c>
      <c r="O1140" s="59" t="s">
        <v>51</v>
      </c>
    </row>
    <row r="1141" spans="1:15" x14ac:dyDescent="0.25">
      <c r="A1141" s="63" t="str">
        <f>IF(AND(G1141="",H1141=""),"SUPPR",SAISIE!$B$3)</f>
        <v>SUPPR</v>
      </c>
      <c r="B1141" s="63" t="str">
        <f>IF(SAISIE!H81="","",IF(LEN(SAISIE!B81)=1,CONCATENATE("0",SAISIE!B81,"/",SAISIE!$B$4,"/",SAISIE!$B$5),CONCATENATE(SAISIE!B81,"/",SAISIE!$B$4,"/",SAISIE!$B$5)))</f>
        <v/>
      </c>
      <c r="C1141" s="63" t="str">
        <f>IF(SAISIE!H81="","",SAISIE!$H$8)</f>
        <v/>
      </c>
      <c r="D1141" s="63" t="str">
        <f>IF(SAISIE!H81="","",SAISIE!E81)</f>
        <v/>
      </c>
      <c r="E1141" s="63" t="str">
        <f>IF(SAISIE!H81="","",SAISIE!F81)</f>
        <v/>
      </c>
      <c r="F1141" s="70" t="str">
        <f>IF(SAISIE!$H81="","",IF(SAISIE!$N81="","",SAISIE!$N81))</f>
        <v/>
      </c>
      <c r="G1141" s="63" t="str">
        <f>IF(SAISIE!H81="","",SAISIE!H81)</f>
        <v/>
      </c>
      <c r="H1141" s="63"/>
      <c r="I1141" s="63" t="str">
        <f>IF(SAISIE!$H81="","",SAISIE!$Q81)</f>
        <v/>
      </c>
      <c r="J1141" s="71" t="str">
        <f>IF(COUNTBLANK(SAISIE!$J$6:$M$6)=4,"",IF(SAISIE!H81="","",IF(SAISIE!J81&gt;0,SAISIE!$J$6,IF(SAISIE!K81&gt;0,SAISIE!$K$6,IF(SAISIE!L81&gt;0,SAISIE!$L$6,IF(SAISIE!M81&gt;0,SAISIE!$M$6,""))))))</f>
        <v/>
      </c>
      <c r="O1141" s="59" t="s">
        <v>52</v>
      </c>
    </row>
    <row r="1142" spans="1:15" x14ac:dyDescent="0.25">
      <c r="A1142" s="63" t="str">
        <f>IF(AND(G1142="",H1142=""),"SUPPR",SAISIE!$B$3)</f>
        <v>SUPPR</v>
      </c>
      <c r="B1142" s="63" t="str">
        <f>IF(SAISIE!I81="","",IF(LEN(SAISIE!B81)=1,CONCATENATE("0",SAISIE!B81,"/",SAISIE!$B$4,"/",SAISIE!$B$5),CONCATENATE(SAISIE!B81,"/",SAISIE!$B$4,"/",SAISIE!$B$5)))</f>
        <v/>
      </c>
      <c r="C1142" s="63" t="str">
        <f>IF(SAISIE!I81="","",SAISIE!$I$8)</f>
        <v/>
      </c>
      <c r="D1142" s="63" t="str">
        <f>IF(SAISIE!I81="","",SAISIE!E81)</f>
        <v/>
      </c>
      <c r="E1142" s="63" t="str">
        <f>IF(SAISIE!I81="","",SAISIE!F81)</f>
        <v/>
      </c>
      <c r="F1142" s="70" t="str">
        <f>IF(SAISIE!$I81="","",IF(SAISIE!$N81="","",SAISIE!$N81))</f>
        <v/>
      </c>
      <c r="G1142" s="63" t="str">
        <f>IF(SAISIE!I81="","",SAISIE!I81)</f>
        <v/>
      </c>
      <c r="H1142" s="63"/>
      <c r="I1142" s="63" t="str">
        <f>IF(SAISIE!$I81="","",SAISIE!$Q81)</f>
        <v/>
      </c>
      <c r="J1142" s="71" t="str">
        <f>IF(COUNTBLANK(SAISIE!$J$6:$M$6)=4,"",IF(SAISIE!I81="","",IF(SAISIE!J81&gt;0,SAISIE!$J$6,IF(SAISIE!K81&gt;0,SAISIE!$K$6,IF(SAISIE!L81&gt;0,SAISIE!$L$6,IF(SAISIE!M81&gt;0,SAISIE!$M$6,""))))))</f>
        <v/>
      </c>
      <c r="O1142" s="59" t="s">
        <v>53</v>
      </c>
    </row>
    <row r="1143" spans="1:15" x14ac:dyDescent="0.25">
      <c r="A1143" s="63" t="e">
        <f>IF(AND(G1143="",H1143=""),"SUPPR",SAISIE!$B$3)</f>
        <v>#REF!</v>
      </c>
      <c r="B1143" s="63" t="e">
        <f>IF(SAISIE!#REF!="","",IF(LEN(SAISIE!B81)=1,CONCATENATE("0",SAISIE!B81,"/",SAISIE!$B$4,"/",SAISIE!$B$5),CONCATENATE(SAISIE!B81,"/",SAISIE!$B$4,"/",SAISIE!$B$5)))</f>
        <v>#REF!</v>
      </c>
      <c r="C1143" s="63" t="e">
        <f>IF(SAISIE!#REF!="","",SAISIE!#REF!)</f>
        <v>#REF!</v>
      </c>
      <c r="D1143" s="63" t="e">
        <f>IF(SAISIE!#REF!="","",SAISIE!E81)</f>
        <v>#REF!</v>
      </c>
      <c r="E1143" s="63" t="e">
        <f>IF(SAISIE!#REF!="","",SAISIE!F81)</f>
        <v>#REF!</v>
      </c>
      <c r="F1143" s="70" t="e">
        <f>IF(SAISIE!#REF!="","",IF(SAISIE!$N81="","",SAISIE!$N81))</f>
        <v>#REF!</v>
      </c>
      <c r="G1143" s="63" t="e">
        <f>IF(SAISIE!#REF!="","",SAISIE!#REF!)</f>
        <v>#REF!</v>
      </c>
      <c r="H1143" s="63"/>
      <c r="I1143" s="63" t="e">
        <f>IF(SAISIE!#REF!="","",SAISIE!$Q81)</f>
        <v>#REF!</v>
      </c>
      <c r="J1143" s="71" t="str">
        <f>IF(COUNTBLANK(SAISIE!$J$6:$M$6)=4,"",IF(SAISIE!#REF!="","",IF(SAISIE!J81&gt;0,SAISIE!$J$6,IF(SAISIE!K81&gt;0,SAISIE!$K$6,IF(SAISIE!L81&gt;0,SAISIE!$L$6,IF(SAISIE!M81&gt;0,SAISIE!$M$6,""))))))</f>
        <v/>
      </c>
      <c r="O1143" s="59" t="s">
        <v>54</v>
      </c>
    </row>
    <row r="1144" spans="1:15" x14ac:dyDescent="0.25">
      <c r="A1144" s="63" t="e">
        <f>IF(AND(G1144="",H1144=""),"SUPPR",SAISIE!$B$3)</f>
        <v>#REF!</v>
      </c>
      <c r="B1144" s="63" t="e">
        <f>IF(SAISIE!#REF!="","",IF(LEN(SAISIE!B81)=1,CONCATENATE("0",SAISIE!B81,"/",SAISIE!$B$4,"/",SAISIE!$B$5),CONCATENATE(SAISIE!B81,"/",SAISIE!$B$4,"/",SAISIE!$B$5)))</f>
        <v>#REF!</v>
      </c>
      <c r="C1144" s="63" t="e">
        <f>IF(SAISIE!#REF!="","",SAISIE!#REF!)</f>
        <v>#REF!</v>
      </c>
      <c r="D1144" s="63" t="e">
        <f>IF(SAISIE!#REF!="","",SAISIE!E81)</f>
        <v>#REF!</v>
      </c>
      <c r="E1144" s="63" t="e">
        <f>IF(SAISIE!#REF!="","",SAISIE!F81)</f>
        <v>#REF!</v>
      </c>
      <c r="F1144" s="70" t="e">
        <f>IF(SAISIE!#REF!="","",IF(SAISIE!$N81="","",SAISIE!$N81))</f>
        <v>#REF!</v>
      </c>
      <c r="G1144" s="63" t="e">
        <f>IF(SAISIE!#REF!="","",SAISIE!#REF!)</f>
        <v>#REF!</v>
      </c>
      <c r="H1144" s="63"/>
      <c r="I1144" s="63" t="e">
        <f>IF(SAISIE!#REF!="","",SAISIE!$Q81)</f>
        <v>#REF!</v>
      </c>
      <c r="J1144" s="71" t="str">
        <f>IF(COUNTBLANK(SAISIE!$J$6:$M$6)=4,"",IF(SAISIE!#REF!="","",IF(SAISIE!J81&gt;0,SAISIE!$J$6,IF(SAISIE!K81&gt;0,SAISIE!$K$6,IF(SAISIE!L81&gt;0,SAISIE!$L$6,IF(SAISIE!M81&gt;0,SAISIE!$M$6,""))))))</f>
        <v/>
      </c>
      <c r="O1144" s="59" t="s">
        <v>55</v>
      </c>
    </row>
    <row r="1145" spans="1:15" x14ac:dyDescent="0.25">
      <c r="A1145" s="63" t="e">
        <f>IF(AND(G1145="",H1145=""),"SUPPR",SAISIE!$B$3)</f>
        <v>#REF!</v>
      </c>
      <c r="B1145" s="63" t="e">
        <f>IF(SAISIE!#REF!="","",IF(LEN(SAISIE!B81)=1,CONCATENATE("0",SAISIE!B81,"/",SAISIE!$B$4,"/",SAISIE!$B$5),CONCATENATE(SAISIE!B81,"/",SAISIE!$B$4,"/",SAISIE!$B$5)))</f>
        <v>#REF!</v>
      </c>
      <c r="C1145" s="63" t="e">
        <f>IF(SAISIE!#REF!="","",SAISIE!#REF!)</f>
        <v>#REF!</v>
      </c>
      <c r="D1145" s="63" t="e">
        <f>IF(SAISIE!#REF!="","",SAISIE!E81)</f>
        <v>#REF!</v>
      </c>
      <c r="E1145" s="63" t="e">
        <f>IF(SAISIE!#REF!="","",SAISIE!F81)</f>
        <v>#REF!</v>
      </c>
      <c r="F1145" s="70" t="e">
        <f>IF(SAISIE!#REF!="","",IF(SAISIE!$N81="","",SAISIE!$N81))</f>
        <v>#REF!</v>
      </c>
      <c r="G1145" s="63" t="e">
        <f>IF(SAISIE!#REF!="","",SAISIE!#REF!)</f>
        <v>#REF!</v>
      </c>
      <c r="H1145" s="63"/>
      <c r="I1145" s="63" t="e">
        <f>IF(SAISIE!#REF!="","",SAISIE!$Q81)</f>
        <v>#REF!</v>
      </c>
      <c r="J1145" s="71" t="str">
        <f>IF(COUNTBLANK(SAISIE!$J$6:$M$6)=4,"",IF(SAISIE!#REF!="","",IF(SAISIE!J81&gt;0,SAISIE!$J$6,IF(SAISIE!K81&gt;0,SAISIE!$K$6,IF(SAISIE!L81&gt;0,SAISIE!$L$6,IF(SAISIE!M81&gt;0,SAISIE!$M$6,""))))))</f>
        <v/>
      </c>
      <c r="O1145" s="59" t="s">
        <v>56</v>
      </c>
    </row>
    <row r="1146" spans="1:15" x14ac:dyDescent="0.25">
      <c r="A1146" s="63" t="e">
        <f>IF(AND(G1146="",H1146=""),"SUPPR",SAISIE!$B$3)</f>
        <v>#REF!</v>
      </c>
      <c r="B1146" s="63" t="e">
        <f>IF(SAISIE!#REF!="","",IF(LEN(SAISIE!B81)=1,CONCATENATE("0",SAISIE!B81,"/",SAISIE!$B$4,"/",SAISIE!$B$5),CONCATENATE(SAISIE!B81,"/",SAISIE!$B$4,"/",SAISIE!$B$5)))</f>
        <v>#REF!</v>
      </c>
      <c r="C1146" s="63" t="e">
        <f>IF(SAISIE!#REF!="","",SAISIE!#REF!)</f>
        <v>#REF!</v>
      </c>
      <c r="D1146" s="63" t="e">
        <f>IF(SAISIE!#REF!="","",SAISIE!E81)</f>
        <v>#REF!</v>
      </c>
      <c r="E1146" s="63" t="e">
        <f>IF(SAISIE!#REF!="","",SAISIE!F81)</f>
        <v>#REF!</v>
      </c>
      <c r="F1146" s="70" t="e">
        <f>IF(SAISIE!#REF!="","",IF(SAISIE!$N81="","",SAISIE!$N81))</f>
        <v>#REF!</v>
      </c>
      <c r="G1146" s="63" t="e">
        <f>IF(SAISIE!#REF!="","",SAISIE!#REF!)</f>
        <v>#REF!</v>
      </c>
      <c r="H1146" s="63"/>
      <c r="I1146" s="63" t="e">
        <f>IF(SAISIE!#REF!="","",SAISIE!$Q81)</f>
        <v>#REF!</v>
      </c>
      <c r="J1146" s="71" t="str">
        <f>IF(COUNTBLANK(SAISIE!$J$6:$M$6)=4,"",IF(SAISIE!#REF!="","",IF(SAISIE!J81&gt;0,SAISIE!$J$6,IF(SAISIE!K81&gt;0,SAISIE!$K$6,IF(SAISIE!L81&gt;0,SAISIE!$L$6,IF(SAISIE!M81&gt;0,SAISIE!$M$6,""))))))</f>
        <v/>
      </c>
      <c r="O1146" s="59" t="s">
        <v>57</v>
      </c>
    </row>
    <row r="1147" spans="1:15" x14ac:dyDescent="0.25">
      <c r="A1147" s="63" t="e">
        <f>IF(AND(G1147="",H1147=""),"SUPPR",SAISIE!$B$3)</f>
        <v>#REF!</v>
      </c>
      <c r="B1147" s="63" t="e">
        <f>IF(SAISIE!#REF!="","",IF(LEN(SAISIE!B81)=1,CONCATENATE("0",SAISIE!B81,"/",SAISIE!$B$4,"/",SAISIE!$B$5),CONCATENATE(SAISIE!B81,"/",SAISIE!$B$4,"/",SAISIE!$B$5)))</f>
        <v>#REF!</v>
      </c>
      <c r="C1147" s="63" t="e">
        <f>IF(SAISIE!#REF!="","",SAISIE!#REF!)</f>
        <v>#REF!</v>
      </c>
      <c r="D1147" s="63" t="e">
        <f>IF(SAISIE!#REF!="","",SAISIE!E81)</f>
        <v>#REF!</v>
      </c>
      <c r="E1147" s="63" t="e">
        <f>IF(SAISIE!#REF!="","",SAISIE!F81)</f>
        <v>#REF!</v>
      </c>
      <c r="F1147" s="70" t="e">
        <f>IF(SAISIE!#REF!="","",IF(SAISIE!$N81="","",SAISIE!$N81))</f>
        <v>#REF!</v>
      </c>
      <c r="G1147" s="63" t="e">
        <f>IF(SAISIE!#REF!="","",SAISIE!#REF!)</f>
        <v>#REF!</v>
      </c>
      <c r="H1147" s="63"/>
      <c r="I1147" s="63" t="e">
        <f>IF(SAISIE!#REF!="","",SAISIE!$Q81)</f>
        <v>#REF!</v>
      </c>
      <c r="J1147" s="71" t="str">
        <f>IF(COUNTBLANK(SAISIE!$J$6:$M$6)=4,"",IF(SAISIE!#REF!="","",IF(SAISIE!J81&gt;0,SAISIE!$J$6,IF(SAISIE!K81&gt;0,SAISIE!$K$6,IF(SAISIE!L81&gt;0,SAISIE!$L$6,IF(SAISIE!M81&gt;0,SAISIE!$M$6,""))))))</f>
        <v/>
      </c>
      <c r="O1147" s="59" t="s">
        <v>58</v>
      </c>
    </row>
    <row r="1148" spans="1:15" x14ac:dyDescent="0.25">
      <c r="A1148" s="63" t="e">
        <f>IF(AND(G1148="",H1148=""),"SUPPR",SAISIE!$B$3)</f>
        <v>#REF!</v>
      </c>
      <c r="B1148" s="63" t="e">
        <f>IF(SAISIE!#REF!="","",IF(LEN(SAISIE!B81)=1,CONCATENATE("0",SAISIE!B81,"/",SAISIE!$B$4,"/",SAISIE!$B$5),CONCATENATE(SAISIE!B81,"/",SAISIE!$B$4,"/",SAISIE!$B$5)))</f>
        <v>#REF!</v>
      </c>
      <c r="C1148" s="63" t="e">
        <f>IF(SAISIE!#REF!="","",SAISIE!#REF!)</f>
        <v>#REF!</v>
      </c>
      <c r="D1148" s="63" t="e">
        <f>IF(SAISIE!#REF!="","",SAISIE!E81)</f>
        <v>#REF!</v>
      </c>
      <c r="E1148" s="63" t="e">
        <f>IF(SAISIE!#REF!="","",SAISIE!F81)</f>
        <v>#REF!</v>
      </c>
      <c r="F1148" s="70" t="e">
        <f>IF(SAISIE!#REF!="","",IF(SAISIE!$N81="","",SAISIE!$N81))</f>
        <v>#REF!</v>
      </c>
      <c r="G1148" s="63" t="e">
        <f>IF(SAISIE!#REF!="","",SAISIE!#REF!)</f>
        <v>#REF!</v>
      </c>
      <c r="H1148" s="63"/>
      <c r="I1148" s="63" t="e">
        <f>IF(SAISIE!#REF!="","",SAISIE!$Q81)</f>
        <v>#REF!</v>
      </c>
      <c r="J1148" s="71" t="str">
        <f>IF(COUNTBLANK(SAISIE!$J$6:$M$6)=4,"",IF(SAISIE!#REF!="","",IF(SAISIE!J81&gt;0,SAISIE!$J$6,IF(SAISIE!K81&gt;0,SAISIE!$K$6,IF(SAISIE!L81&gt;0,SAISIE!$L$6,IF(SAISIE!M81&gt;0,SAISIE!$M$6,""))))))</f>
        <v/>
      </c>
      <c r="O1148" s="59" t="s">
        <v>59</v>
      </c>
    </row>
    <row r="1149" spans="1:15" x14ac:dyDescent="0.25">
      <c r="A1149" s="63" t="e">
        <f>IF(AND(G1149="",H1149=""),"SUPPR",SAISIE!$B$3)</f>
        <v>#REF!</v>
      </c>
      <c r="B1149" s="63" t="e">
        <f>IF(SAISIE!#REF!="","",IF(LEN(SAISIE!B81)=1,CONCATENATE("0",SAISIE!B81,"/",SAISIE!$B$4,"/",SAISIE!$B$5),CONCATENATE(SAISIE!B81,"/",SAISIE!$B$4,"/",SAISIE!$B$5)))</f>
        <v>#REF!</v>
      </c>
      <c r="C1149" s="63" t="e">
        <f>IF(SAISIE!#REF!="","",SAISIE!#REF!)</f>
        <v>#REF!</v>
      </c>
      <c r="D1149" s="63" t="e">
        <f>IF(SAISIE!#REF!="","",SAISIE!E81)</f>
        <v>#REF!</v>
      </c>
      <c r="E1149" s="63" t="e">
        <f>IF(SAISIE!#REF!="","",SAISIE!F81)</f>
        <v>#REF!</v>
      </c>
      <c r="F1149" s="70" t="e">
        <f>IF(SAISIE!#REF!="","",IF(SAISIE!$N81="","",SAISIE!$N81))</f>
        <v>#REF!</v>
      </c>
      <c r="G1149" s="63" t="e">
        <f>IF(SAISIE!#REF!="","",SAISIE!#REF!)</f>
        <v>#REF!</v>
      </c>
      <c r="H1149" s="63"/>
      <c r="I1149" s="63" t="e">
        <f>IF(SAISIE!#REF!="","",SAISIE!$Q81)</f>
        <v>#REF!</v>
      </c>
      <c r="J1149" s="71" t="str">
        <f>IF(COUNTBLANK(SAISIE!$J$6:$M$6)=4,"",IF(SAISIE!#REF!="","",IF(SAISIE!J81&gt;0,SAISIE!$J$6,IF(SAISIE!K81&gt;0,SAISIE!$K$6,IF(SAISIE!L81&gt;0,SAISIE!$L$6,IF(SAISIE!M81&gt;0,SAISIE!$M$6,""))))))</f>
        <v/>
      </c>
      <c r="O1149" s="59" t="s">
        <v>60</v>
      </c>
    </row>
    <row r="1150" spans="1:15" x14ac:dyDescent="0.25">
      <c r="A1150" s="63" t="str">
        <f>IF(AND(G1150="",H1150=""),"SUPPR",SAISIE!$B$3)</f>
        <v>SUPPR</v>
      </c>
      <c r="B1150" s="63" t="str">
        <f>IF(SAISIE!J81="","",IF(LEN(SAISIE!B81)=1,CONCATENATE("0",SAISIE!B81,"/",SAISIE!$B$4,"/",SAISIE!$B$5),CONCATENATE(SAISIE!B81,"/",SAISIE!$B$4,"/",SAISIE!$B$5)))</f>
        <v/>
      </c>
      <c r="C1150" s="63" t="str">
        <f>IF(SAISIE!J81="","",SAISIE!$J$8)</f>
        <v/>
      </c>
      <c r="D1150" s="63" t="str">
        <f>IF(SAISIE!J81="","",SAISIE!E81)</f>
        <v/>
      </c>
      <c r="E1150" s="63" t="str">
        <f>IF(SAISIE!J81="","",SAISIE!F81)</f>
        <v/>
      </c>
      <c r="F1150" s="70" t="str">
        <f>IF(SAISIE!$J81="","",IF(SAISIE!$N81="","",SAISIE!$N81))</f>
        <v/>
      </c>
      <c r="G1150" s="63" t="str">
        <f>IF(SAISIE!J81="","",SAISIE!J81)</f>
        <v/>
      </c>
      <c r="H1150" s="63"/>
      <c r="I1150" s="72"/>
      <c r="J1150" s="71"/>
      <c r="O1150" s="73"/>
    </row>
    <row r="1151" spans="1:15" x14ac:dyDescent="0.25">
      <c r="A1151" s="63" t="str">
        <f>IF(AND(G1151="",H1151=""),"SUPPR",SAISIE!$B$3)</f>
        <v>SUPPR</v>
      </c>
      <c r="B1151" s="63" t="str">
        <f>IF(SAISIE!K81="","",IF(LEN(SAISIE!B81)=1,CONCATENATE("0",SAISIE!B81,"/",SAISIE!$B$4,"/",SAISIE!$B$5),CONCATENATE(SAISIE!B81,"/",SAISIE!$B$4,"/",SAISIE!$B$5)))</f>
        <v/>
      </c>
      <c r="C1151" s="63" t="str">
        <f>IF(SAISIE!K81="","",SAISIE!$K$8)</f>
        <v/>
      </c>
      <c r="D1151" s="63" t="str">
        <f>IF(SAISIE!K81="","",SAISIE!E81)</f>
        <v/>
      </c>
      <c r="E1151" s="63" t="str">
        <f>IF(SAISIE!K81="","",SAISIE!F81)</f>
        <v/>
      </c>
      <c r="F1151" s="70" t="str">
        <f>IF(SAISIE!$K81="","",IF(SAISIE!$N81="","",SAISIE!$N81))</f>
        <v/>
      </c>
      <c r="G1151" s="63" t="str">
        <f>IF(SAISIE!K81="","",SAISIE!K81)</f>
        <v/>
      </c>
      <c r="H1151" s="63"/>
      <c r="I1151" s="72"/>
      <c r="J1151" s="71"/>
    </row>
    <row r="1152" spans="1:15" x14ac:dyDescent="0.25">
      <c r="A1152" s="63" t="str">
        <f>IF(AND(G1152="",H1152=""),"SUPPR",SAISIE!$B$3)</f>
        <v>SUPPR</v>
      </c>
      <c r="B1152" s="63" t="str">
        <f>IF(SAISIE!L81="","",IF(LEN(SAISIE!B81)=1,CONCATENATE("0",SAISIE!B81,"/",SAISIE!$B$4,"/",SAISIE!$B$5),CONCATENATE(SAISIE!B81,"/",SAISIE!$B$4,"/",SAISIE!$B$5)))</f>
        <v/>
      </c>
      <c r="C1152" s="63" t="str">
        <f>IF(SAISIE!L81="","",SAISIE!$L$8)</f>
        <v/>
      </c>
      <c r="D1152" s="63" t="str">
        <f>IF(SAISIE!L81="","",SAISIE!E81)</f>
        <v/>
      </c>
      <c r="E1152" s="63" t="str">
        <f>IF(SAISIE!L81="","",SAISIE!F81)</f>
        <v/>
      </c>
      <c r="F1152" s="70" t="str">
        <f>IF(SAISIE!$L81="","",IF(SAISIE!$N81="","",SAISIE!$N81))</f>
        <v/>
      </c>
      <c r="G1152" s="63" t="str">
        <f>IF(SAISIE!L81="","",SAISIE!L81)</f>
        <v/>
      </c>
      <c r="H1152" s="63"/>
      <c r="I1152" s="72"/>
      <c r="J1152" s="71"/>
    </row>
    <row r="1153" spans="1:15" x14ac:dyDescent="0.25">
      <c r="A1153" s="63" t="str">
        <f>IF(AND(G1153="",H1153=""),"SUPPR",SAISIE!$B$3)</f>
        <v>SUPPR</v>
      </c>
      <c r="B1153" s="63" t="str">
        <f>IF(SAISIE!M81="","",IF(LEN(SAISIE!B81)=1,CONCATENATE("0",SAISIE!B81,"/",SAISIE!$B$4,"/",SAISIE!$B$5),CONCATENATE(SAISIE!B81,"/",SAISIE!$B$4,"/",SAISIE!$B$5)))</f>
        <v/>
      </c>
      <c r="C1153" s="74" t="str">
        <f>IF(SAISIE!M81="","",SAISIE!$M$8)</f>
        <v/>
      </c>
      <c r="D1153" s="74" t="str">
        <f>IF(SAISIE!M81="","",SAISIE!E81)</f>
        <v/>
      </c>
      <c r="E1153" s="74" t="str">
        <f>IF(SAISIE!M81="","",SAISIE!F81)</f>
        <v/>
      </c>
      <c r="F1153" s="75" t="str">
        <f>IF(SAISIE!$M81="","",IF(SAISIE!$N81="","",SAISIE!$N81))</f>
        <v/>
      </c>
      <c r="G1153" s="74" t="str">
        <f>IF(SAISIE!M81="","",SAISIE!M81)</f>
        <v/>
      </c>
      <c r="H1153" s="76"/>
      <c r="I1153" s="77"/>
      <c r="J1153" s="78"/>
    </row>
    <row r="1154" spans="1:15" x14ac:dyDescent="0.25">
      <c r="A1154" s="63" t="str">
        <f>IF(AND(G1154="",H1154=""),"SUPPR",SAISIE!$B$3)</f>
        <v>SUPPR</v>
      </c>
      <c r="B1154" s="64" t="str">
        <f>IF(SAISIE!B82="","",IF(LEN(SAISIE!B82)=1,CONCATENATE("0",SAISIE!B82,"/",SAISIE!$B$4,"/",SAISIE!$B$5),CONCATENATE(SAISIE!B82,"/",SAISIE!$B$4,"/",SAISIE!$B$5)))</f>
        <v/>
      </c>
      <c r="C1154" s="64" t="str">
        <f>IF(SAISIE!B82="","",CONCATENATE($M$2,SAISIE!C82))</f>
        <v/>
      </c>
      <c r="D1154" s="64" t="str">
        <f>IF(SAISIE!B82="","",SAISIE!E82)</f>
        <v/>
      </c>
      <c r="E1154" s="64" t="str">
        <f>IF(SAISIE!B82="","",SAISIE!F82)</f>
        <v/>
      </c>
      <c r="F1154" s="65" t="str">
        <f>IF(A1154="SUPPR","",IF(SAISIE!$N82="","",SAISIE!$N82))</f>
        <v/>
      </c>
      <c r="G1154" s="64"/>
      <c r="H1154" s="64" t="str">
        <f>IF(SAISIE!B82="","",SAISIE!D82)</f>
        <v/>
      </c>
      <c r="I1154" s="66"/>
      <c r="J1154" s="67" t="str">
        <f>IF(AZ82="","","")</f>
        <v/>
      </c>
      <c r="O1154" s="69">
        <f>O1138+1</f>
        <v>82</v>
      </c>
    </row>
    <row r="1155" spans="1:15" x14ac:dyDescent="0.25">
      <c r="A1155" s="63" t="str">
        <f>IF(AND(G1155="",H1155=""),"SUPPR",SAISIE!$B$3)</f>
        <v>SUPPR</v>
      </c>
      <c r="B1155" s="63" t="str">
        <f>IF(SAISIE!P82="","",IF(LEN(SAISIE!B82)=1,CONCATENATE("0",SAISIE!B82,"/",SAISIE!$B$4,"/",SAISIE!$B$5),CONCATENATE(SAISIE!B82,"/",SAISIE!$B$4,"/",SAISIE!$B$5)))</f>
        <v/>
      </c>
      <c r="C1155" s="63" t="str">
        <f>IF(SAISIE!P82="","",SAISIE!O82)</f>
        <v/>
      </c>
      <c r="D1155" s="63" t="str">
        <f>IF(SAISIE!P82="","",SAISIE!E82)</f>
        <v/>
      </c>
      <c r="E1155" s="63" t="str">
        <f>IF(SAISIE!P82="","",SAISIE!F82)</f>
        <v/>
      </c>
      <c r="F1155" s="70" t="str">
        <f>IF(SAISIE!$P82="","",IF(SAISIE!$N82="","",SAISIE!$N82))</f>
        <v/>
      </c>
      <c r="G1155" s="63" t="str">
        <f>IF(SAISIE!P82="","",SAISIE!P82)</f>
        <v/>
      </c>
      <c r="H1155" s="63"/>
      <c r="I1155" s="63" t="str">
        <f>IF(SAISIE!$P82="","",SAISIE!$Q82)</f>
        <v/>
      </c>
      <c r="J1155" s="71" t="str">
        <f>IF(COUNTBLANK(SAISIE!$J$6:$M$6)=4,"",IF(SAISIE!P82="","",IF(SAISIE!J82&gt;0,SAISIE!$J$6,IF(SAISIE!K82&gt;0,SAISIE!$K$6,IF(SAISIE!L82&gt;0,SAISIE!$L$6,IF(SAISIE!M82&gt;0,SAISIE!$M$6,""))))))</f>
        <v/>
      </c>
      <c r="O1155" s="59" t="s">
        <v>50</v>
      </c>
    </row>
    <row r="1156" spans="1:15" x14ac:dyDescent="0.25">
      <c r="A1156" s="63" t="str">
        <f>IF(AND(G1156="",H1156=""),"SUPPR",SAISIE!$B$3)</f>
        <v>SUPPR</v>
      </c>
      <c r="B1156" s="63" t="str">
        <f>IF(SAISIE!G82="","",IF(LEN(SAISIE!B82)=1,CONCATENATE("0",SAISIE!B82,"/",SAISIE!$B$4,"/",SAISIE!$B$5),CONCATENATE(SAISIE!B82,"/",SAISIE!$B$4,"/",SAISIE!$B$5)))</f>
        <v/>
      </c>
      <c r="C1156" s="63" t="str">
        <f>IF(SAISIE!G82="","",SAISIE!$G$8)</f>
        <v/>
      </c>
      <c r="D1156" s="63" t="str">
        <f>IF(SAISIE!G82="","",SAISIE!E82)</f>
        <v/>
      </c>
      <c r="E1156" s="63" t="str">
        <f>IF(SAISIE!G82="","",SAISIE!F82)</f>
        <v/>
      </c>
      <c r="F1156" s="70" t="str">
        <f>IF(SAISIE!$G82="","",IF(SAISIE!$N82="","",SAISIE!$N82))</f>
        <v/>
      </c>
      <c r="G1156" s="63" t="str">
        <f>IF(SAISIE!G82="","",SAISIE!G82)</f>
        <v/>
      </c>
      <c r="H1156" s="63"/>
      <c r="I1156" s="63" t="str">
        <f>IF(SAISIE!$G82="","",SAISIE!$Q82)</f>
        <v/>
      </c>
      <c r="J1156" s="71" t="str">
        <f>IF(COUNTBLANK(SAISIE!$J$6:$M$6)=4,"",IF(SAISIE!G82="","",IF(SAISIE!J82&gt;0,SAISIE!$J$6,IF(SAISIE!K82&gt;0,SAISIE!$K$6,IF(SAISIE!L82&gt;0,SAISIE!$L$6,IF(SAISIE!M82&gt;0,SAISIE!$M$6,""))))))</f>
        <v/>
      </c>
      <c r="O1156" s="59" t="s">
        <v>51</v>
      </c>
    </row>
    <row r="1157" spans="1:15" x14ac:dyDescent="0.25">
      <c r="A1157" s="63" t="str">
        <f>IF(AND(G1157="",H1157=""),"SUPPR",SAISIE!$B$3)</f>
        <v>SUPPR</v>
      </c>
      <c r="B1157" s="63" t="str">
        <f>IF(SAISIE!H82="","",IF(LEN(SAISIE!B82)=1,CONCATENATE("0",SAISIE!B82,"/",SAISIE!$B$4,"/",SAISIE!$B$5),CONCATENATE(SAISIE!B82,"/",SAISIE!$B$4,"/",SAISIE!$B$5)))</f>
        <v/>
      </c>
      <c r="C1157" s="63" t="str">
        <f>IF(SAISIE!H82="","",SAISIE!$H$8)</f>
        <v/>
      </c>
      <c r="D1157" s="63" t="str">
        <f>IF(SAISIE!H82="","",SAISIE!E82)</f>
        <v/>
      </c>
      <c r="E1157" s="63" t="str">
        <f>IF(SAISIE!H82="","",SAISIE!F82)</f>
        <v/>
      </c>
      <c r="F1157" s="70" t="str">
        <f>IF(SAISIE!$H82="","",IF(SAISIE!$N82="","",SAISIE!$N82))</f>
        <v/>
      </c>
      <c r="G1157" s="63" t="str">
        <f>IF(SAISIE!H82="","",SAISIE!H82)</f>
        <v/>
      </c>
      <c r="H1157" s="63"/>
      <c r="I1157" s="63" t="str">
        <f>IF(SAISIE!$H82="","",SAISIE!$Q82)</f>
        <v/>
      </c>
      <c r="J1157" s="71" t="str">
        <f>IF(COUNTBLANK(SAISIE!$J$6:$M$6)=4,"",IF(SAISIE!H82="","",IF(SAISIE!J82&gt;0,SAISIE!$J$6,IF(SAISIE!K82&gt;0,SAISIE!$K$6,IF(SAISIE!L82&gt;0,SAISIE!$L$6,IF(SAISIE!M82&gt;0,SAISIE!$M$6,""))))))</f>
        <v/>
      </c>
      <c r="O1157" s="59" t="s">
        <v>52</v>
      </c>
    </row>
    <row r="1158" spans="1:15" x14ac:dyDescent="0.25">
      <c r="A1158" s="63" t="str">
        <f>IF(AND(G1158="",H1158=""),"SUPPR",SAISIE!$B$3)</f>
        <v>SUPPR</v>
      </c>
      <c r="B1158" s="63" t="str">
        <f>IF(SAISIE!I82="","",IF(LEN(SAISIE!B82)=1,CONCATENATE("0",SAISIE!B82,"/",SAISIE!$B$4,"/",SAISIE!$B$5),CONCATENATE(SAISIE!B82,"/",SAISIE!$B$4,"/",SAISIE!$B$5)))</f>
        <v/>
      </c>
      <c r="C1158" s="63" t="str">
        <f>IF(SAISIE!I82="","",SAISIE!$I$8)</f>
        <v/>
      </c>
      <c r="D1158" s="63" t="str">
        <f>IF(SAISIE!I82="","",SAISIE!E82)</f>
        <v/>
      </c>
      <c r="E1158" s="63" t="str">
        <f>IF(SAISIE!I82="","",SAISIE!F82)</f>
        <v/>
      </c>
      <c r="F1158" s="70" t="str">
        <f>IF(SAISIE!$I82="","",IF(SAISIE!$N82="","",SAISIE!$N82))</f>
        <v/>
      </c>
      <c r="G1158" s="63" t="str">
        <f>IF(SAISIE!I82="","",SAISIE!I82)</f>
        <v/>
      </c>
      <c r="H1158" s="63"/>
      <c r="I1158" s="63" t="str">
        <f>IF(SAISIE!$I82="","",SAISIE!$Q82)</f>
        <v/>
      </c>
      <c r="J1158" s="71" t="str">
        <f>IF(COUNTBLANK(SAISIE!$J$6:$M$6)=4,"",IF(SAISIE!I82="","",IF(SAISIE!J82&gt;0,SAISIE!$J$6,IF(SAISIE!K82&gt;0,SAISIE!$K$6,IF(SAISIE!L82&gt;0,SAISIE!$L$6,IF(SAISIE!M82&gt;0,SAISIE!$M$6,""))))))</f>
        <v/>
      </c>
      <c r="O1158" s="59" t="s">
        <v>53</v>
      </c>
    </row>
    <row r="1159" spans="1:15" x14ac:dyDescent="0.25">
      <c r="A1159" s="63" t="e">
        <f>IF(AND(G1159="",H1159=""),"SUPPR",SAISIE!$B$3)</f>
        <v>#REF!</v>
      </c>
      <c r="B1159" s="63" t="e">
        <f>IF(SAISIE!#REF!="","",IF(LEN(SAISIE!B82)=1,CONCATENATE("0",SAISIE!B82,"/",SAISIE!$B$4,"/",SAISIE!$B$5),CONCATENATE(SAISIE!B82,"/",SAISIE!$B$4,"/",SAISIE!$B$5)))</f>
        <v>#REF!</v>
      </c>
      <c r="C1159" s="63" t="e">
        <f>IF(SAISIE!#REF!="","",SAISIE!#REF!)</f>
        <v>#REF!</v>
      </c>
      <c r="D1159" s="63" t="e">
        <f>IF(SAISIE!#REF!="","",SAISIE!E82)</f>
        <v>#REF!</v>
      </c>
      <c r="E1159" s="63" t="e">
        <f>IF(SAISIE!#REF!="","",SAISIE!F82)</f>
        <v>#REF!</v>
      </c>
      <c r="F1159" s="70" t="e">
        <f>IF(SAISIE!#REF!="","",IF(SAISIE!$N82="","",SAISIE!$N82))</f>
        <v>#REF!</v>
      </c>
      <c r="G1159" s="63" t="e">
        <f>IF(SAISIE!#REF!="","",SAISIE!#REF!)</f>
        <v>#REF!</v>
      </c>
      <c r="H1159" s="63"/>
      <c r="I1159" s="63" t="e">
        <f>IF(SAISIE!#REF!="","",SAISIE!$Q82)</f>
        <v>#REF!</v>
      </c>
      <c r="J1159" s="71" t="str">
        <f>IF(COUNTBLANK(SAISIE!$J$6:$M$6)=4,"",IF(SAISIE!#REF!="","",IF(SAISIE!J82&gt;0,SAISIE!$J$6,IF(SAISIE!K82&gt;0,SAISIE!$K$6,IF(SAISIE!L82&gt;0,SAISIE!$L$6,IF(SAISIE!M82&gt;0,SAISIE!$M$6,""))))))</f>
        <v/>
      </c>
      <c r="O1159" s="59" t="s">
        <v>54</v>
      </c>
    </row>
    <row r="1160" spans="1:15" x14ac:dyDescent="0.25">
      <c r="A1160" s="63" t="e">
        <f>IF(AND(G1160="",H1160=""),"SUPPR",SAISIE!$B$3)</f>
        <v>#REF!</v>
      </c>
      <c r="B1160" s="63" t="e">
        <f>IF(SAISIE!#REF!="","",IF(LEN(SAISIE!B82)=1,CONCATENATE("0",SAISIE!B82,"/",SAISIE!$B$4,"/",SAISIE!$B$5),CONCATENATE(SAISIE!B82,"/",SAISIE!$B$4,"/",SAISIE!$B$5)))</f>
        <v>#REF!</v>
      </c>
      <c r="C1160" s="63" t="e">
        <f>IF(SAISIE!#REF!="","",SAISIE!#REF!)</f>
        <v>#REF!</v>
      </c>
      <c r="D1160" s="63" t="e">
        <f>IF(SAISIE!#REF!="","",SAISIE!E82)</f>
        <v>#REF!</v>
      </c>
      <c r="E1160" s="63" t="e">
        <f>IF(SAISIE!#REF!="","",SAISIE!F82)</f>
        <v>#REF!</v>
      </c>
      <c r="F1160" s="70" t="e">
        <f>IF(SAISIE!#REF!="","",IF(SAISIE!$N82="","",SAISIE!$N82))</f>
        <v>#REF!</v>
      </c>
      <c r="G1160" s="63" t="e">
        <f>IF(SAISIE!#REF!="","",SAISIE!#REF!)</f>
        <v>#REF!</v>
      </c>
      <c r="H1160" s="63"/>
      <c r="I1160" s="63" t="e">
        <f>IF(SAISIE!#REF!="","",SAISIE!$Q82)</f>
        <v>#REF!</v>
      </c>
      <c r="J1160" s="71" t="str">
        <f>IF(COUNTBLANK(SAISIE!$J$6:$M$6)=4,"",IF(SAISIE!#REF!="","",IF(SAISIE!J82&gt;0,SAISIE!$J$6,IF(SAISIE!K82&gt;0,SAISIE!$K$6,IF(SAISIE!L82&gt;0,SAISIE!$L$6,IF(SAISIE!M82&gt;0,SAISIE!$M$6,""))))))</f>
        <v/>
      </c>
      <c r="O1160" s="59" t="s">
        <v>55</v>
      </c>
    </row>
    <row r="1161" spans="1:15" x14ac:dyDescent="0.25">
      <c r="A1161" s="63" t="e">
        <f>IF(AND(G1161="",H1161=""),"SUPPR",SAISIE!$B$3)</f>
        <v>#REF!</v>
      </c>
      <c r="B1161" s="63" t="e">
        <f>IF(SAISIE!#REF!="","",IF(LEN(SAISIE!B82)=1,CONCATENATE("0",SAISIE!B82,"/",SAISIE!$B$4,"/",SAISIE!$B$5),CONCATENATE(SAISIE!B82,"/",SAISIE!$B$4,"/",SAISIE!$B$5)))</f>
        <v>#REF!</v>
      </c>
      <c r="C1161" s="63" t="e">
        <f>IF(SAISIE!#REF!="","",SAISIE!#REF!)</f>
        <v>#REF!</v>
      </c>
      <c r="D1161" s="63" t="e">
        <f>IF(SAISIE!#REF!="","",SAISIE!E82)</f>
        <v>#REF!</v>
      </c>
      <c r="E1161" s="63" t="e">
        <f>IF(SAISIE!#REF!="","",SAISIE!F82)</f>
        <v>#REF!</v>
      </c>
      <c r="F1161" s="70" t="e">
        <f>IF(SAISIE!#REF!="","",IF(SAISIE!$N82="","",SAISIE!$N82))</f>
        <v>#REF!</v>
      </c>
      <c r="G1161" s="63" t="e">
        <f>IF(SAISIE!#REF!="","",SAISIE!#REF!)</f>
        <v>#REF!</v>
      </c>
      <c r="H1161" s="63"/>
      <c r="I1161" s="63" t="e">
        <f>IF(SAISIE!#REF!="","",SAISIE!$Q82)</f>
        <v>#REF!</v>
      </c>
      <c r="J1161" s="71" t="str">
        <f>IF(COUNTBLANK(SAISIE!$J$6:$M$6)=4,"",IF(SAISIE!#REF!="","",IF(SAISIE!J82&gt;0,SAISIE!$J$6,IF(SAISIE!K82&gt;0,SAISIE!$K$6,IF(SAISIE!L82&gt;0,SAISIE!$L$6,IF(SAISIE!M82&gt;0,SAISIE!$M$6,""))))))</f>
        <v/>
      </c>
      <c r="O1161" s="59" t="s">
        <v>56</v>
      </c>
    </row>
    <row r="1162" spans="1:15" x14ac:dyDescent="0.25">
      <c r="A1162" s="63" t="e">
        <f>IF(AND(G1162="",H1162=""),"SUPPR",SAISIE!$B$3)</f>
        <v>#REF!</v>
      </c>
      <c r="B1162" s="63" t="e">
        <f>IF(SAISIE!#REF!="","",IF(LEN(SAISIE!B82)=1,CONCATENATE("0",SAISIE!B82,"/",SAISIE!$B$4,"/",SAISIE!$B$5),CONCATENATE(SAISIE!B82,"/",SAISIE!$B$4,"/",SAISIE!$B$5)))</f>
        <v>#REF!</v>
      </c>
      <c r="C1162" s="63" t="e">
        <f>IF(SAISIE!#REF!="","",SAISIE!#REF!)</f>
        <v>#REF!</v>
      </c>
      <c r="D1162" s="63" t="e">
        <f>IF(SAISIE!#REF!="","",SAISIE!E82)</f>
        <v>#REF!</v>
      </c>
      <c r="E1162" s="63" t="e">
        <f>IF(SAISIE!#REF!="","",SAISIE!F82)</f>
        <v>#REF!</v>
      </c>
      <c r="F1162" s="70" t="e">
        <f>IF(SAISIE!#REF!="","",IF(SAISIE!$N82="","",SAISIE!$N82))</f>
        <v>#REF!</v>
      </c>
      <c r="G1162" s="63" t="e">
        <f>IF(SAISIE!#REF!="","",SAISIE!#REF!)</f>
        <v>#REF!</v>
      </c>
      <c r="H1162" s="63"/>
      <c r="I1162" s="63" t="e">
        <f>IF(SAISIE!#REF!="","",SAISIE!$Q82)</f>
        <v>#REF!</v>
      </c>
      <c r="J1162" s="71" t="str">
        <f>IF(COUNTBLANK(SAISIE!$J$6:$M$6)=4,"",IF(SAISIE!#REF!="","",IF(SAISIE!J82&gt;0,SAISIE!$J$6,IF(SAISIE!K82&gt;0,SAISIE!$K$6,IF(SAISIE!L82&gt;0,SAISIE!$L$6,IF(SAISIE!M82&gt;0,SAISIE!$M$6,""))))))</f>
        <v/>
      </c>
      <c r="O1162" s="59" t="s">
        <v>57</v>
      </c>
    </row>
    <row r="1163" spans="1:15" x14ac:dyDescent="0.25">
      <c r="A1163" s="63" t="e">
        <f>IF(AND(G1163="",H1163=""),"SUPPR",SAISIE!$B$3)</f>
        <v>#REF!</v>
      </c>
      <c r="B1163" s="63" t="e">
        <f>IF(SAISIE!#REF!="","",IF(LEN(SAISIE!B82)=1,CONCATENATE("0",SAISIE!B82,"/",SAISIE!$B$4,"/",SAISIE!$B$5),CONCATENATE(SAISIE!B82,"/",SAISIE!$B$4,"/",SAISIE!$B$5)))</f>
        <v>#REF!</v>
      </c>
      <c r="C1163" s="63" t="e">
        <f>IF(SAISIE!#REF!="","",SAISIE!#REF!)</f>
        <v>#REF!</v>
      </c>
      <c r="D1163" s="63" t="e">
        <f>IF(SAISIE!#REF!="","",SAISIE!E82)</f>
        <v>#REF!</v>
      </c>
      <c r="E1163" s="63" t="e">
        <f>IF(SAISIE!#REF!="","",SAISIE!F82)</f>
        <v>#REF!</v>
      </c>
      <c r="F1163" s="70" t="e">
        <f>IF(SAISIE!#REF!="","",IF(SAISIE!$N82="","",SAISIE!$N82))</f>
        <v>#REF!</v>
      </c>
      <c r="G1163" s="63" t="e">
        <f>IF(SAISIE!#REF!="","",SAISIE!#REF!)</f>
        <v>#REF!</v>
      </c>
      <c r="H1163" s="63"/>
      <c r="I1163" s="63" t="e">
        <f>IF(SAISIE!#REF!="","",SAISIE!$Q82)</f>
        <v>#REF!</v>
      </c>
      <c r="J1163" s="71" t="str">
        <f>IF(COUNTBLANK(SAISIE!$J$6:$M$6)=4,"",IF(SAISIE!#REF!="","",IF(SAISIE!J82&gt;0,SAISIE!$J$6,IF(SAISIE!K82&gt;0,SAISIE!$K$6,IF(SAISIE!L82&gt;0,SAISIE!$L$6,IF(SAISIE!M82&gt;0,SAISIE!$M$6,""))))))</f>
        <v/>
      </c>
      <c r="O1163" s="59" t="s">
        <v>58</v>
      </c>
    </row>
    <row r="1164" spans="1:15" x14ac:dyDescent="0.25">
      <c r="A1164" s="63" t="e">
        <f>IF(AND(G1164="",H1164=""),"SUPPR",SAISIE!$B$3)</f>
        <v>#REF!</v>
      </c>
      <c r="B1164" s="63" t="e">
        <f>IF(SAISIE!#REF!="","",IF(LEN(SAISIE!B82)=1,CONCATENATE("0",SAISIE!B82,"/",SAISIE!$B$4,"/",SAISIE!$B$5),CONCATENATE(SAISIE!B82,"/",SAISIE!$B$4,"/",SAISIE!$B$5)))</f>
        <v>#REF!</v>
      </c>
      <c r="C1164" s="63" t="e">
        <f>IF(SAISIE!#REF!="","",SAISIE!#REF!)</f>
        <v>#REF!</v>
      </c>
      <c r="D1164" s="63" t="e">
        <f>IF(SAISIE!#REF!="","",SAISIE!E82)</f>
        <v>#REF!</v>
      </c>
      <c r="E1164" s="63" t="e">
        <f>IF(SAISIE!#REF!="","",SAISIE!F82)</f>
        <v>#REF!</v>
      </c>
      <c r="F1164" s="70" t="e">
        <f>IF(SAISIE!#REF!="","",IF(SAISIE!$N82="","",SAISIE!$N82))</f>
        <v>#REF!</v>
      </c>
      <c r="G1164" s="63" t="e">
        <f>IF(SAISIE!#REF!="","",SAISIE!#REF!)</f>
        <v>#REF!</v>
      </c>
      <c r="H1164" s="63"/>
      <c r="I1164" s="63" t="e">
        <f>IF(SAISIE!#REF!="","",SAISIE!$Q82)</f>
        <v>#REF!</v>
      </c>
      <c r="J1164" s="71" t="str">
        <f>IF(COUNTBLANK(SAISIE!$J$6:$M$6)=4,"",IF(SAISIE!#REF!="","",IF(SAISIE!J82&gt;0,SAISIE!$J$6,IF(SAISIE!K82&gt;0,SAISIE!$K$6,IF(SAISIE!L82&gt;0,SAISIE!$L$6,IF(SAISIE!M82&gt;0,SAISIE!$M$6,""))))))</f>
        <v/>
      </c>
      <c r="O1164" s="59" t="s">
        <v>59</v>
      </c>
    </row>
    <row r="1165" spans="1:15" x14ac:dyDescent="0.25">
      <c r="A1165" s="63" t="e">
        <f>IF(AND(G1165="",H1165=""),"SUPPR",SAISIE!$B$3)</f>
        <v>#REF!</v>
      </c>
      <c r="B1165" s="63" t="e">
        <f>IF(SAISIE!#REF!="","",IF(LEN(SAISIE!B82)=1,CONCATENATE("0",SAISIE!B82,"/",SAISIE!$B$4,"/",SAISIE!$B$5),CONCATENATE(SAISIE!B82,"/",SAISIE!$B$4,"/",SAISIE!$B$5)))</f>
        <v>#REF!</v>
      </c>
      <c r="C1165" s="63" t="e">
        <f>IF(SAISIE!#REF!="","",SAISIE!#REF!)</f>
        <v>#REF!</v>
      </c>
      <c r="D1165" s="63" t="e">
        <f>IF(SAISIE!#REF!="","",SAISIE!E82)</f>
        <v>#REF!</v>
      </c>
      <c r="E1165" s="63" t="e">
        <f>IF(SAISIE!#REF!="","",SAISIE!F82)</f>
        <v>#REF!</v>
      </c>
      <c r="F1165" s="70" t="e">
        <f>IF(SAISIE!#REF!="","",IF(SAISIE!$N82="","",SAISIE!$N82))</f>
        <v>#REF!</v>
      </c>
      <c r="G1165" s="63" t="e">
        <f>IF(SAISIE!#REF!="","",SAISIE!#REF!)</f>
        <v>#REF!</v>
      </c>
      <c r="H1165" s="63"/>
      <c r="I1165" s="63" t="e">
        <f>IF(SAISIE!#REF!="","",SAISIE!$Q82)</f>
        <v>#REF!</v>
      </c>
      <c r="J1165" s="71" t="str">
        <f>IF(COUNTBLANK(SAISIE!$J$6:$M$6)=4,"",IF(SAISIE!#REF!="","",IF(SAISIE!J82&gt;0,SAISIE!$J$6,IF(SAISIE!K82&gt;0,SAISIE!$K$6,IF(SAISIE!L82&gt;0,SAISIE!$L$6,IF(SAISIE!M82&gt;0,SAISIE!$M$6,""))))))</f>
        <v/>
      </c>
      <c r="O1165" s="59" t="s">
        <v>60</v>
      </c>
    </row>
    <row r="1166" spans="1:15" x14ac:dyDescent="0.25">
      <c r="A1166" s="63" t="str">
        <f>IF(AND(G1166="",H1166=""),"SUPPR",SAISIE!$B$3)</f>
        <v>SUPPR</v>
      </c>
      <c r="B1166" s="63" t="str">
        <f>IF(SAISIE!J82="","",IF(LEN(SAISIE!B82)=1,CONCATENATE("0",SAISIE!B82,"/",SAISIE!$B$4,"/",SAISIE!$B$5),CONCATENATE(SAISIE!B82,"/",SAISIE!$B$4,"/",SAISIE!$B$5)))</f>
        <v/>
      </c>
      <c r="C1166" s="63" t="str">
        <f>IF(SAISIE!J82="","",SAISIE!$J$8)</f>
        <v/>
      </c>
      <c r="D1166" s="63" t="str">
        <f>IF(SAISIE!J82="","",SAISIE!E82)</f>
        <v/>
      </c>
      <c r="E1166" s="63" t="str">
        <f>IF(SAISIE!J82="","",SAISIE!F82)</f>
        <v/>
      </c>
      <c r="F1166" s="70" t="str">
        <f>IF(SAISIE!$J82="","",IF(SAISIE!$N82="","",SAISIE!$N82))</f>
        <v/>
      </c>
      <c r="G1166" s="63" t="str">
        <f>IF(SAISIE!J82="","",SAISIE!J82)</f>
        <v/>
      </c>
      <c r="H1166" s="63"/>
      <c r="I1166" s="72"/>
      <c r="J1166" s="71"/>
      <c r="O1166" s="73"/>
    </row>
    <row r="1167" spans="1:15" x14ac:dyDescent="0.25">
      <c r="A1167" s="63" t="str">
        <f>IF(AND(G1167="",H1167=""),"SUPPR",SAISIE!$B$3)</f>
        <v>SUPPR</v>
      </c>
      <c r="B1167" s="63" t="str">
        <f>IF(SAISIE!K82="","",IF(LEN(SAISIE!B82)=1,CONCATENATE("0",SAISIE!B82,"/",SAISIE!$B$4,"/",SAISIE!$B$5),CONCATENATE(SAISIE!B82,"/",SAISIE!$B$4,"/",SAISIE!$B$5)))</f>
        <v/>
      </c>
      <c r="C1167" s="63" t="str">
        <f>IF(SAISIE!K82="","",SAISIE!$K$8)</f>
        <v/>
      </c>
      <c r="D1167" s="63" t="str">
        <f>IF(SAISIE!K82="","",SAISIE!E82)</f>
        <v/>
      </c>
      <c r="E1167" s="63" t="str">
        <f>IF(SAISIE!K82="","",SAISIE!F82)</f>
        <v/>
      </c>
      <c r="F1167" s="70" t="str">
        <f>IF(SAISIE!$K82="","",IF(SAISIE!$N82="","",SAISIE!$N82))</f>
        <v/>
      </c>
      <c r="G1167" s="63" t="str">
        <f>IF(SAISIE!K82="","",SAISIE!K82)</f>
        <v/>
      </c>
      <c r="H1167" s="63"/>
      <c r="I1167" s="72"/>
      <c r="J1167" s="71"/>
    </row>
    <row r="1168" spans="1:15" x14ac:dyDescent="0.25">
      <c r="A1168" s="63" t="str">
        <f>IF(AND(G1168="",H1168=""),"SUPPR",SAISIE!$B$3)</f>
        <v>SUPPR</v>
      </c>
      <c r="B1168" s="63" t="str">
        <f>IF(SAISIE!L82="","",IF(LEN(SAISIE!B82)=1,CONCATENATE("0",SAISIE!B82,"/",SAISIE!$B$4,"/",SAISIE!$B$5),CONCATENATE(SAISIE!B82,"/",SAISIE!$B$4,"/",SAISIE!$B$5)))</f>
        <v/>
      </c>
      <c r="C1168" s="63" t="str">
        <f>IF(SAISIE!L82="","",SAISIE!$L$8)</f>
        <v/>
      </c>
      <c r="D1168" s="63" t="str">
        <f>IF(SAISIE!L82="","",SAISIE!E82)</f>
        <v/>
      </c>
      <c r="E1168" s="63" t="str">
        <f>IF(SAISIE!L82="","",SAISIE!F82)</f>
        <v/>
      </c>
      <c r="F1168" s="70" t="str">
        <f>IF(SAISIE!$L82="","",IF(SAISIE!$N82="","",SAISIE!$N82))</f>
        <v/>
      </c>
      <c r="G1168" s="63" t="str">
        <f>IF(SAISIE!L82="","",SAISIE!L82)</f>
        <v/>
      </c>
      <c r="H1168" s="63"/>
      <c r="I1168" s="72"/>
      <c r="J1168" s="71"/>
    </row>
    <row r="1169" spans="1:15" x14ac:dyDescent="0.25">
      <c r="A1169" s="63" t="str">
        <f>IF(AND(G1169="",H1169=""),"SUPPR",SAISIE!$B$3)</f>
        <v>SUPPR</v>
      </c>
      <c r="B1169" s="63" t="str">
        <f>IF(SAISIE!M82="","",IF(LEN(SAISIE!B82)=1,CONCATENATE("0",SAISIE!B82,"/",SAISIE!$B$4,"/",SAISIE!$B$5),CONCATENATE(SAISIE!B82,"/",SAISIE!$B$4,"/",SAISIE!$B$5)))</f>
        <v/>
      </c>
      <c r="C1169" s="74" t="str">
        <f>IF(SAISIE!M82="","",SAISIE!$M$8)</f>
        <v/>
      </c>
      <c r="D1169" s="74" t="str">
        <f>IF(SAISIE!M82="","",SAISIE!E82)</f>
        <v/>
      </c>
      <c r="E1169" s="74" t="str">
        <f>IF(SAISIE!M82="","",SAISIE!F82)</f>
        <v/>
      </c>
      <c r="F1169" s="75" t="str">
        <f>IF(SAISIE!$M82="","",IF(SAISIE!$N82="","",SAISIE!$N82))</f>
        <v/>
      </c>
      <c r="G1169" s="74" t="str">
        <f>IF(SAISIE!M82="","",SAISIE!M82)</f>
        <v/>
      </c>
      <c r="H1169" s="76"/>
      <c r="I1169" s="77"/>
      <c r="J1169" s="78"/>
    </row>
    <row r="1170" spans="1:15" x14ac:dyDescent="0.25">
      <c r="A1170" s="63" t="str">
        <f>IF(AND(G1170="",H1170=""),"SUPPR",SAISIE!$B$3)</f>
        <v>SUPPR</v>
      </c>
      <c r="B1170" s="64" t="str">
        <f>IF(SAISIE!B83="","",IF(LEN(SAISIE!B83)=1,CONCATENATE("0",SAISIE!B83,"/",SAISIE!$B$4,"/",SAISIE!$B$5),CONCATENATE(SAISIE!B83,"/",SAISIE!$B$4,"/",SAISIE!$B$5)))</f>
        <v/>
      </c>
      <c r="C1170" s="64" t="str">
        <f>IF(SAISIE!B83="","",CONCATENATE($M$2,SAISIE!C83))</f>
        <v/>
      </c>
      <c r="D1170" s="64" t="str">
        <f>IF(SAISIE!B83="","",SAISIE!E83)</f>
        <v/>
      </c>
      <c r="E1170" s="64" t="str">
        <f>IF(SAISIE!B83="","",SAISIE!F83)</f>
        <v/>
      </c>
      <c r="F1170" s="65" t="str">
        <f>IF(A1170="SUPPR","",IF(SAISIE!$N83="","",SAISIE!$N83))</f>
        <v/>
      </c>
      <c r="G1170" s="64"/>
      <c r="H1170" s="64" t="str">
        <f>IF(SAISIE!B83="","",SAISIE!D83)</f>
        <v/>
      </c>
      <c r="I1170" s="66"/>
      <c r="J1170" s="67" t="str">
        <f>IF(AZ83="","","")</f>
        <v/>
      </c>
      <c r="O1170" s="69">
        <f>O1154+1</f>
        <v>83</v>
      </c>
    </row>
    <row r="1171" spans="1:15" x14ac:dyDescent="0.25">
      <c r="A1171" s="63" t="str">
        <f>IF(AND(G1171="",H1171=""),"SUPPR",SAISIE!$B$3)</f>
        <v>SUPPR</v>
      </c>
      <c r="B1171" s="63" t="str">
        <f>IF(SAISIE!P83="","",IF(LEN(SAISIE!B83)=1,CONCATENATE("0",SAISIE!B83,"/",SAISIE!$B$4,"/",SAISIE!$B$5),CONCATENATE(SAISIE!B83,"/",SAISIE!$B$4,"/",SAISIE!$B$5)))</f>
        <v/>
      </c>
      <c r="C1171" s="63" t="str">
        <f>IF(SAISIE!P83="","",SAISIE!O83)</f>
        <v/>
      </c>
      <c r="D1171" s="63" t="str">
        <f>IF(SAISIE!P83="","",SAISIE!E83)</f>
        <v/>
      </c>
      <c r="E1171" s="63" t="str">
        <f>IF(SAISIE!P83="","",SAISIE!F83)</f>
        <v/>
      </c>
      <c r="F1171" s="70" t="str">
        <f>IF(SAISIE!$P83="","",IF(SAISIE!$N83="","",SAISIE!$N83))</f>
        <v/>
      </c>
      <c r="G1171" s="63" t="str">
        <f>IF(SAISIE!P83="","",SAISIE!P83)</f>
        <v/>
      </c>
      <c r="H1171" s="63"/>
      <c r="I1171" s="63" t="str">
        <f>IF(SAISIE!$P83="","",SAISIE!$Q83)</f>
        <v/>
      </c>
      <c r="J1171" s="71" t="str">
        <f>IF(COUNTBLANK(SAISIE!$J$6:$M$6)=4,"",IF(SAISIE!P83="","",IF(SAISIE!J83&gt;0,SAISIE!$J$6,IF(SAISIE!K83&gt;0,SAISIE!$K$6,IF(SAISIE!L83&gt;0,SAISIE!$L$6,IF(SAISIE!M83&gt;0,SAISIE!$M$6,""))))))</f>
        <v/>
      </c>
      <c r="O1171" s="59" t="s">
        <v>50</v>
      </c>
    </row>
    <row r="1172" spans="1:15" x14ac:dyDescent="0.25">
      <c r="A1172" s="63" t="str">
        <f>IF(AND(G1172="",H1172=""),"SUPPR",SAISIE!$B$3)</f>
        <v>SUPPR</v>
      </c>
      <c r="B1172" s="63" t="str">
        <f>IF(SAISIE!G83="","",IF(LEN(SAISIE!B83)=1,CONCATENATE("0",SAISIE!B83,"/",SAISIE!$B$4,"/",SAISIE!$B$5),CONCATENATE(SAISIE!B83,"/",SAISIE!$B$4,"/",SAISIE!$B$5)))</f>
        <v/>
      </c>
      <c r="C1172" s="63" t="str">
        <f>IF(SAISIE!G83="","",SAISIE!$G$8)</f>
        <v/>
      </c>
      <c r="D1172" s="63" t="str">
        <f>IF(SAISIE!G83="","",SAISIE!E83)</f>
        <v/>
      </c>
      <c r="E1172" s="63" t="str">
        <f>IF(SAISIE!G83="","",SAISIE!F83)</f>
        <v/>
      </c>
      <c r="F1172" s="70" t="str">
        <f>IF(SAISIE!$G83="","",IF(SAISIE!$N83="","",SAISIE!$N83))</f>
        <v/>
      </c>
      <c r="G1172" s="63" t="str">
        <f>IF(SAISIE!G83="","",SAISIE!G83)</f>
        <v/>
      </c>
      <c r="H1172" s="63"/>
      <c r="I1172" s="63" t="str">
        <f>IF(SAISIE!$G83="","",SAISIE!$Q83)</f>
        <v/>
      </c>
      <c r="J1172" s="71" t="str">
        <f>IF(COUNTBLANK(SAISIE!$J$6:$M$6)=4,"",IF(SAISIE!G83="","",IF(SAISIE!J83&gt;0,SAISIE!$J$6,IF(SAISIE!K83&gt;0,SAISIE!$K$6,IF(SAISIE!L83&gt;0,SAISIE!$L$6,IF(SAISIE!M83&gt;0,SAISIE!$M$6,""))))))</f>
        <v/>
      </c>
      <c r="O1172" s="59" t="s">
        <v>51</v>
      </c>
    </row>
    <row r="1173" spans="1:15" x14ac:dyDescent="0.25">
      <c r="A1173" s="63" t="str">
        <f>IF(AND(G1173="",H1173=""),"SUPPR",SAISIE!$B$3)</f>
        <v>SUPPR</v>
      </c>
      <c r="B1173" s="63" t="str">
        <f>IF(SAISIE!H83="","",IF(LEN(SAISIE!B83)=1,CONCATENATE("0",SAISIE!B83,"/",SAISIE!$B$4,"/",SAISIE!$B$5),CONCATENATE(SAISIE!B83,"/",SAISIE!$B$4,"/",SAISIE!$B$5)))</f>
        <v/>
      </c>
      <c r="C1173" s="63" t="str">
        <f>IF(SAISIE!H83="","",SAISIE!$H$8)</f>
        <v/>
      </c>
      <c r="D1173" s="63" t="str">
        <f>IF(SAISIE!H83="","",SAISIE!E83)</f>
        <v/>
      </c>
      <c r="E1173" s="63" t="str">
        <f>IF(SAISIE!H83="","",SAISIE!F83)</f>
        <v/>
      </c>
      <c r="F1173" s="70" t="str">
        <f>IF(SAISIE!$H83="","",IF(SAISIE!$N83="","",SAISIE!$N83))</f>
        <v/>
      </c>
      <c r="G1173" s="63" t="str">
        <f>IF(SAISIE!H83="","",SAISIE!H83)</f>
        <v/>
      </c>
      <c r="H1173" s="63"/>
      <c r="I1173" s="63" t="str">
        <f>IF(SAISIE!$H83="","",SAISIE!$Q83)</f>
        <v/>
      </c>
      <c r="J1173" s="71" t="str">
        <f>IF(COUNTBLANK(SAISIE!$J$6:$M$6)=4,"",IF(SAISIE!H83="","",IF(SAISIE!J83&gt;0,SAISIE!$J$6,IF(SAISIE!K83&gt;0,SAISIE!$K$6,IF(SAISIE!L83&gt;0,SAISIE!$L$6,IF(SAISIE!M83&gt;0,SAISIE!$M$6,""))))))</f>
        <v/>
      </c>
      <c r="O1173" s="59" t="s">
        <v>52</v>
      </c>
    </row>
    <row r="1174" spans="1:15" x14ac:dyDescent="0.25">
      <c r="A1174" s="63" t="str">
        <f>IF(AND(G1174="",H1174=""),"SUPPR",SAISIE!$B$3)</f>
        <v>SUPPR</v>
      </c>
      <c r="B1174" s="63" t="str">
        <f>IF(SAISIE!I83="","",IF(LEN(SAISIE!B83)=1,CONCATENATE("0",SAISIE!B83,"/",SAISIE!$B$4,"/",SAISIE!$B$5),CONCATENATE(SAISIE!B83,"/",SAISIE!$B$4,"/",SAISIE!$B$5)))</f>
        <v/>
      </c>
      <c r="C1174" s="63" t="str">
        <f>IF(SAISIE!I83="","",SAISIE!$I$8)</f>
        <v/>
      </c>
      <c r="D1174" s="63" t="str">
        <f>IF(SAISIE!I83="","",SAISIE!E83)</f>
        <v/>
      </c>
      <c r="E1174" s="63" t="str">
        <f>IF(SAISIE!I83="","",SAISIE!F83)</f>
        <v/>
      </c>
      <c r="F1174" s="70" t="str">
        <f>IF(SAISIE!$I83="","",IF(SAISIE!$N83="","",SAISIE!$N83))</f>
        <v/>
      </c>
      <c r="G1174" s="63" t="str">
        <f>IF(SAISIE!I83="","",SAISIE!I83)</f>
        <v/>
      </c>
      <c r="H1174" s="63"/>
      <c r="I1174" s="63" t="str">
        <f>IF(SAISIE!$I83="","",SAISIE!$Q83)</f>
        <v/>
      </c>
      <c r="J1174" s="71" t="str">
        <f>IF(COUNTBLANK(SAISIE!$J$6:$M$6)=4,"",IF(SAISIE!I83="","",IF(SAISIE!J83&gt;0,SAISIE!$J$6,IF(SAISIE!K83&gt;0,SAISIE!$K$6,IF(SAISIE!L83&gt;0,SAISIE!$L$6,IF(SAISIE!M83&gt;0,SAISIE!$M$6,""))))))</f>
        <v/>
      </c>
      <c r="O1174" s="59" t="s">
        <v>53</v>
      </c>
    </row>
    <row r="1175" spans="1:15" x14ac:dyDescent="0.25">
      <c r="A1175" s="63" t="e">
        <f>IF(AND(G1175="",H1175=""),"SUPPR",SAISIE!$B$3)</f>
        <v>#REF!</v>
      </c>
      <c r="B1175" s="63" t="e">
        <f>IF(SAISIE!#REF!="","",IF(LEN(SAISIE!B83)=1,CONCATENATE("0",SAISIE!B83,"/",SAISIE!$B$4,"/",SAISIE!$B$5),CONCATENATE(SAISIE!B83,"/",SAISIE!$B$4,"/",SAISIE!$B$5)))</f>
        <v>#REF!</v>
      </c>
      <c r="C1175" s="63" t="e">
        <f>IF(SAISIE!#REF!="","",SAISIE!#REF!)</f>
        <v>#REF!</v>
      </c>
      <c r="D1175" s="63" t="e">
        <f>IF(SAISIE!#REF!="","",SAISIE!E83)</f>
        <v>#REF!</v>
      </c>
      <c r="E1175" s="63" t="e">
        <f>IF(SAISIE!#REF!="","",SAISIE!F83)</f>
        <v>#REF!</v>
      </c>
      <c r="F1175" s="70" t="e">
        <f>IF(SAISIE!#REF!="","",IF(SAISIE!$N83="","",SAISIE!$N83))</f>
        <v>#REF!</v>
      </c>
      <c r="G1175" s="63" t="e">
        <f>IF(SAISIE!#REF!="","",SAISIE!#REF!)</f>
        <v>#REF!</v>
      </c>
      <c r="H1175" s="63"/>
      <c r="I1175" s="63" t="e">
        <f>IF(SAISIE!#REF!="","",SAISIE!$Q83)</f>
        <v>#REF!</v>
      </c>
      <c r="J1175" s="71" t="str">
        <f>IF(COUNTBLANK(SAISIE!$J$6:$M$6)=4,"",IF(SAISIE!#REF!="","",IF(SAISIE!J83&gt;0,SAISIE!$J$6,IF(SAISIE!K83&gt;0,SAISIE!$K$6,IF(SAISIE!L83&gt;0,SAISIE!$L$6,IF(SAISIE!M83&gt;0,SAISIE!$M$6,""))))))</f>
        <v/>
      </c>
      <c r="O1175" s="59" t="s">
        <v>54</v>
      </c>
    </row>
    <row r="1176" spans="1:15" x14ac:dyDescent="0.25">
      <c r="A1176" s="63" t="e">
        <f>IF(AND(G1176="",H1176=""),"SUPPR",SAISIE!$B$3)</f>
        <v>#REF!</v>
      </c>
      <c r="B1176" s="63" t="e">
        <f>IF(SAISIE!#REF!="","",IF(LEN(SAISIE!B83)=1,CONCATENATE("0",SAISIE!B83,"/",SAISIE!$B$4,"/",SAISIE!$B$5),CONCATENATE(SAISIE!B83,"/",SAISIE!$B$4,"/",SAISIE!$B$5)))</f>
        <v>#REF!</v>
      </c>
      <c r="C1176" s="63" t="e">
        <f>IF(SAISIE!#REF!="","",SAISIE!#REF!)</f>
        <v>#REF!</v>
      </c>
      <c r="D1176" s="63" t="e">
        <f>IF(SAISIE!#REF!="","",SAISIE!E83)</f>
        <v>#REF!</v>
      </c>
      <c r="E1176" s="63" t="e">
        <f>IF(SAISIE!#REF!="","",SAISIE!F83)</f>
        <v>#REF!</v>
      </c>
      <c r="F1176" s="70" t="e">
        <f>IF(SAISIE!#REF!="","",IF(SAISIE!$N83="","",SAISIE!$N83))</f>
        <v>#REF!</v>
      </c>
      <c r="G1176" s="63" t="e">
        <f>IF(SAISIE!#REF!="","",SAISIE!#REF!)</f>
        <v>#REF!</v>
      </c>
      <c r="H1176" s="63"/>
      <c r="I1176" s="63" t="e">
        <f>IF(SAISIE!#REF!="","",SAISIE!$Q83)</f>
        <v>#REF!</v>
      </c>
      <c r="J1176" s="71" t="str">
        <f>IF(COUNTBLANK(SAISIE!$J$6:$M$6)=4,"",IF(SAISIE!#REF!="","",IF(SAISIE!J83&gt;0,SAISIE!$J$6,IF(SAISIE!K83&gt;0,SAISIE!$K$6,IF(SAISIE!L83&gt;0,SAISIE!$L$6,IF(SAISIE!M83&gt;0,SAISIE!$M$6,""))))))</f>
        <v/>
      </c>
      <c r="O1176" s="59" t="s">
        <v>55</v>
      </c>
    </row>
    <row r="1177" spans="1:15" x14ac:dyDescent="0.25">
      <c r="A1177" s="63" t="e">
        <f>IF(AND(G1177="",H1177=""),"SUPPR",SAISIE!$B$3)</f>
        <v>#REF!</v>
      </c>
      <c r="B1177" s="63" t="e">
        <f>IF(SAISIE!#REF!="","",IF(LEN(SAISIE!B83)=1,CONCATENATE("0",SAISIE!B83,"/",SAISIE!$B$4,"/",SAISIE!$B$5),CONCATENATE(SAISIE!B83,"/",SAISIE!$B$4,"/",SAISIE!$B$5)))</f>
        <v>#REF!</v>
      </c>
      <c r="C1177" s="63" t="e">
        <f>IF(SAISIE!#REF!="","",SAISIE!#REF!)</f>
        <v>#REF!</v>
      </c>
      <c r="D1177" s="63" t="e">
        <f>IF(SAISIE!#REF!="","",SAISIE!E83)</f>
        <v>#REF!</v>
      </c>
      <c r="E1177" s="63" t="e">
        <f>IF(SAISIE!#REF!="","",SAISIE!F83)</f>
        <v>#REF!</v>
      </c>
      <c r="F1177" s="70" t="e">
        <f>IF(SAISIE!#REF!="","",IF(SAISIE!$N83="","",SAISIE!$N83))</f>
        <v>#REF!</v>
      </c>
      <c r="G1177" s="63" t="e">
        <f>IF(SAISIE!#REF!="","",SAISIE!#REF!)</f>
        <v>#REF!</v>
      </c>
      <c r="H1177" s="63"/>
      <c r="I1177" s="63" t="e">
        <f>IF(SAISIE!#REF!="","",SAISIE!$Q83)</f>
        <v>#REF!</v>
      </c>
      <c r="J1177" s="71" t="str">
        <f>IF(COUNTBLANK(SAISIE!$J$6:$M$6)=4,"",IF(SAISIE!#REF!="","",IF(SAISIE!J83&gt;0,SAISIE!$J$6,IF(SAISIE!K83&gt;0,SAISIE!$K$6,IF(SAISIE!L83&gt;0,SAISIE!$L$6,IF(SAISIE!M83&gt;0,SAISIE!$M$6,""))))))</f>
        <v/>
      </c>
      <c r="O1177" s="59" t="s">
        <v>56</v>
      </c>
    </row>
    <row r="1178" spans="1:15" x14ac:dyDescent="0.25">
      <c r="A1178" s="63" t="e">
        <f>IF(AND(G1178="",H1178=""),"SUPPR",SAISIE!$B$3)</f>
        <v>#REF!</v>
      </c>
      <c r="B1178" s="63" t="e">
        <f>IF(SAISIE!#REF!="","",IF(LEN(SAISIE!B83)=1,CONCATENATE("0",SAISIE!B83,"/",SAISIE!$B$4,"/",SAISIE!$B$5),CONCATENATE(SAISIE!B83,"/",SAISIE!$B$4,"/",SAISIE!$B$5)))</f>
        <v>#REF!</v>
      </c>
      <c r="C1178" s="63" t="e">
        <f>IF(SAISIE!#REF!="","",SAISIE!#REF!)</f>
        <v>#REF!</v>
      </c>
      <c r="D1178" s="63" t="e">
        <f>IF(SAISIE!#REF!="","",SAISIE!E83)</f>
        <v>#REF!</v>
      </c>
      <c r="E1178" s="63" t="e">
        <f>IF(SAISIE!#REF!="","",SAISIE!F83)</f>
        <v>#REF!</v>
      </c>
      <c r="F1178" s="70" t="e">
        <f>IF(SAISIE!#REF!="","",IF(SAISIE!$N83="","",SAISIE!$N83))</f>
        <v>#REF!</v>
      </c>
      <c r="G1178" s="63" t="e">
        <f>IF(SAISIE!#REF!="","",SAISIE!#REF!)</f>
        <v>#REF!</v>
      </c>
      <c r="H1178" s="63"/>
      <c r="I1178" s="63" t="e">
        <f>IF(SAISIE!#REF!="","",SAISIE!$Q83)</f>
        <v>#REF!</v>
      </c>
      <c r="J1178" s="71" t="str">
        <f>IF(COUNTBLANK(SAISIE!$J$6:$M$6)=4,"",IF(SAISIE!#REF!="","",IF(SAISIE!J83&gt;0,SAISIE!$J$6,IF(SAISIE!K83&gt;0,SAISIE!$K$6,IF(SAISIE!L83&gt;0,SAISIE!$L$6,IF(SAISIE!M83&gt;0,SAISIE!$M$6,""))))))</f>
        <v/>
      </c>
      <c r="O1178" s="59" t="s">
        <v>57</v>
      </c>
    </row>
    <row r="1179" spans="1:15" x14ac:dyDescent="0.25">
      <c r="A1179" s="63" t="e">
        <f>IF(AND(G1179="",H1179=""),"SUPPR",SAISIE!$B$3)</f>
        <v>#REF!</v>
      </c>
      <c r="B1179" s="63" t="e">
        <f>IF(SAISIE!#REF!="","",IF(LEN(SAISIE!B83)=1,CONCATENATE("0",SAISIE!B83,"/",SAISIE!$B$4,"/",SAISIE!$B$5),CONCATENATE(SAISIE!B83,"/",SAISIE!$B$4,"/",SAISIE!$B$5)))</f>
        <v>#REF!</v>
      </c>
      <c r="C1179" s="63" t="e">
        <f>IF(SAISIE!#REF!="","",SAISIE!#REF!)</f>
        <v>#REF!</v>
      </c>
      <c r="D1179" s="63" t="e">
        <f>IF(SAISIE!#REF!="","",SAISIE!E83)</f>
        <v>#REF!</v>
      </c>
      <c r="E1179" s="63" t="e">
        <f>IF(SAISIE!#REF!="","",SAISIE!F83)</f>
        <v>#REF!</v>
      </c>
      <c r="F1179" s="70" t="e">
        <f>IF(SAISIE!#REF!="","",IF(SAISIE!$N83="","",SAISIE!$N83))</f>
        <v>#REF!</v>
      </c>
      <c r="G1179" s="63" t="e">
        <f>IF(SAISIE!#REF!="","",SAISIE!#REF!)</f>
        <v>#REF!</v>
      </c>
      <c r="H1179" s="63"/>
      <c r="I1179" s="63" t="e">
        <f>IF(SAISIE!#REF!="","",SAISIE!$Q83)</f>
        <v>#REF!</v>
      </c>
      <c r="J1179" s="71" t="str">
        <f>IF(COUNTBLANK(SAISIE!$J$6:$M$6)=4,"",IF(SAISIE!#REF!="","",IF(SAISIE!J83&gt;0,SAISIE!$J$6,IF(SAISIE!K83&gt;0,SAISIE!$K$6,IF(SAISIE!L83&gt;0,SAISIE!$L$6,IF(SAISIE!M83&gt;0,SAISIE!$M$6,""))))))</f>
        <v/>
      </c>
      <c r="O1179" s="59" t="s">
        <v>58</v>
      </c>
    </row>
    <row r="1180" spans="1:15" x14ac:dyDescent="0.25">
      <c r="A1180" s="63" t="e">
        <f>IF(AND(G1180="",H1180=""),"SUPPR",SAISIE!$B$3)</f>
        <v>#REF!</v>
      </c>
      <c r="B1180" s="63" t="e">
        <f>IF(SAISIE!#REF!="","",IF(LEN(SAISIE!B83)=1,CONCATENATE("0",SAISIE!B83,"/",SAISIE!$B$4,"/",SAISIE!$B$5),CONCATENATE(SAISIE!B83,"/",SAISIE!$B$4,"/",SAISIE!$B$5)))</f>
        <v>#REF!</v>
      </c>
      <c r="C1180" s="63" t="e">
        <f>IF(SAISIE!#REF!="","",SAISIE!#REF!)</f>
        <v>#REF!</v>
      </c>
      <c r="D1180" s="63" t="e">
        <f>IF(SAISIE!#REF!="","",SAISIE!E83)</f>
        <v>#REF!</v>
      </c>
      <c r="E1180" s="63" t="e">
        <f>IF(SAISIE!#REF!="","",SAISIE!F83)</f>
        <v>#REF!</v>
      </c>
      <c r="F1180" s="70" t="e">
        <f>IF(SAISIE!#REF!="","",IF(SAISIE!$N83="","",SAISIE!$N83))</f>
        <v>#REF!</v>
      </c>
      <c r="G1180" s="63" t="e">
        <f>IF(SAISIE!#REF!="","",SAISIE!#REF!)</f>
        <v>#REF!</v>
      </c>
      <c r="H1180" s="63"/>
      <c r="I1180" s="63" t="e">
        <f>IF(SAISIE!#REF!="","",SAISIE!$Q83)</f>
        <v>#REF!</v>
      </c>
      <c r="J1180" s="71" t="str">
        <f>IF(COUNTBLANK(SAISIE!$J$6:$M$6)=4,"",IF(SAISIE!#REF!="","",IF(SAISIE!J83&gt;0,SAISIE!$J$6,IF(SAISIE!K83&gt;0,SAISIE!$K$6,IF(SAISIE!L83&gt;0,SAISIE!$L$6,IF(SAISIE!M83&gt;0,SAISIE!$M$6,""))))))</f>
        <v/>
      </c>
      <c r="O1180" s="59" t="s">
        <v>59</v>
      </c>
    </row>
    <row r="1181" spans="1:15" x14ac:dyDescent="0.25">
      <c r="A1181" s="63" t="e">
        <f>IF(AND(G1181="",H1181=""),"SUPPR",SAISIE!$B$3)</f>
        <v>#REF!</v>
      </c>
      <c r="B1181" s="63" t="e">
        <f>IF(SAISIE!#REF!="","",IF(LEN(SAISIE!B83)=1,CONCATENATE("0",SAISIE!B83,"/",SAISIE!$B$4,"/",SAISIE!$B$5),CONCATENATE(SAISIE!B83,"/",SAISIE!$B$4,"/",SAISIE!$B$5)))</f>
        <v>#REF!</v>
      </c>
      <c r="C1181" s="63" t="e">
        <f>IF(SAISIE!#REF!="","",SAISIE!#REF!)</f>
        <v>#REF!</v>
      </c>
      <c r="D1181" s="63" t="e">
        <f>IF(SAISIE!#REF!="","",SAISIE!E83)</f>
        <v>#REF!</v>
      </c>
      <c r="E1181" s="63" t="e">
        <f>IF(SAISIE!#REF!="","",SAISIE!F83)</f>
        <v>#REF!</v>
      </c>
      <c r="F1181" s="70" t="e">
        <f>IF(SAISIE!#REF!="","",IF(SAISIE!$N83="","",SAISIE!$N83))</f>
        <v>#REF!</v>
      </c>
      <c r="G1181" s="63" t="e">
        <f>IF(SAISIE!#REF!="","",SAISIE!#REF!)</f>
        <v>#REF!</v>
      </c>
      <c r="H1181" s="63"/>
      <c r="I1181" s="63" t="e">
        <f>IF(SAISIE!#REF!="","",SAISIE!$Q83)</f>
        <v>#REF!</v>
      </c>
      <c r="J1181" s="71" t="str">
        <f>IF(COUNTBLANK(SAISIE!$J$6:$M$6)=4,"",IF(SAISIE!#REF!="","",IF(SAISIE!J83&gt;0,SAISIE!$J$6,IF(SAISIE!K83&gt;0,SAISIE!$K$6,IF(SAISIE!L83&gt;0,SAISIE!$L$6,IF(SAISIE!M83&gt;0,SAISIE!$M$6,""))))))</f>
        <v/>
      </c>
      <c r="O1181" s="59" t="s">
        <v>60</v>
      </c>
    </row>
    <row r="1182" spans="1:15" x14ac:dyDescent="0.25">
      <c r="A1182" s="63" t="str">
        <f>IF(AND(G1182="",H1182=""),"SUPPR",SAISIE!$B$3)</f>
        <v>SUPPR</v>
      </c>
      <c r="B1182" s="63" t="str">
        <f>IF(SAISIE!J83="","",IF(LEN(SAISIE!B83)=1,CONCATENATE("0",SAISIE!B83,"/",SAISIE!$B$4,"/",SAISIE!$B$5),CONCATENATE(SAISIE!B83,"/",SAISIE!$B$4,"/",SAISIE!$B$5)))</f>
        <v/>
      </c>
      <c r="C1182" s="63" t="str">
        <f>IF(SAISIE!J83="","",SAISIE!$J$8)</f>
        <v/>
      </c>
      <c r="D1182" s="63" t="str">
        <f>IF(SAISIE!J83="","",SAISIE!E83)</f>
        <v/>
      </c>
      <c r="E1182" s="63" t="str">
        <f>IF(SAISIE!J83="","",SAISIE!F83)</f>
        <v/>
      </c>
      <c r="F1182" s="70" t="str">
        <f>IF(SAISIE!$J83="","",IF(SAISIE!$N83="","",SAISIE!$N83))</f>
        <v/>
      </c>
      <c r="G1182" s="63" t="str">
        <f>IF(SAISIE!J83="","",SAISIE!J83)</f>
        <v/>
      </c>
      <c r="H1182" s="63"/>
      <c r="I1182" s="72"/>
      <c r="J1182" s="71"/>
      <c r="O1182" s="73"/>
    </row>
    <row r="1183" spans="1:15" x14ac:dyDescent="0.25">
      <c r="A1183" s="63" t="str">
        <f>IF(AND(G1183="",H1183=""),"SUPPR",SAISIE!$B$3)</f>
        <v>SUPPR</v>
      </c>
      <c r="B1183" s="63" t="str">
        <f>IF(SAISIE!K83="","",IF(LEN(SAISIE!B83)=1,CONCATENATE("0",SAISIE!B83,"/",SAISIE!$B$4,"/",SAISIE!$B$5),CONCATENATE(SAISIE!B83,"/",SAISIE!$B$4,"/",SAISIE!$B$5)))</f>
        <v/>
      </c>
      <c r="C1183" s="63" t="str">
        <f>IF(SAISIE!K83="","",SAISIE!$K$8)</f>
        <v/>
      </c>
      <c r="D1183" s="63" t="str">
        <f>IF(SAISIE!K83="","",SAISIE!E83)</f>
        <v/>
      </c>
      <c r="E1183" s="63" t="str">
        <f>IF(SAISIE!K83="","",SAISIE!F83)</f>
        <v/>
      </c>
      <c r="F1183" s="70" t="str">
        <f>IF(SAISIE!$K83="","",IF(SAISIE!$N83="","",SAISIE!$N83))</f>
        <v/>
      </c>
      <c r="G1183" s="63" t="str">
        <f>IF(SAISIE!K83="","",SAISIE!K83)</f>
        <v/>
      </c>
      <c r="H1183" s="63"/>
      <c r="I1183" s="72"/>
      <c r="J1183" s="71"/>
    </row>
    <row r="1184" spans="1:15" x14ac:dyDescent="0.25">
      <c r="A1184" s="63" t="str">
        <f>IF(AND(G1184="",H1184=""),"SUPPR",SAISIE!$B$3)</f>
        <v>SUPPR</v>
      </c>
      <c r="B1184" s="63" t="str">
        <f>IF(SAISIE!L83="","",IF(LEN(SAISIE!B83)=1,CONCATENATE("0",SAISIE!B83,"/",SAISIE!$B$4,"/",SAISIE!$B$5),CONCATENATE(SAISIE!B83,"/",SAISIE!$B$4,"/",SAISIE!$B$5)))</f>
        <v/>
      </c>
      <c r="C1184" s="63" t="str">
        <f>IF(SAISIE!L83="","",SAISIE!$L$8)</f>
        <v/>
      </c>
      <c r="D1184" s="63" t="str">
        <f>IF(SAISIE!L83="","",SAISIE!E83)</f>
        <v/>
      </c>
      <c r="E1184" s="63" t="str">
        <f>IF(SAISIE!L83="","",SAISIE!F83)</f>
        <v/>
      </c>
      <c r="F1184" s="70" t="str">
        <f>IF(SAISIE!$L83="","",IF(SAISIE!$N83="","",SAISIE!$N83))</f>
        <v/>
      </c>
      <c r="G1184" s="63" t="str">
        <f>IF(SAISIE!L83="","",SAISIE!L83)</f>
        <v/>
      </c>
      <c r="H1184" s="63"/>
      <c r="I1184" s="72"/>
      <c r="J1184" s="71"/>
    </row>
    <row r="1185" spans="1:15" x14ac:dyDescent="0.25">
      <c r="A1185" s="63" t="str">
        <f>IF(AND(G1185="",H1185=""),"SUPPR",SAISIE!$B$3)</f>
        <v>SUPPR</v>
      </c>
      <c r="B1185" s="63" t="str">
        <f>IF(SAISIE!M83="","",IF(LEN(SAISIE!B83)=1,CONCATENATE("0",SAISIE!B83,"/",SAISIE!$B$4,"/",SAISIE!$B$5),CONCATENATE(SAISIE!B83,"/",SAISIE!$B$4,"/",SAISIE!$B$5)))</f>
        <v/>
      </c>
      <c r="C1185" s="74" t="str">
        <f>IF(SAISIE!M83="","",SAISIE!$M$8)</f>
        <v/>
      </c>
      <c r="D1185" s="74" t="str">
        <f>IF(SAISIE!M83="","",SAISIE!E83)</f>
        <v/>
      </c>
      <c r="E1185" s="74" t="str">
        <f>IF(SAISIE!M83="","",SAISIE!F83)</f>
        <v/>
      </c>
      <c r="F1185" s="75" t="str">
        <f>IF(SAISIE!$M83="","",IF(SAISIE!$N83="","",SAISIE!$N83))</f>
        <v/>
      </c>
      <c r="G1185" s="74" t="str">
        <f>IF(SAISIE!M83="","",SAISIE!M83)</f>
        <v/>
      </c>
      <c r="H1185" s="76"/>
      <c r="I1185" s="77"/>
      <c r="J1185" s="78"/>
    </row>
    <row r="1186" spans="1:15" x14ac:dyDescent="0.25">
      <c r="A1186" s="63" t="str">
        <f>IF(AND(G1186="",H1186=""),"SUPPR",SAISIE!$B$3)</f>
        <v>SUPPR</v>
      </c>
      <c r="B1186" s="64" t="str">
        <f>IF(SAISIE!B84="","",IF(LEN(SAISIE!B84)=1,CONCATENATE("0",SAISIE!B84,"/",SAISIE!$B$4,"/",SAISIE!$B$5),CONCATENATE(SAISIE!B84,"/",SAISIE!$B$4,"/",SAISIE!$B$5)))</f>
        <v/>
      </c>
      <c r="C1186" s="64" t="str">
        <f>IF(SAISIE!B84="","",CONCATENATE($M$2,SAISIE!C84))</f>
        <v/>
      </c>
      <c r="D1186" s="64" t="str">
        <f>IF(SAISIE!B84="","",SAISIE!E84)</f>
        <v/>
      </c>
      <c r="E1186" s="64" t="str">
        <f>IF(SAISIE!B84="","",SAISIE!F84)</f>
        <v/>
      </c>
      <c r="F1186" s="65" t="str">
        <f>IF(A1186="SUPPR","",IF(SAISIE!$N84="","",SAISIE!$N84))</f>
        <v/>
      </c>
      <c r="G1186" s="64"/>
      <c r="H1186" s="64" t="str">
        <f>IF(SAISIE!B84="","",SAISIE!D84)</f>
        <v/>
      </c>
      <c r="I1186" s="66"/>
      <c r="J1186" s="67" t="str">
        <f>IF(AZ84="","","")</f>
        <v/>
      </c>
      <c r="O1186" s="69">
        <f>O1170+1</f>
        <v>84</v>
      </c>
    </row>
    <row r="1187" spans="1:15" x14ac:dyDescent="0.25">
      <c r="A1187" s="63" t="str">
        <f>IF(AND(G1187="",H1187=""),"SUPPR",SAISIE!$B$3)</f>
        <v>SUPPR</v>
      </c>
      <c r="B1187" s="63" t="str">
        <f>IF(SAISIE!P84="","",IF(LEN(SAISIE!B84)=1,CONCATENATE("0",SAISIE!B84,"/",SAISIE!$B$4,"/",SAISIE!$B$5),CONCATENATE(SAISIE!B84,"/",SAISIE!$B$4,"/",SAISIE!$B$5)))</f>
        <v/>
      </c>
      <c r="C1187" s="63" t="str">
        <f>IF(SAISIE!P84="","",SAISIE!O84)</f>
        <v/>
      </c>
      <c r="D1187" s="63" t="str">
        <f>IF(SAISIE!P84="","",SAISIE!E84)</f>
        <v/>
      </c>
      <c r="E1187" s="63" t="str">
        <f>IF(SAISIE!P84="","",SAISIE!F84)</f>
        <v/>
      </c>
      <c r="F1187" s="70" t="str">
        <f>IF(SAISIE!$P84="","",IF(SAISIE!$N84="","",SAISIE!$N84))</f>
        <v/>
      </c>
      <c r="G1187" s="63" t="str">
        <f>IF(SAISIE!P84="","",SAISIE!P84)</f>
        <v/>
      </c>
      <c r="H1187" s="63"/>
      <c r="I1187" s="63" t="str">
        <f>IF(SAISIE!$P84="","",SAISIE!$Q84)</f>
        <v/>
      </c>
      <c r="J1187" s="71" t="str">
        <f>IF(COUNTBLANK(SAISIE!$J$6:$M$6)=4,"",IF(SAISIE!P84="","",IF(SAISIE!J84&gt;0,SAISIE!$J$6,IF(SAISIE!K84&gt;0,SAISIE!$K$6,IF(SAISIE!L84&gt;0,SAISIE!$L$6,IF(SAISIE!M84&gt;0,SAISIE!$M$6,""))))))</f>
        <v/>
      </c>
      <c r="O1187" s="59" t="s">
        <v>50</v>
      </c>
    </row>
    <row r="1188" spans="1:15" x14ac:dyDescent="0.25">
      <c r="A1188" s="63" t="str">
        <f>IF(AND(G1188="",H1188=""),"SUPPR",SAISIE!$B$3)</f>
        <v>SUPPR</v>
      </c>
      <c r="B1188" s="63" t="str">
        <f>IF(SAISIE!G84="","",IF(LEN(SAISIE!B84)=1,CONCATENATE("0",SAISIE!B84,"/",SAISIE!$B$4,"/",SAISIE!$B$5),CONCATENATE(SAISIE!B84,"/",SAISIE!$B$4,"/",SAISIE!$B$5)))</f>
        <v/>
      </c>
      <c r="C1188" s="63" t="str">
        <f>IF(SAISIE!G84="","",SAISIE!$G$8)</f>
        <v/>
      </c>
      <c r="D1188" s="63" t="str">
        <f>IF(SAISIE!G84="","",SAISIE!E84)</f>
        <v/>
      </c>
      <c r="E1188" s="63" t="str">
        <f>IF(SAISIE!G84="","",SAISIE!F84)</f>
        <v/>
      </c>
      <c r="F1188" s="70" t="str">
        <f>IF(SAISIE!$G84="","",IF(SAISIE!$N84="","",SAISIE!$N84))</f>
        <v/>
      </c>
      <c r="G1188" s="63" t="str">
        <f>IF(SAISIE!G84="","",SAISIE!G84)</f>
        <v/>
      </c>
      <c r="H1188" s="63"/>
      <c r="I1188" s="63" t="str">
        <f>IF(SAISIE!$G84="","",SAISIE!$Q84)</f>
        <v/>
      </c>
      <c r="J1188" s="71" t="str">
        <f>IF(COUNTBLANK(SAISIE!$J$6:$M$6)=4,"",IF(SAISIE!G84="","",IF(SAISIE!J84&gt;0,SAISIE!$J$6,IF(SAISIE!K84&gt;0,SAISIE!$K$6,IF(SAISIE!L84&gt;0,SAISIE!$L$6,IF(SAISIE!M84&gt;0,SAISIE!$M$6,""))))))</f>
        <v/>
      </c>
      <c r="O1188" s="59" t="s">
        <v>51</v>
      </c>
    </row>
    <row r="1189" spans="1:15" x14ac:dyDescent="0.25">
      <c r="A1189" s="63" t="str">
        <f>IF(AND(G1189="",H1189=""),"SUPPR",SAISIE!$B$3)</f>
        <v>SUPPR</v>
      </c>
      <c r="B1189" s="63" t="str">
        <f>IF(SAISIE!H84="","",IF(LEN(SAISIE!B84)=1,CONCATENATE("0",SAISIE!B84,"/",SAISIE!$B$4,"/",SAISIE!$B$5),CONCATENATE(SAISIE!B84,"/",SAISIE!$B$4,"/",SAISIE!$B$5)))</f>
        <v/>
      </c>
      <c r="C1189" s="63" t="str">
        <f>IF(SAISIE!H84="","",SAISIE!$H$8)</f>
        <v/>
      </c>
      <c r="D1189" s="63" t="str">
        <f>IF(SAISIE!H84="","",SAISIE!E84)</f>
        <v/>
      </c>
      <c r="E1189" s="63" t="str">
        <f>IF(SAISIE!H84="","",SAISIE!F84)</f>
        <v/>
      </c>
      <c r="F1189" s="70" t="str">
        <f>IF(SAISIE!$H84="","",IF(SAISIE!$N84="","",SAISIE!$N84))</f>
        <v/>
      </c>
      <c r="G1189" s="63" t="str">
        <f>IF(SAISIE!H84="","",SAISIE!H84)</f>
        <v/>
      </c>
      <c r="H1189" s="63"/>
      <c r="I1189" s="63" t="str">
        <f>IF(SAISIE!$H84="","",SAISIE!$Q84)</f>
        <v/>
      </c>
      <c r="J1189" s="71" t="str">
        <f>IF(COUNTBLANK(SAISIE!$J$6:$M$6)=4,"",IF(SAISIE!H84="","",IF(SAISIE!J84&gt;0,SAISIE!$J$6,IF(SAISIE!K84&gt;0,SAISIE!$K$6,IF(SAISIE!L84&gt;0,SAISIE!$L$6,IF(SAISIE!M84&gt;0,SAISIE!$M$6,""))))))</f>
        <v/>
      </c>
      <c r="O1189" s="59" t="s">
        <v>52</v>
      </c>
    </row>
    <row r="1190" spans="1:15" x14ac:dyDescent="0.25">
      <c r="A1190" s="63" t="str">
        <f>IF(AND(G1190="",H1190=""),"SUPPR",SAISIE!$B$3)</f>
        <v>SUPPR</v>
      </c>
      <c r="B1190" s="63" t="str">
        <f>IF(SAISIE!I84="","",IF(LEN(SAISIE!B84)=1,CONCATENATE("0",SAISIE!B84,"/",SAISIE!$B$4,"/",SAISIE!$B$5),CONCATENATE(SAISIE!B84,"/",SAISIE!$B$4,"/",SAISIE!$B$5)))</f>
        <v/>
      </c>
      <c r="C1190" s="63" t="str">
        <f>IF(SAISIE!I84="","",SAISIE!$I$8)</f>
        <v/>
      </c>
      <c r="D1190" s="63" t="str">
        <f>IF(SAISIE!I84="","",SAISIE!E84)</f>
        <v/>
      </c>
      <c r="E1190" s="63" t="str">
        <f>IF(SAISIE!I84="","",SAISIE!F84)</f>
        <v/>
      </c>
      <c r="F1190" s="70" t="str">
        <f>IF(SAISIE!$I84="","",IF(SAISIE!$N84="","",SAISIE!$N84))</f>
        <v/>
      </c>
      <c r="G1190" s="63" t="str">
        <f>IF(SAISIE!I84="","",SAISIE!I84)</f>
        <v/>
      </c>
      <c r="H1190" s="63"/>
      <c r="I1190" s="63" t="str">
        <f>IF(SAISIE!$I84="","",SAISIE!$Q84)</f>
        <v/>
      </c>
      <c r="J1190" s="71" t="str">
        <f>IF(COUNTBLANK(SAISIE!$J$6:$M$6)=4,"",IF(SAISIE!I84="","",IF(SAISIE!J84&gt;0,SAISIE!$J$6,IF(SAISIE!K84&gt;0,SAISIE!$K$6,IF(SAISIE!L84&gt;0,SAISIE!$L$6,IF(SAISIE!M84&gt;0,SAISIE!$M$6,""))))))</f>
        <v/>
      </c>
      <c r="O1190" s="59" t="s">
        <v>53</v>
      </c>
    </row>
    <row r="1191" spans="1:15" x14ac:dyDescent="0.25">
      <c r="A1191" s="63" t="e">
        <f>IF(AND(G1191="",H1191=""),"SUPPR",SAISIE!$B$3)</f>
        <v>#REF!</v>
      </c>
      <c r="B1191" s="63" t="e">
        <f>IF(SAISIE!#REF!="","",IF(LEN(SAISIE!B84)=1,CONCATENATE("0",SAISIE!B84,"/",SAISIE!$B$4,"/",SAISIE!$B$5),CONCATENATE(SAISIE!B84,"/",SAISIE!$B$4,"/",SAISIE!$B$5)))</f>
        <v>#REF!</v>
      </c>
      <c r="C1191" s="63" t="e">
        <f>IF(SAISIE!#REF!="","",SAISIE!#REF!)</f>
        <v>#REF!</v>
      </c>
      <c r="D1191" s="63" t="e">
        <f>IF(SAISIE!#REF!="","",SAISIE!E84)</f>
        <v>#REF!</v>
      </c>
      <c r="E1191" s="63" t="e">
        <f>IF(SAISIE!#REF!="","",SAISIE!F84)</f>
        <v>#REF!</v>
      </c>
      <c r="F1191" s="70" t="e">
        <f>IF(SAISIE!#REF!="","",IF(SAISIE!$N84="","",SAISIE!$N84))</f>
        <v>#REF!</v>
      </c>
      <c r="G1191" s="63" t="e">
        <f>IF(SAISIE!#REF!="","",SAISIE!#REF!)</f>
        <v>#REF!</v>
      </c>
      <c r="H1191" s="63"/>
      <c r="I1191" s="63" t="e">
        <f>IF(SAISIE!#REF!="","",SAISIE!$Q84)</f>
        <v>#REF!</v>
      </c>
      <c r="J1191" s="71" t="str">
        <f>IF(COUNTBLANK(SAISIE!$J$6:$M$6)=4,"",IF(SAISIE!#REF!="","",IF(SAISIE!J84&gt;0,SAISIE!$J$6,IF(SAISIE!K84&gt;0,SAISIE!$K$6,IF(SAISIE!L84&gt;0,SAISIE!$L$6,IF(SAISIE!M84&gt;0,SAISIE!$M$6,""))))))</f>
        <v/>
      </c>
      <c r="O1191" s="59" t="s">
        <v>54</v>
      </c>
    </row>
    <row r="1192" spans="1:15" x14ac:dyDescent="0.25">
      <c r="A1192" s="63" t="e">
        <f>IF(AND(G1192="",H1192=""),"SUPPR",SAISIE!$B$3)</f>
        <v>#REF!</v>
      </c>
      <c r="B1192" s="63" t="e">
        <f>IF(SAISIE!#REF!="","",IF(LEN(SAISIE!B84)=1,CONCATENATE("0",SAISIE!B84,"/",SAISIE!$B$4,"/",SAISIE!$B$5),CONCATENATE(SAISIE!B84,"/",SAISIE!$B$4,"/",SAISIE!$B$5)))</f>
        <v>#REF!</v>
      </c>
      <c r="C1192" s="63" t="e">
        <f>IF(SAISIE!#REF!="","",SAISIE!#REF!)</f>
        <v>#REF!</v>
      </c>
      <c r="D1192" s="63" t="e">
        <f>IF(SAISIE!#REF!="","",SAISIE!E84)</f>
        <v>#REF!</v>
      </c>
      <c r="E1192" s="63" t="e">
        <f>IF(SAISIE!#REF!="","",SAISIE!F84)</f>
        <v>#REF!</v>
      </c>
      <c r="F1192" s="70" t="e">
        <f>IF(SAISIE!#REF!="","",IF(SAISIE!$N84="","",SAISIE!$N84))</f>
        <v>#REF!</v>
      </c>
      <c r="G1192" s="63" t="e">
        <f>IF(SAISIE!#REF!="","",SAISIE!#REF!)</f>
        <v>#REF!</v>
      </c>
      <c r="H1192" s="63"/>
      <c r="I1192" s="63" t="e">
        <f>IF(SAISIE!#REF!="","",SAISIE!$Q84)</f>
        <v>#REF!</v>
      </c>
      <c r="J1192" s="71" t="str">
        <f>IF(COUNTBLANK(SAISIE!$J$6:$M$6)=4,"",IF(SAISIE!#REF!="","",IF(SAISIE!J84&gt;0,SAISIE!$J$6,IF(SAISIE!K84&gt;0,SAISIE!$K$6,IF(SAISIE!L84&gt;0,SAISIE!$L$6,IF(SAISIE!M84&gt;0,SAISIE!$M$6,""))))))</f>
        <v/>
      </c>
      <c r="O1192" s="59" t="s">
        <v>55</v>
      </c>
    </row>
    <row r="1193" spans="1:15" x14ac:dyDescent="0.25">
      <c r="A1193" s="63" t="e">
        <f>IF(AND(G1193="",H1193=""),"SUPPR",SAISIE!$B$3)</f>
        <v>#REF!</v>
      </c>
      <c r="B1193" s="63" t="e">
        <f>IF(SAISIE!#REF!="","",IF(LEN(SAISIE!B84)=1,CONCATENATE("0",SAISIE!B84,"/",SAISIE!$B$4,"/",SAISIE!$B$5),CONCATENATE(SAISIE!B84,"/",SAISIE!$B$4,"/",SAISIE!$B$5)))</f>
        <v>#REF!</v>
      </c>
      <c r="C1193" s="63" t="e">
        <f>IF(SAISIE!#REF!="","",SAISIE!#REF!)</f>
        <v>#REF!</v>
      </c>
      <c r="D1193" s="63" t="e">
        <f>IF(SAISIE!#REF!="","",SAISIE!E84)</f>
        <v>#REF!</v>
      </c>
      <c r="E1193" s="63" t="e">
        <f>IF(SAISIE!#REF!="","",SAISIE!F84)</f>
        <v>#REF!</v>
      </c>
      <c r="F1193" s="70" t="e">
        <f>IF(SAISIE!#REF!="","",IF(SAISIE!$N84="","",SAISIE!$N84))</f>
        <v>#REF!</v>
      </c>
      <c r="G1193" s="63" t="e">
        <f>IF(SAISIE!#REF!="","",SAISIE!#REF!)</f>
        <v>#REF!</v>
      </c>
      <c r="H1193" s="63"/>
      <c r="I1193" s="63" t="e">
        <f>IF(SAISIE!#REF!="","",SAISIE!$Q84)</f>
        <v>#REF!</v>
      </c>
      <c r="J1193" s="71" t="str">
        <f>IF(COUNTBLANK(SAISIE!$J$6:$M$6)=4,"",IF(SAISIE!#REF!="","",IF(SAISIE!J84&gt;0,SAISIE!$J$6,IF(SAISIE!K84&gt;0,SAISIE!$K$6,IF(SAISIE!L84&gt;0,SAISIE!$L$6,IF(SAISIE!M84&gt;0,SAISIE!$M$6,""))))))</f>
        <v/>
      </c>
      <c r="O1193" s="59" t="s">
        <v>56</v>
      </c>
    </row>
    <row r="1194" spans="1:15" x14ac:dyDescent="0.25">
      <c r="A1194" s="63" t="e">
        <f>IF(AND(G1194="",H1194=""),"SUPPR",SAISIE!$B$3)</f>
        <v>#REF!</v>
      </c>
      <c r="B1194" s="63" t="e">
        <f>IF(SAISIE!#REF!="","",IF(LEN(SAISIE!B84)=1,CONCATENATE("0",SAISIE!B84,"/",SAISIE!$B$4,"/",SAISIE!$B$5),CONCATENATE(SAISIE!B84,"/",SAISIE!$B$4,"/",SAISIE!$B$5)))</f>
        <v>#REF!</v>
      </c>
      <c r="C1194" s="63" t="e">
        <f>IF(SAISIE!#REF!="","",SAISIE!#REF!)</f>
        <v>#REF!</v>
      </c>
      <c r="D1194" s="63" t="e">
        <f>IF(SAISIE!#REF!="","",SAISIE!E84)</f>
        <v>#REF!</v>
      </c>
      <c r="E1194" s="63" t="e">
        <f>IF(SAISIE!#REF!="","",SAISIE!F84)</f>
        <v>#REF!</v>
      </c>
      <c r="F1194" s="70" t="e">
        <f>IF(SAISIE!#REF!="","",IF(SAISIE!$N84="","",SAISIE!$N84))</f>
        <v>#REF!</v>
      </c>
      <c r="G1194" s="63" t="e">
        <f>IF(SAISIE!#REF!="","",SAISIE!#REF!)</f>
        <v>#REF!</v>
      </c>
      <c r="H1194" s="63"/>
      <c r="I1194" s="63" t="e">
        <f>IF(SAISIE!#REF!="","",SAISIE!$Q84)</f>
        <v>#REF!</v>
      </c>
      <c r="J1194" s="71" t="str">
        <f>IF(COUNTBLANK(SAISIE!$J$6:$M$6)=4,"",IF(SAISIE!#REF!="","",IF(SAISIE!J84&gt;0,SAISIE!$J$6,IF(SAISIE!K84&gt;0,SAISIE!$K$6,IF(SAISIE!L84&gt;0,SAISIE!$L$6,IF(SAISIE!M84&gt;0,SAISIE!$M$6,""))))))</f>
        <v/>
      </c>
      <c r="O1194" s="59" t="s">
        <v>57</v>
      </c>
    </row>
    <row r="1195" spans="1:15" x14ac:dyDescent="0.25">
      <c r="A1195" s="63" t="e">
        <f>IF(AND(G1195="",H1195=""),"SUPPR",SAISIE!$B$3)</f>
        <v>#REF!</v>
      </c>
      <c r="B1195" s="63" t="e">
        <f>IF(SAISIE!#REF!="","",IF(LEN(SAISIE!B84)=1,CONCATENATE("0",SAISIE!B84,"/",SAISIE!$B$4,"/",SAISIE!$B$5),CONCATENATE(SAISIE!B84,"/",SAISIE!$B$4,"/",SAISIE!$B$5)))</f>
        <v>#REF!</v>
      </c>
      <c r="C1195" s="63" t="e">
        <f>IF(SAISIE!#REF!="","",SAISIE!#REF!)</f>
        <v>#REF!</v>
      </c>
      <c r="D1195" s="63" t="e">
        <f>IF(SAISIE!#REF!="","",SAISIE!E84)</f>
        <v>#REF!</v>
      </c>
      <c r="E1195" s="63" t="e">
        <f>IF(SAISIE!#REF!="","",SAISIE!F84)</f>
        <v>#REF!</v>
      </c>
      <c r="F1195" s="70" t="e">
        <f>IF(SAISIE!#REF!="","",IF(SAISIE!$N84="","",SAISIE!$N84))</f>
        <v>#REF!</v>
      </c>
      <c r="G1195" s="63" t="e">
        <f>IF(SAISIE!#REF!="","",SAISIE!#REF!)</f>
        <v>#REF!</v>
      </c>
      <c r="H1195" s="63"/>
      <c r="I1195" s="63" t="e">
        <f>IF(SAISIE!#REF!="","",SAISIE!$Q84)</f>
        <v>#REF!</v>
      </c>
      <c r="J1195" s="71" t="str">
        <f>IF(COUNTBLANK(SAISIE!$J$6:$M$6)=4,"",IF(SAISIE!#REF!="","",IF(SAISIE!J84&gt;0,SAISIE!$J$6,IF(SAISIE!K84&gt;0,SAISIE!$K$6,IF(SAISIE!L84&gt;0,SAISIE!$L$6,IF(SAISIE!M84&gt;0,SAISIE!$M$6,""))))))</f>
        <v/>
      </c>
      <c r="O1195" s="59" t="s">
        <v>58</v>
      </c>
    </row>
    <row r="1196" spans="1:15" x14ac:dyDescent="0.25">
      <c r="A1196" s="63" t="e">
        <f>IF(AND(G1196="",H1196=""),"SUPPR",SAISIE!$B$3)</f>
        <v>#REF!</v>
      </c>
      <c r="B1196" s="63" t="e">
        <f>IF(SAISIE!#REF!="","",IF(LEN(SAISIE!B84)=1,CONCATENATE("0",SAISIE!B84,"/",SAISIE!$B$4,"/",SAISIE!$B$5),CONCATENATE(SAISIE!B84,"/",SAISIE!$B$4,"/",SAISIE!$B$5)))</f>
        <v>#REF!</v>
      </c>
      <c r="C1196" s="63" t="e">
        <f>IF(SAISIE!#REF!="","",SAISIE!#REF!)</f>
        <v>#REF!</v>
      </c>
      <c r="D1196" s="63" t="e">
        <f>IF(SAISIE!#REF!="","",SAISIE!E84)</f>
        <v>#REF!</v>
      </c>
      <c r="E1196" s="63" t="e">
        <f>IF(SAISIE!#REF!="","",SAISIE!F84)</f>
        <v>#REF!</v>
      </c>
      <c r="F1196" s="70" t="e">
        <f>IF(SAISIE!#REF!="","",IF(SAISIE!$N84="","",SAISIE!$N84))</f>
        <v>#REF!</v>
      </c>
      <c r="G1196" s="63" t="e">
        <f>IF(SAISIE!#REF!="","",SAISIE!#REF!)</f>
        <v>#REF!</v>
      </c>
      <c r="H1196" s="63"/>
      <c r="I1196" s="63" t="e">
        <f>IF(SAISIE!#REF!="","",SAISIE!$Q84)</f>
        <v>#REF!</v>
      </c>
      <c r="J1196" s="71" t="str">
        <f>IF(COUNTBLANK(SAISIE!$J$6:$M$6)=4,"",IF(SAISIE!#REF!="","",IF(SAISIE!J84&gt;0,SAISIE!$J$6,IF(SAISIE!K84&gt;0,SAISIE!$K$6,IF(SAISIE!L84&gt;0,SAISIE!$L$6,IF(SAISIE!M84&gt;0,SAISIE!$M$6,""))))))</f>
        <v/>
      </c>
      <c r="O1196" s="59" t="s">
        <v>59</v>
      </c>
    </row>
    <row r="1197" spans="1:15" x14ac:dyDescent="0.25">
      <c r="A1197" s="63" t="e">
        <f>IF(AND(G1197="",H1197=""),"SUPPR",SAISIE!$B$3)</f>
        <v>#REF!</v>
      </c>
      <c r="B1197" s="63" t="e">
        <f>IF(SAISIE!#REF!="","",IF(LEN(SAISIE!B84)=1,CONCATENATE("0",SAISIE!B84,"/",SAISIE!$B$4,"/",SAISIE!$B$5),CONCATENATE(SAISIE!B84,"/",SAISIE!$B$4,"/",SAISIE!$B$5)))</f>
        <v>#REF!</v>
      </c>
      <c r="C1197" s="63" t="e">
        <f>IF(SAISIE!#REF!="","",SAISIE!#REF!)</f>
        <v>#REF!</v>
      </c>
      <c r="D1197" s="63" t="e">
        <f>IF(SAISIE!#REF!="","",SAISIE!E84)</f>
        <v>#REF!</v>
      </c>
      <c r="E1197" s="63" t="e">
        <f>IF(SAISIE!#REF!="","",SAISIE!F84)</f>
        <v>#REF!</v>
      </c>
      <c r="F1197" s="70" t="e">
        <f>IF(SAISIE!#REF!="","",IF(SAISIE!$N84="","",SAISIE!$N84))</f>
        <v>#REF!</v>
      </c>
      <c r="G1197" s="63" t="e">
        <f>IF(SAISIE!#REF!="","",SAISIE!#REF!)</f>
        <v>#REF!</v>
      </c>
      <c r="H1197" s="63"/>
      <c r="I1197" s="63" t="e">
        <f>IF(SAISIE!#REF!="","",SAISIE!$Q84)</f>
        <v>#REF!</v>
      </c>
      <c r="J1197" s="71" t="str">
        <f>IF(COUNTBLANK(SAISIE!$J$6:$M$6)=4,"",IF(SAISIE!#REF!="","",IF(SAISIE!J84&gt;0,SAISIE!$J$6,IF(SAISIE!K84&gt;0,SAISIE!$K$6,IF(SAISIE!L84&gt;0,SAISIE!$L$6,IF(SAISIE!M84&gt;0,SAISIE!$M$6,""))))))</f>
        <v/>
      </c>
      <c r="O1197" s="59" t="s">
        <v>60</v>
      </c>
    </row>
    <row r="1198" spans="1:15" x14ac:dyDescent="0.25">
      <c r="A1198" s="63" t="str">
        <f>IF(AND(G1198="",H1198=""),"SUPPR",SAISIE!$B$3)</f>
        <v>SUPPR</v>
      </c>
      <c r="B1198" s="63" t="str">
        <f>IF(SAISIE!J84="","",IF(LEN(SAISIE!B84)=1,CONCATENATE("0",SAISIE!B84,"/",SAISIE!$B$4,"/",SAISIE!$B$5),CONCATENATE(SAISIE!B84,"/",SAISIE!$B$4,"/",SAISIE!$B$5)))</f>
        <v/>
      </c>
      <c r="C1198" s="63" t="str">
        <f>IF(SAISIE!J84="","",SAISIE!$J$8)</f>
        <v/>
      </c>
      <c r="D1198" s="63" t="str">
        <f>IF(SAISIE!J84="","",SAISIE!E84)</f>
        <v/>
      </c>
      <c r="E1198" s="63" t="str">
        <f>IF(SAISIE!J84="","",SAISIE!F84)</f>
        <v/>
      </c>
      <c r="F1198" s="70" t="str">
        <f>IF(SAISIE!$J84="","",IF(SAISIE!$N84="","",SAISIE!$N84))</f>
        <v/>
      </c>
      <c r="G1198" s="63" t="str">
        <f>IF(SAISIE!J84="","",SAISIE!J84)</f>
        <v/>
      </c>
      <c r="H1198" s="63"/>
      <c r="I1198" s="72"/>
      <c r="J1198" s="71"/>
      <c r="O1198" s="73"/>
    </row>
    <row r="1199" spans="1:15" x14ac:dyDescent="0.25">
      <c r="A1199" s="63" t="str">
        <f>IF(AND(G1199="",H1199=""),"SUPPR",SAISIE!$B$3)</f>
        <v>SUPPR</v>
      </c>
      <c r="B1199" s="63" t="str">
        <f>IF(SAISIE!K84="","",IF(LEN(SAISIE!B84)=1,CONCATENATE("0",SAISIE!B84,"/",SAISIE!$B$4,"/",SAISIE!$B$5),CONCATENATE(SAISIE!B84,"/",SAISIE!$B$4,"/",SAISIE!$B$5)))</f>
        <v/>
      </c>
      <c r="C1199" s="63" t="str">
        <f>IF(SAISIE!K84="","",SAISIE!$K$8)</f>
        <v/>
      </c>
      <c r="D1199" s="63" t="str">
        <f>IF(SAISIE!K84="","",SAISIE!E84)</f>
        <v/>
      </c>
      <c r="E1199" s="63" t="str">
        <f>IF(SAISIE!K84="","",SAISIE!F84)</f>
        <v/>
      </c>
      <c r="F1199" s="70" t="str">
        <f>IF(SAISIE!$K84="","",IF(SAISIE!$N84="","",SAISIE!$N84))</f>
        <v/>
      </c>
      <c r="G1199" s="63" t="str">
        <f>IF(SAISIE!K84="","",SAISIE!K84)</f>
        <v/>
      </c>
      <c r="H1199" s="63"/>
      <c r="I1199" s="72"/>
      <c r="J1199" s="71"/>
    </row>
    <row r="1200" spans="1:15" x14ac:dyDescent="0.25">
      <c r="A1200" s="63" t="str">
        <f>IF(AND(G1200="",H1200=""),"SUPPR",SAISIE!$B$3)</f>
        <v>SUPPR</v>
      </c>
      <c r="B1200" s="63" t="str">
        <f>IF(SAISIE!L84="","",IF(LEN(SAISIE!B84)=1,CONCATENATE("0",SAISIE!B84,"/",SAISIE!$B$4,"/",SAISIE!$B$5),CONCATENATE(SAISIE!B84,"/",SAISIE!$B$4,"/",SAISIE!$B$5)))</f>
        <v/>
      </c>
      <c r="C1200" s="63" t="str">
        <f>IF(SAISIE!L84="","",SAISIE!$L$8)</f>
        <v/>
      </c>
      <c r="D1200" s="63" t="str">
        <f>IF(SAISIE!L84="","",SAISIE!E84)</f>
        <v/>
      </c>
      <c r="E1200" s="63" t="str">
        <f>IF(SAISIE!L84="","",SAISIE!F84)</f>
        <v/>
      </c>
      <c r="F1200" s="70" t="str">
        <f>IF(SAISIE!$L84="","",IF(SAISIE!$N84="","",SAISIE!$N84))</f>
        <v/>
      </c>
      <c r="G1200" s="63" t="str">
        <f>IF(SAISIE!L84="","",SAISIE!L84)</f>
        <v/>
      </c>
      <c r="H1200" s="63"/>
      <c r="I1200" s="72"/>
      <c r="J1200" s="71"/>
    </row>
    <row r="1201" spans="1:15" x14ac:dyDescent="0.25">
      <c r="A1201" s="63" t="str">
        <f>IF(AND(G1201="",H1201=""),"SUPPR",SAISIE!$B$3)</f>
        <v>SUPPR</v>
      </c>
      <c r="B1201" s="63" t="str">
        <f>IF(SAISIE!M84="","",IF(LEN(SAISIE!B84)=1,CONCATENATE("0",SAISIE!B84,"/",SAISIE!$B$4,"/",SAISIE!$B$5),CONCATENATE(SAISIE!B84,"/",SAISIE!$B$4,"/",SAISIE!$B$5)))</f>
        <v/>
      </c>
      <c r="C1201" s="74" t="str">
        <f>IF(SAISIE!M84="","",SAISIE!$M$8)</f>
        <v/>
      </c>
      <c r="D1201" s="74" t="str">
        <f>IF(SAISIE!M84="","",SAISIE!E84)</f>
        <v/>
      </c>
      <c r="E1201" s="74" t="str">
        <f>IF(SAISIE!M84="","",SAISIE!F84)</f>
        <v/>
      </c>
      <c r="F1201" s="75" t="str">
        <f>IF(SAISIE!$M84="","",IF(SAISIE!$N84="","",SAISIE!$N84))</f>
        <v/>
      </c>
      <c r="G1201" s="74" t="str">
        <f>IF(SAISIE!M84="","",SAISIE!M84)</f>
        <v/>
      </c>
      <c r="H1201" s="76"/>
      <c r="I1201" s="77"/>
      <c r="J1201" s="78"/>
    </row>
    <row r="1202" spans="1:15" x14ac:dyDescent="0.25">
      <c r="A1202" s="63" t="str">
        <f>IF(AND(G1202="",H1202=""),"SUPPR",SAISIE!$B$3)</f>
        <v>SUPPR</v>
      </c>
      <c r="B1202" s="64" t="str">
        <f>IF(SAISIE!B85="","",IF(LEN(SAISIE!B85)=1,CONCATENATE("0",SAISIE!B85,"/",SAISIE!$B$4,"/",SAISIE!$B$5),CONCATENATE(SAISIE!B85,"/",SAISIE!$B$4,"/",SAISIE!$B$5)))</f>
        <v/>
      </c>
      <c r="C1202" s="64" t="str">
        <f>IF(SAISIE!B85="","",CONCATENATE($M$2,SAISIE!C85))</f>
        <v/>
      </c>
      <c r="D1202" s="64" t="str">
        <f>IF(SAISIE!B85="","",SAISIE!E85)</f>
        <v/>
      </c>
      <c r="E1202" s="64" t="str">
        <f>IF(SAISIE!B85="","",SAISIE!F85)</f>
        <v/>
      </c>
      <c r="F1202" s="65" t="str">
        <f>IF(A1202="SUPPR","",IF(SAISIE!$N85="","",SAISIE!$N85))</f>
        <v/>
      </c>
      <c r="G1202" s="64"/>
      <c r="H1202" s="64" t="str">
        <f>IF(SAISIE!B85="","",SAISIE!D85)</f>
        <v/>
      </c>
      <c r="I1202" s="66"/>
      <c r="J1202" s="67" t="str">
        <f>IF(AZ85="","","")</f>
        <v/>
      </c>
      <c r="O1202" s="69">
        <f>O1186+1</f>
        <v>85</v>
      </c>
    </row>
    <row r="1203" spans="1:15" x14ac:dyDescent="0.25">
      <c r="A1203" s="63" t="str">
        <f>IF(AND(G1203="",H1203=""),"SUPPR",SAISIE!$B$3)</f>
        <v>SUPPR</v>
      </c>
      <c r="B1203" s="63" t="str">
        <f>IF(SAISIE!P85="","",IF(LEN(SAISIE!B85)=1,CONCATENATE("0",SAISIE!B85,"/",SAISIE!$B$4,"/",SAISIE!$B$5),CONCATENATE(SAISIE!B85,"/",SAISIE!$B$4,"/",SAISIE!$B$5)))</f>
        <v/>
      </c>
      <c r="C1203" s="63" t="str">
        <f>IF(SAISIE!P85="","",SAISIE!O85)</f>
        <v/>
      </c>
      <c r="D1203" s="63" t="str">
        <f>IF(SAISIE!P85="","",SAISIE!E85)</f>
        <v/>
      </c>
      <c r="E1203" s="63" t="str">
        <f>IF(SAISIE!P85="","",SAISIE!F85)</f>
        <v/>
      </c>
      <c r="F1203" s="70" t="str">
        <f>IF(SAISIE!$P85="","",IF(SAISIE!$N85="","",SAISIE!$N85))</f>
        <v/>
      </c>
      <c r="G1203" s="63" t="str">
        <f>IF(SAISIE!P85="","",SAISIE!P85)</f>
        <v/>
      </c>
      <c r="H1203" s="63"/>
      <c r="I1203" s="63" t="str">
        <f>IF(SAISIE!$P85="","",SAISIE!$Q85)</f>
        <v/>
      </c>
      <c r="J1203" s="71" t="str">
        <f>IF(COUNTBLANK(SAISIE!$J$6:$M$6)=4,"",IF(SAISIE!P85="","",IF(SAISIE!J85&gt;0,SAISIE!$J$6,IF(SAISIE!K85&gt;0,SAISIE!$K$6,IF(SAISIE!L85&gt;0,SAISIE!$L$6,IF(SAISIE!M85&gt;0,SAISIE!$M$6,""))))))</f>
        <v/>
      </c>
      <c r="O1203" s="59" t="s">
        <v>50</v>
      </c>
    </row>
    <row r="1204" spans="1:15" x14ac:dyDescent="0.25">
      <c r="A1204" s="63" t="str">
        <f>IF(AND(G1204="",H1204=""),"SUPPR",SAISIE!$B$3)</f>
        <v>SUPPR</v>
      </c>
      <c r="B1204" s="63" t="str">
        <f>IF(SAISIE!G85="","",IF(LEN(SAISIE!B85)=1,CONCATENATE("0",SAISIE!B85,"/",SAISIE!$B$4,"/",SAISIE!$B$5),CONCATENATE(SAISIE!B85,"/",SAISIE!$B$4,"/",SAISIE!$B$5)))</f>
        <v/>
      </c>
      <c r="C1204" s="63" t="str">
        <f>IF(SAISIE!G85="","",SAISIE!$G$8)</f>
        <v/>
      </c>
      <c r="D1204" s="63" t="str">
        <f>IF(SAISIE!G85="","",SAISIE!E85)</f>
        <v/>
      </c>
      <c r="E1204" s="63" t="str">
        <f>IF(SAISIE!G85="","",SAISIE!F85)</f>
        <v/>
      </c>
      <c r="F1204" s="70" t="str">
        <f>IF(SAISIE!$G85="","",IF(SAISIE!$N85="","",SAISIE!$N85))</f>
        <v/>
      </c>
      <c r="G1204" s="63" t="str">
        <f>IF(SAISIE!G85="","",SAISIE!G85)</f>
        <v/>
      </c>
      <c r="H1204" s="63"/>
      <c r="I1204" s="63" t="str">
        <f>IF(SAISIE!$G85="","",SAISIE!$Q85)</f>
        <v/>
      </c>
      <c r="J1204" s="71" t="str">
        <f>IF(COUNTBLANK(SAISIE!$J$6:$M$6)=4,"",IF(SAISIE!G85="","",IF(SAISIE!J85&gt;0,SAISIE!$J$6,IF(SAISIE!K85&gt;0,SAISIE!$K$6,IF(SAISIE!L85&gt;0,SAISIE!$L$6,IF(SAISIE!M85&gt;0,SAISIE!$M$6,""))))))</f>
        <v/>
      </c>
      <c r="O1204" s="59" t="s">
        <v>51</v>
      </c>
    </row>
    <row r="1205" spans="1:15" x14ac:dyDescent="0.25">
      <c r="A1205" s="63" t="str">
        <f>IF(AND(G1205="",H1205=""),"SUPPR",SAISIE!$B$3)</f>
        <v>SUPPR</v>
      </c>
      <c r="B1205" s="63" t="str">
        <f>IF(SAISIE!H85="","",IF(LEN(SAISIE!B85)=1,CONCATENATE("0",SAISIE!B85,"/",SAISIE!$B$4,"/",SAISIE!$B$5),CONCATENATE(SAISIE!B85,"/",SAISIE!$B$4,"/",SAISIE!$B$5)))</f>
        <v/>
      </c>
      <c r="C1205" s="63" t="str">
        <f>IF(SAISIE!H85="","",SAISIE!$H$8)</f>
        <v/>
      </c>
      <c r="D1205" s="63" t="str">
        <f>IF(SAISIE!H85="","",SAISIE!E85)</f>
        <v/>
      </c>
      <c r="E1205" s="63" t="str">
        <f>IF(SAISIE!H85="","",SAISIE!F85)</f>
        <v/>
      </c>
      <c r="F1205" s="70" t="str">
        <f>IF(SAISIE!$H85="","",IF(SAISIE!$N85="","",SAISIE!$N85))</f>
        <v/>
      </c>
      <c r="G1205" s="63" t="str">
        <f>IF(SAISIE!H85="","",SAISIE!H85)</f>
        <v/>
      </c>
      <c r="H1205" s="63"/>
      <c r="I1205" s="63" t="str">
        <f>IF(SAISIE!$H85="","",SAISIE!$Q85)</f>
        <v/>
      </c>
      <c r="J1205" s="71" t="str">
        <f>IF(COUNTBLANK(SAISIE!$J$6:$M$6)=4,"",IF(SAISIE!H85="","",IF(SAISIE!J85&gt;0,SAISIE!$J$6,IF(SAISIE!K85&gt;0,SAISIE!$K$6,IF(SAISIE!L85&gt;0,SAISIE!$L$6,IF(SAISIE!M85&gt;0,SAISIE!$M$6,""))))))</f>
        <v/>
      </c>
      <c r="O1205" s="59" t="s">
        <v>52</v>
      </c>
    </row>
    <row r="1206" spans="1:15" x14ac:dyDescent="0.25">
      <c r="A1206" s="63" t="str">
        <f>IF(AND(G1206="",H1206=""),"SUPPR",SAISIE!$B$3)</f>
        <v>SUPPR</v>
      </c>
      <c r="B1206" s="63" t="str">
        <f>IF(SAISIE!I85="","",IF(LEN(SAISIE!B85)=1,CONCATENATE("0",SAISIE!B85,"/",SAISIE!$B$4,"/",SAISIE!$B$5),CONCATENATE(SAISIE!B85,"/",SAISIE!$B$4,"/",SAISIE!$B$5)))</f>
        <v/>
      </c>
      <c r="C1206" s="63" t="str">
        <f>IF(SAISIE!I85="","",SAISIE!$I$8)</f>
        <v/>
      </c>
      <c r="D1206" s="63" t="str">
        <f>IF(SAISIE!I85="","",SAISIE!E85)</f>
        <v/>
      </c>
      <c r="E1206" s="63" t="str">
        <f>IF(SAISIE!I85="","",SAISIE!F85)</f>
        <v/>
      </c>
      <c r="F1206" s="70" t="str">
        <f>IF(SAISIE!$I85="","",IF(SAISIE!$N85="","",SAISIE!$N85))</f>
        <v/>
      </c>
      <c r="G1206" s="63" t="str">
        <f>IF(SAISIE!I85="","",SAISIE!I85)</f>
        <v/>
      </c>
      <c r="H1206" s="63"/>
      <c r="I1206" s="63" t="str">
        <f>IF(SAISIE!$I85="","",SAISIE!$Q85)</f>
        <v/>
      </c>
      <c r="J1206" s="71" t="str">
        <f>IF(COUNTBLANK(SAISIE!$J$6:$M$6)=4,"",IF(SAISIE!I85="","",IF(SAISIE!J85&gt;0,SAISIE!$J$6,IF(SAISIE!K85&gt;0,SAISIE!$K$6,IF(SAISIE!L85&gt;0,SAISIE!$L$6,IF(SAISIE!M85&gt;0,SAISIE!$M$6,""))))))</f>
        <v/>
      </c>
      <c r="O1206" s="59" t="s">
        <v>53</v>
      </c>
    </row>
    <row r="1207" spans="1:15" x14ac:dyDescent="0.25">
      <c r="A1207" s="63" t="e">
        <f>IF(AND(G1207="",H1207=""),"SUPPR",SAISIE!$B$3)</f>
        <v>#REF!</v>
      </c>
      <c r="B1207" s="63" t="e">
        <f>IF(SAISIE!#REF!="","",IF(LEN(SAISIE!B85)=1,CONCATENATE("0",SAISIE!B85,"/",SAISIE!$B$4,"/",SAISIE!$B$5),CONCATENATE(SAISIE!B85,"/",SAISIE!$B$4,"/",SAISIE!$B$5)))</f>
        <v>#REF!</v>
      </c>
      <c r="C1207" s="63" t="e">
        <f>IF(SAISIE!#REF!="","",SAISIE!#REF!)</f>
        <v>#REF!</v>
      </c>
      <c r="D1207" s="63" t="e">
        <f>IF(SAISIE!#REF!="","",SAISIE!E85)</f>
        <v>#REF!</v>
      </c>
      <c r="E1207" s="63" t="e">
        <f>IF(SAISIE!#REF!="","",SAISIE!F85)</f>
        <v>#REF!</v>
      </c>
      <c r="F1207" s="70" t="e">
        <f>IF(SAISIE!#REF!="","",IF(SAISIE!$N85="","",SAISIE!$N85))</f>
        <v>#REF!</v>
      </c>
      <c r="G1207" s="63" t="e">
        <f>IF(SAISIE!#REF!="","",SAISIE!#REF!)</f>
        <v>#REF!</v>
      </c>
      <c r="H1207" s="63"/>
      <c r="I1207" s="63" t="e">
        <f>IF(SAISIE!#REF!="","",SAISIE!$Q85)</f>
        <v>#REF!</v>
      </c>
      <c r="J1207" s="71" t="str">
        <f>IF(COUNTBLANK(SAISIE!$J$6:$M$6)=4,"",IF(SAISIE!#REF!="","",IF(SAISIE!J85&gt;0,SAISIE!$J$6,IF(SAISIE!K85&gt;0,SAISIE!$K$6,IF(SAISIE!L85&gt;0,SAISIE!$L$6,IF(SAISIE!M85&gt;0,SAISIE!$M$6,""))))))</f>
        <v/>
      </c>
      <c r="O1207" s="59" t="s">
        <v>54</v>
      </c>
    </row>
    <row r="1208" spans="1:15" x14ac:dyDescent="0.25">
      <c r="A1208" s="63" t="e">
        <f>IF(AND(G1208="",H1208=""),"SUPPR",SAISIE!$B$3)</f>
        <v>#REF!</v>
      </c>
      <c r="B1208" s="63" t="e">
        <f>IF(SAISIE!#REF!="","",IF(LEN(SAISIE!B85)=1,CONCATENATE("0",SAISIE!B85,"/",SAISIE!$B$4,"/",SAISIE!$B$5),CONCATENATE(SAISIE!B85,"/",SAISIE!$B$4,"/",SAISIE!$B$5)))</f>
        <v>#REF!</v>
      </c>
      <c r="C1208" s="63" t="e">
        <f>IF(SAISIE!#REF!="","",SAISIE!#REF!)</f>
        <v>#REF!</v>
      </c>
      <c r="D1208" s="63" t="e">
        <f>IF(SAISIE!#REF!="","",SAISIE!E85)</f>
        <v>#REF!</v>
      </c>
      <c r="E1208" s="63" t="e">
        <f>IF(SAISIE!#REF!="","",SAISIE!F85)</f>
        <v>#REF!</v>
      </c>
      <c r="F1208" s="70" t="e">
        <f>IF(SAISIE!#REF!="","",IF(SAISIE!$N85="","",SAISIE!$N85))</f>
        <v>#REF!</v>
      </c>
      <c r="G1208" s="63" t="e">
        <f>IF(SAISIE!#REF!="","",SAISIE!#REF!)</f>
        <v>#REF!</v>
      </c>
      <c r="H1208" s="63"/>
      <c r="I1208" s="63" t="e">
        <f>IF(SAISIE!#REF!="","",SAISIE!$Q85)</f>
        <v>#REF!</v>
      </c>
      <c r="J1208" s="71" t="str">
        <f>IF(COUNTBLANK(SAISIE!$J$6:$M$6)=4,"",IF(SAISIE!#REF!="","",IF(SAISIE!J85&gt;0,SAISIE!$J$6,IF(SAISIE!K85&gt;0,SAISIE!$K$6,IF(SAISIE!L85&gt;0,SAISIE!$L$6,IF(SAISIE!M85&gt;0,SAISIE!$M$6,""))))))</f>
        <v/>
      </c>
      <c r="O1208" s="59" t="s">
        <v>55</v>
      </c>
    </row>
    <row r="1209" spans="1:15" x14ac:dyDescent="0.25">
      <c r="A1209" s="63" t="e">
        <f>IF(AND(G1209="",H1209=""),"SUPPR",SAISIE!$B$3)</f>
        <v>#REF!</v>
      </c>
      <c r="B1209" s="63" t="e">
        <f>IF(SAISIE!#REF!="","",IF(LEN(SAISIE!B85)=1,CONCATENATE("0",SAISIE!B85,"/",SAISIE!$B$4,"/",SAISIE!$B$5),CONCATENATE(SAISIE!B85,"/",SAISIE!$B$4,"/",SAISIE!$B$5)))</f>
        <v>#REF!</v>
      </c>
      <c r="C1209" s="63" t="e">
        <f>IF(SAISIE!#REF!="","",SAISIE!#REF!)</f>
        <v>#REF!</v>
      </c>
      <c r="D1209" s="63" t="e">
        <f>IF(SAISIE!#REF!="","",SAISIE!E85)</f>
        <v>#REF!</v>
      </c>
      <c r="E1209" s="63" t="e">
        <f>IF(SAISIE!#REF!="","",SAISIE!F85)</f>
        <v>#REF!</v>
      </c>
      <c r="F1209" s="70" t="e">
        <f>IF(SAISIE!#REF!="","",IF(SAISIE!$N85="","",SAISIE!$N85))</f>
        <v>#REF!</v>
      </c>
      <c r="G1209" s="63" t="e">
        <f>IF(SAISIE!#REF!="","",SAISIE!#REF!)</f>
        <v>#REF!</v>
      </c>
      <c r="H1209" s="63"/>
      <c r="I1209" s="63" t="e">
        <f>IF(SAISIE!#REF!="","",SAISIE!$Q85)</f>
        <v>#REF!</v>
      </c>
      <c r="J1209" s="71" t="str">
        <f>IF(COUNTBLANK(SAISIE!$J$6:$M$6)=4,"",IF(SAISIE!#REF!="","",IF(SAISIE!J85&gt;0,SAISIE!$J$6,IF(SAISIE!K85&gt;0,SAISIE!$K$6,IF(SAISIE!L85&gt;0,SAISIE!$L$6,IF(SAISIE!M85&gt;0,SAISIE!$M$6,""))))))</f>
        <v/>
      </c>
      <c r="O1209" s="59" t="s">
        <v>56</v>
      </c>
    </row>
    <row r="1210" spans="1:15" x14ac:dyDescent="0.25">
      <c r="A1210" s="63" t="e">
        <f>IF(AND(G1210="",H1210=""),"SUPPR",SAISIE!$B$3)</f>
        <v>#REF!</v>
      </c>
      <c r="B1210" s="63" t="e">
        <f>IF(SAISIE!#REF!="","",IF(LEN(SAISIE!B85)=1,CONCATENATE("0",SAISIE!B85,"/",SAISIE!$B$4,"/",SAISIE!$B$5),CONCATENATE(SAISIE!B85,"/",SAISIE!$B$4,"/",SAISIE!$B$5)))</f>
        <v>#REF!</v>
      </c>
      <c r="C1210" s="63" t="e">
        <f>IF(SAISIE!#REF!="","",SAISIE!#REF!)</f>
        <v>#REF!</v>
      </c>
      <c r="D1210" s="63" t="e">
        <f>IF(SAISIE!#REF!="","",SAISIE!E85)</f>
        <v>#REF!</v>
      </c>
      <c r="E1210" s="63" t="e">
        <f>IF(SAISIE!#REF!="","",SAISIE!F85)</f>
        <v>#REF!</v>
      </c>
      <c r="F1210" s="70" t="e">
        <f>IF(SAISIE!#REF!="","",IF(SAISIE!$N85="","",SAISIE!$N85))</f>
        <v>#REF!</v>
      </c>
      <c r="G1210" s="63" t="e">
        <f>IF(SAISIE!#REF!="","",SAISIE!#REF!)</f>
        <v>#REF!</v>
      </c>
      <c r="H1210" s="63"/>
      <c r="I1210" s="63" t="e">
        <f>IF(SAISIE!#REF!="","",SAISIE!$Q85)</f>
        <v>#REF!</v>
      </c>
      <c r="J1210" s="71" t="str">
        <f>IF(COUNTBLANK(SAISIE!$J$6:$M$6)=4,"",IF(SAISIE!#REF!="","",IF(SAISIE!J85&gt;0,SAISIE!$J$6,IF(SAISIE!K85&gt;0,SAISIE!$K$6,IF(SAISIE!L85&gt;0,SAISIE!$L$6,IF(SAISIE!M85&gt;0,SAISIE!$M$6,""))))))</f>
        <v/>
      </c>
      <c r="O1210" s="59" t="s">
        <v>57</v>
      </c>
    </row>
    <row r="1211" spans="1:15" x14ac:dyDescent="0.25">
      <c r="A1211" s="63" t="e">
        <f>IF(AND(G1211="",H1211=""),"SUPPR",SAISIE!$B$3)</f>
        <v>#REF!</v>
      </c>
      <c r="B1211" s="63" t="e">
        <f>IF(SAISIE!#REF!="","",IF(LEN(SAISIE!B85)=1,CONCATENATE("0",SAISIE!B85,"/",SAISIE!$B$4,"/",SAISIE!$B$5),CONCATENATE(SAISIE!B85,"/",SAISIE!$B$4,"/",SAISIE!$B$5)))</f>
        <v>#REF!</v>
      </c>
      <c r="C1211" s="63" t="e">
        <f>IF(SAISIE!#REF!="","",SAISIE!#REF!)</f>
        <v>#REF!</v>
      </c>
      <c r="D1211" s="63" t="e">
        <f>IF(SAISIE!#REF!="","",SAISIE!E85)</f>
        <v>#REF!</v>
      </c>
      <c r="E1211" s="63" t="e">
        <f>IF(SAISIE!#REF!="","",SAISIE!F85)</f>
        <v>#REF!</v>
      </c>
      <c r="F1211" s="70" t="e">
        <f>IF(SAISIE!#REF!="","",IF(SAISIE!$N85="","",SAISIE!$N85))</f>
        <v>#REF!</v>
      </c>
      <c r="G1211" s="63" t="e">
        <f>IF(SAISIE!#REF!="","",SAISIE!#REF!)</f>
        <v>#REF!</v>
      </c>
      <c r="H1211" s="63"/>
      <c r="I1211" s="63" t="e">
        <f>IF(SAISIE!#REF!="","",SAISIE!$Q85)</f>
        <v>#REF!</v>
      </c>
      <c r="J1211" s="71" t="str">
        <f>IF(COUNTBLANK(SAISIE!$J$6:$M$6)=4,"",IF(SAISIE!#REF!="","",IF(SAISIE!J85&gt;0,SAISIE!$J$6,IF(SAISIE!K85&gt;0,SAISIE!$K$6,IF(SAISIE!L85&gt;0,SAISIE!$L$6,IF(SAISIE!M85&gt;0,SAISIE!$M$6,""))))))</f>
        <v/>
      </c>
      <c r="O1211" s="59" t="s">
        <v>58</v>
      </c>
    </row>
    <row r="1212" spans="1:15" x14ac:dyDescent="0.25">
      <c r="A1212" s="63" t="e">
        <f>IF(AND(G1212="",H1212=""),"SUPPR",SAISIE!$B$3)</f>
        <v>#REF!</v>
      </c>
      <c r="B1212" s="63" t="e">
        <f>IF(SAISIE!#REF!="","",IF(LEN(SAISIE!B85)=1,CONCATENATE("0",SAISIE!B85,"/",SAISIE!$B$4,"/",SAISIE!$B$5),CONCATENATE(SAISIE!B85,"/",SAISIE!$B$4,"/",SAISIE!$B$5)))</f>
        <v>#REF!</v>
      </c>
      <c r="C1212" s="63" t="e">
        <f>IF(SAISIE!#REF!="","",SAISIE!#REF!)</f>
        <v>#REF!</v>
      </c>
      <c r="D1212" s="63" t="e">
        <f>IF(SAISIE!#REF!="","",SAISIE!E85)</f>
        <v>#REF!</v>
      </c>
      <c r="E1212" s="63" t="e">
        <f>IF(SAISIE!#REF!="","",SAISIE!F85)</f>
        <v>#REF!</v>
      </c>
      <c r="F1212" s="70" t="e">
        <f>IF(SAISIE!#REF!="","",IF(SAISIE!$N85="","",SAISIE!$N85))</f>
        <v>#REF!</v>
      </c>
      <c r="G1212" s="63" t="e">
        <f>IF(SAISIE!#REF!="","",SAISIE!#REF!)</f>
        <v>#REF!</v>
      </c>
      <c r="H1212" s="63"/>
      <c r="I1212" s="63" t="e">
        <f>IF(SAISIE!#REF!="","",SAISIE!$Q85)</f>
        <v>#REF!</v>
      </c>
      <c r="J1212" s="71" t="str">
        <f>IF(COUNTBLANK(SAISIE!$J$6:$M$6)=4,"",IF(SAISIE!#REF!="","",IF(SAISIE!J85&gt;0,SAISIE!$J$6,IF(SAISIE!K85&gt;0,SAISIE!$K$6,IF(SAISIE!L85&gt;0,SAISIE!$L$6,IF(SAISIE!M85&gt;0,SAISIE!$M$6,""))))))</f>
        <v/>
      </c>
      <c r="O1212" s="59" t="s">
        <v>59</v>
      </c>
    </row>
    <row r="1213" spans="1:15" x14ac:dyDescent="0.25">
      <c r="A1213" s="63" t="e">
        <f>IF(AND(G1213="",H1213=""),"SUPPR",SAISIE!$B$3)</f>
        <v>#REF!</v>
      </c>
      <c r="B1213" s="63" t="e">
        <f>IF(SAISIE!#REF!="","",IF(LEN(SAISIE!B85)=1,CONCATENATE("0",SAISIE!B85,"/",SAISIE!$B$4,"/",SAISIE!$B$5),CONCATENATE(SAISIE!B85,"/",SAISIE!$B$4,"/",SAISIE!$B$5)))</f>
        <v>#REF!</v>
      </c>
      <c r="C1213" s="63" t="e">
        <f>IF(SAISIE!#REF!="","",SAISIE!#REF!)</f>
        <v>#REF!</v>
      </c>
      <c r="D1213" s="63" t="e">
        <f>IF(SAISIE!#REF!="","",SAISIE!E85)</f>
        <v>#REF!</v>
      </c>
      <c r="E1213" s="63" t="e">
        <f>IF(SAISIE!#REF!="","",SAISIE!F85)</f>
        <v>#REF!</v>
      </c>
      <c r="F1213" s="70" t="e">
        <f>IF(SAISIE!#REF!="","",IF(SAISIE!$N85="","",SAISIE!$N85))</f>
        <v>#REF!</v>
      </c>
      <c r="G1213" s="63" t="e">
        <f>IF(SAISIE!#REF!="","",SAISIE!#REF!)</f>
        <v>#REF!</v>
      </c>
      <c r="H1213" s="63"/>
      <c r="I1213" s="63" t="e">
        <f>IF(SAISIE!#REF!="","",SAISIE!$Q85)</f>
        <v>#REF!</v>
      </c>
      <c r="J1213" s="71" t="str">
        <f>IF(COUNTBLANK(SAISIE!$J$6:$M$6)=4,"",IF(SAISIE!#REF!="","",IF(SAISIE!J85&gt;0,SAISIE!$J$6,IF(SAISIE!K85&gt;0,SAISIE!$K$6,IF(SAISIE!L85&gt;0,SAISIE!$L$6,IF(SAISIE!M85&gt;0,SAISIE!$M$6,""))))))</f>
        <v/>
      </c>
      <c r="O1213" s="59" t="s">
        <v>60</v>
      </c>
    </row>
    <row r="1214" spans="1:15" x14ac:dyDescent="0.25">
      <c r="A1214" s="63" t="str">
        <f>IF(AND(G1214="",H1214=""),"SUPPR",SAISIE!$B$3)</f>
        <v>SUPPR</v>
      </c>
      <c r="B1214" s="63" t="str">
        <f>IF(SAISIE!J85="","",IF(LEN(SAISIE!B85)=1,CONCATENATE("0",SAISIE!B85,"/",SAISIE!$B$4,"/",SAISIE!$B$5),CONCATENATE(SAISIE!B85,"/",SAISIE!$B$4,"/",SAISIE!$B$5)))</f>
        <v/>
      </c>
      <c r="C1214" s="63" t="str">
        <f>IF(SAISIE!J85="","",SAISIE!$J$8)</f>
        <v/>
      </c>
      <c r="D1214" s="63" t="str">
        <f>IF(SAISIE!J85="","",SAISIE!E85)</f>
        <v/>
      </c>
      <c r="E1214" s="63" t="str">
        <f>IF(SAISIE!J85="","",SAISIE!F85)</f>
        <v/>
      </c>
      <c r="F1214" s="70" t="str">
        <f>IF(SAISIE!$J85="","",IF(SAISIE!$N85="","",SAISIE!$N85))</f>
        <v/>
      </c>
      <c r="G1214" s="63" t="str">
        <f>IF(SAISIE!J85="","",SAISIE!J85)</f>
        <v/>
      </c>
      <c r="H1214" s="63"/>
      <c r="I1214" s="72"/>
      <c r="J1214" s="71"/>
      <c r="O1214" s="73"/>
    </row>
    <row r="1215" spans="1:15" x14ac:dyDescent="0.25">
      <c r="A1215" s="63" t="str">
        <f>IF(AND(G1215="",H1215=""),"SUPPR",SAISIE!$B$3)</f>
        <v>SUPPR</v>
      </c>
      <c r="B1215" s="63" t="str">
        <f>IF(SAISIE!K85="","",IF(LEN(SAISIE!B85)=1,CONCATENATE("0",SAISIE!B85,"/",SAISIE!$B$4,"/",SAISIE!$B$5),CONCATENATE(SAISIE!B85,"/",SAISIE!$B$4,"/",SAISIE!$B$5)))</f>
        <v/>
      </c>
      <c r="C1215" s="63" t="str">
        <f>IF(SAISIE!K85="","",SAISIE!$K$8)</f>
        <v/>
      </c>
      <c r="D1215" s="63" t="str">
        <f>IF(SAISIE!K85="","",SAISIE!E85)</f>
        <v/>
      </c>
      <c r="E1215" s="63" t="str">
        <f>IF(SAISIE!K85="","",SAISIE!F85)</f>
        <v/>
      </c>
      <c r="F1215" s="70" t="str">
        <f>IF(SAISIE!$K85="","",IF(SAISIE!$N85="","",SAISIE!$N85))</f>
        <v/>
      </c>
      <c r="G1215" s="63" t="str">
        <f>IF(SAISIE!K85="","",SAISIE!K85)</f>
        <v/>
      </c>
      <c r="H1215" s="63"/>
      <c r="I1215" s="72"/>
      <c r="J1215" s="71"/>
    </row>
    <row r="1216" spans="1:15" x14ac:dyDescent="0.25">
      <c r="A1216" s="63" t="str">
        <f>IF(AND(G1216="",H1216=""),"SUPPR",SAISIE!$B$3)</f>
        <v>SUPPR</v>
      </c>
      <c r="B1216" s="63" t="str">
        <f>IF(SAISIE!L85="","",IF(LEN(SAISIE!B85)=1,CONCATENATE("0",SAISIE!B85,"/",SAISIE!$B$4,"/",SAISIE!$B$5),CONCATENATE(SAISIE!B85,"/",SAISIE!$B$4,"/",SAISIE!$B$5)))</f>
        <v/>
      </c>
      <c r="C1216" s="63" t="str">
        <f>IF(SAISIE!L85="","",SAISIE!$L$8)</f>
        <v/>
      </c>
      <c r="D1216" s="63" t="str">
        <f>IF(SAISIE!L85="","",SAISIE!E85)</f>
        <v/>
      </c>
      <c r="E1216" s="63" t="str">
        <f>IF(SAISIE!L85="","",SAISIE!F85)</f>
        <v/>
      </c>
      <c r="F1216" s="70" t="str">
        <f>IF(SAISIE!$L85="","",IF(SAISIE!$N85="","",SAISIE!$N85))</f>
        <v/>
      </c>
      <c r="G1216" s="63" t="str">
        <f>IF(SAISIE!L85="","",SAISIE!L85)</f>
        <v/>
      </c>
      <c r="H1216" s="63"/>
      <c r="I1216" s="72"/>
      <c r="J1216" s="71"/>
    </row>
    <row r="1217" spans="1:15" x14ac:dyDescent="0.25">
      <c r="A1217" s="63" t="str">
        <f>IF(AND(G1217="",H1217=""),"SUPPR",SAISIE!$B$3)</f>
        <v>SUPPR</v>
      </c>
      <c r="B1217" s="63" t="str">
        <f>IF(SAISIE!M85="","",IF(LEN(SAISIE!B85)=1,CONCATENATE("0",SAISIE!B85,"/",SAISIE!$B$4,"/",SAISIE!$B$5),CONCATENATE(SAISIE!B85,"/",SAISIE!$B$4,"/",SAISIE!$B$5)))</f>
        <v/>
      </c>
      <c r="C1217" s="74" t="str">
        <f>IF(SAISIE!M85="","",SAISIE!$M$8)</f>
        <v/>
      </c>
      <c r="D1217" s="74" t="str">
        <f>IF(SAISIE!M85="","",SAISIE!E85)</f>
        <v/>
      </c>
      <c r="E1217" s="74" t="str">
        <f>IF(SAISIE!M85="","",SAISIE!F85)</f>
        <v/>
      </c>
      <c r="F1217" s="75" t="str">
        <f>IF(SAISIE!$M85="","",IF(SAISIE!$N85="","",SAISIE!$N85))</f>
        <v/>
      </c>
      <c r="G1217" s="74" t="str">
        <f>IF(SAISIE!M85="","",SAISIE!M85)</f>
        <v/>
      </c>
      <c r="H1217" s="76"/>
      <c r="I1217" s="77"/>
      <c r="J1217" s="78"/>
    </row>
    <row r="1218" spans="1:15" x14ac:dyDescent="0.25">
      <c r="A1218" s="63" t="str">
        <f>IF(AND(G1218="",H1218=""),"SUPPR",SAISIE!$B$3)</f>
        <v>SUPPR</v>
      </c>
      <c r="B1218" s="64" t="str">
        <f>IF(SAISIE!B86="","",IF(LEN(SAISIE!B86)=1,CONCATENATE("0",SAISIE!B86,"/",SAISIE!$B$4,"/",SAISIE!$B$5),CONCATENATE(SAISIE!B86,"/",SAISIE!$B$4,"/",SAISIE!$B$5)))</f>
        <v/>
      </c>
      <c r="C1218" s="64" t="str">
        <f>IF(SAISIE!B86="","",CONCATENATE($M$2,SAISIE!C86))</f>
        <v/>
      </c>
      <c r="D1218" s="64" t="str">
        <f>IF(SAISIE!B86="","",SAISIE!E86)</f>
        <v/>
      </c>
      <c r="E1218" s="64" t="str">
        <f>IF(SAISIE!B86="","",SAISIE!F86)</f>
        <v/>
      </c>
      <c r="F1218" s="65" t="str">
        <f>IF(A1218="SUPPR","",IF(SAISIE!$N86="","",SAISIE!$N86))</f>
        <v/>
      </c>
      <c r="G1218" s="64"/>
      <c r="H1218" s="64" t="str">
        <f>IF(SAISIE!B86="","",SAISIE!D86)</f>
        <v/>
      </c>
      <c r="I1218" s="66"/>
      <c r="J1218" s="67" t="str">
        <f>IF(AZ86="","","")</f>
        <v/>
      </c>
      <c r="O1218" s="69">
        <f>O1202+1</f>
        <v>86</v>
      </c>
    </row>
    <row r="1219" spans="1:15" x14ac:dyDescent="0.25">
      <c r="A1219" s="63" t="str">
        <f>IF(AND(G1219="",H1219=""),"SUPPR",SAISIE!$B$3)</f>
        <v>SUPPR</v>
      </c>
      <c r="B1219" s="63" t="str">
        <f>IF(SAISIE!P86="","",IF(LEN(SAISIE!B86)=1,CONCATENATE("0",SAISIE!B86,"/",SAISIE!$B$4,"/",SAISIE!$B$5),CONCATENATE(SAISIE!B86,"/",SAISIE!$B$4,"/",SAISIE!$B$5)))</f>
        <v/>
      </c>
      <c r="C1219" s="63" t="str">
        <f>IF(SAISIE!P86="","",SAISIE!O86)</f>
        <v/>
      </c>
      <c r="D1219" s="63" t="str">
        <f>IF(SAISIE!P86="","",SAISIE!E86)</f>
        <v/>
      </c>
      <c r="E1219" s="63" t="str">
        <f>IF(SAISIE!P86="","",SAISIE!F86)</f>
        <v/>
      </c>
      <c r="F1219" s="70" t="str">
        <f>IF(SAISIE!$P86="","",IF(SAISIE!$N86="","",SAISIE!$N86))</f>
        <v/>
      </c>
      <c r="G1219" s="63" t="str">
        <f>IF(SAISIE!P86="","",SAISIE!P86)</f>
        <v/>
      </c>
      <c r="H1219" s="63"/>
      <c r="I1219" s="63" t="str">
        <f>IF(SAISIE!$P86="","",SAISIE!$Q86)</f>
        <v/>
      </c>
      <c r="J1219" s="71" t="str">
        <f>IF(COUNTBLANK(SAISIE!$J$6:$M$6)=4,"",IF(SAISIE!P86="","",IF(SAISIE!J86&gt;0,SAISIE!$J$6,IF(SAISIE!K86&gt;0,SAISIE!$K$6,IF(SAISIE!L86&gt;0,SAISIE!$L$6,IF(SAISIE!M86&gt;0,SAISIE!$M$6,""))))))</f>
        <v/>
      </c>
      <c r="O1219" s="59" t="s">
        <v>50</v>
      </c>
    </row>
    <row r="1220" spans="1:15" x14ac:dyDescent="0.25">
      <c r="A1220" s="63" t="str">
        <f>IF(AND(G1220="",H1220=""),"SUPPR",SAISIE!$B$3)</f>
        <v>SUPPR</v>
      </c>
      <c r="B1220" s="63" t="str">
        <f>IF(SAISIE!G86="","",IF(LEN(SAISIE!B86)=1,CONCATENATE("0",SAISIE!B86,"/",SAISIE!$B$4,"/",SAISIE!$B$5),CONCATENATE(SAISIE!B86,"/",SAISIE!$B$4,"/",SAISIE!$B$5)))</f>
        <v/>
      </c>
      <c r="C1220" s="63" t="str">
        <f>IF(SAISIE!G86="","",SAISIE!$G$8)</f>
        <v/>
      </c>
      <c r="D1220" s="63" t="str">
        <f>IF(SAISIE!G86="","",SAISIE!E86)</f>
        <v/>
      </c>
      <c r="E1220" s="63" t="str">
        <f>IF(SAISIE!G86="","",SAISIE!F86)</f>
        <v/>
      </c>
      <c r="F1220" s="70" t="str">
        <f>IF(SAISIE!$G86="","",IF(SAISIE!$N86="","",SAISIE!$N86))</f>
        <v/>
      </c>
      <c r="G1220" s="63" t="str">
        <f>IF(SAISIE!G86="","",SAISIE!G86)</f>
        <v/>
      </c>
      <c r="H1220" s="63"/>
      <c r="I1220" s="63" t="str">
        <f>IF(SAISIE!$G86="","",SAISIE!$Q86)</f>
        <v/>
      </c>
      <c r="J1220" s="71" t="str">
        <f>IF(COUNTBLANK(SAISIE!$J$6:$M$6)=4,"",IF(SAISIE!G86="","",IF(SAISIE!J86&gt;0,SAISIE!$J$6,IF(SAISIE!K86&gt;0,SAISIE!$K$6,IF(SAISIE!L86&gt;0,SAISIE!$L$6,IF(SAISIE!M86&gt;0,SAISIE!$M$6,""))))))</f>
        <v/>
      </c>
      <c r="O1220" s="59" t="s">
        <v>51</v>
      </c>
    </row>
    <row r="1221" spans="1:15" x14ac:dyDescent="0.25">
      <c r="A1221" s="63" t="str">
        <f>IF(AND(G1221="",H1221=""),"SUPPR",SAISIE!$B$3)</f>
        <v>SUPPR</v>
      </c>
      <c r="B1221" s="63" t="str">
        <f>IF(SAISIE!H86="","",IF(LEN(SAISIE!B86)=1,CONCATENATE("0",SAISIE!B86,"/",SAISIE!$B$4,"/",SAISIE!$B$5),CONCATENATE(SAISIE!B86,"/",SAISIE!$B$4,"/",SAISIE!$B$5)))</f>
        <v/>
      </c>
      <c r="C1221" s="63" t="str">
        <f>IF(SAISIE!H86="","",SAISIE!$H$8)</f>
        <v/>
      </c>
      <c r="D1221" s="63" t="str">
        <f>IF(SAISIE!H86="","",SAISIE!E86)</f>
        <v/>
      </c>
      <c r="E1221" s="63" t="str">
        <f>IF(SAISIE!H86="","",SAISIE!F86)</f>
        <v/>
      </c>
      <c r="F1221" s="70" t="str">
        <f>IF(SAISIE!$H86="","",IF(SAISIE!$N86="","",SAISIE!$N86))</f>
        <v/>
      </c>
      <c r="G1221" s="63" t="str">
        <f>IF(SAISIE!H86="","",SAISIE!H86)</f>
        <v/>
      </c>
      <c r="H1221" s="63"/>
      <c r="I1221" s="63" t="str">
        <f>IF(SAISIE!$H86="","",SAISIE!$Q86)</f>
        <v/>
      </c>
      <c r="J1221" s="71" t="str">
        <f>IF(COUNTBLANK(SAISIE!$J$6:$M$6)=4,"",IF(SAISIE!H86="","",IF(SAISIE!J86&gt;0,SAISIE!$J$6,IF(SAISIE!K86&gt;0,SAISIE!$K$6,IF(SAISIE!L86&gt;0,SAISIE!$L$6,IF(SAISIE!M86&gt;0,SAISIE!$M$6,""))))))</f>
        <v/>
      </c>
      <c r="O1221" s="59" t="s">
        <v>52</v>
      </c>
    </row>
    <row r="1222" spans="1:15" x14ac:dyDescent="0.25">
      <c r="A1222" s="63" t="str">
        <f>IF(AND(G1222="",H1222=""),"SUPPR",SAISIE!$B$3)</f>
        <v>SUPPR</v>
      </c>
      <c r="B1222" s="63" t="str">
        <f>IF(SAISIE!I86="","",IF(LEN(SAISIE!B86)=1,CONCATENATE("0",SAISIE!B86,"/",SAISIE!$B$4,"/",SAISIE!$B$5),CONCATENATE(SAISIE!B86,"/",SAISIE!$B$4,"/",SAISIE!$B$5)))</f>
        <v/>
      </c>
      <c r="C1222" s="63" t="str">
        <f>IF(SAISIE!I86="","",SAISIE!$I$8)</f>
        <v/>
      </c>
      <c r="D1222" s="63" t="str">
        <f>IF(SAISIE!I86="","",SAISIE!E86)</f>
        <v/>
      </c>
      <c r="E1222" s="63" t="str">
        <f>IF(SAISIE!I86="","",SAISIE!F86)</f>
        <v/>
      </c>
      <c r="F1222" s="70" t="str">
        <f>IF(SAISIE!$I86="","",IF(SAISIE!$N86="","",SAISIE!$N86))</f>
        <v/>
      </c>
      <c r="G1222" s="63" t="str">
        <f>IF(SAISIE!I86="","",SAISIE!I86)</f>
        <v/>
      </c>
      <c r="H1222" s="63"/>
      <c r="I1222" s="63" t="str">
        <f>IF(SAISIE!$I86="","",SAISIE!$Q86)</f>
        <v/>
      </c>
      <c r="J1222" s="71" t="str">
        <f>IF(COUNTBLANK(SAISIE!$J$6:$M$6)=4,"",IF(SAISIE!I86="","",IF(SAISIE!J86&gt;0,SAISIE!$J$6,IF(SAISIE!K86&gt;0,SAISIE!$K$6,IF(SAISIE!L86&gt;0,SAISIE!$L$6,IF(SAISIE!M86&gt;0,SAISIE!$M$6,""))))))</f>
        <v/>
      </c>
      <c r="O1222" s="59" t="s">
        <v>53</v>
      </c>
    </row>
    <row r="1223" spans="1:15" x14ac:dyDescent="0.25">
      <c r="A1223" s="63" t="e">
        <f>IF(AND(G1223="",H1223=""),"SUPPR",SAISIE!$B$3)</f>
        <v>#REF!</v>
      </c>
      <c r="B1223" s="63" t="e">
        <f>IF(SAISIE!#REF!="","",IF(LEN(SAISIE!B86)=1,CONCATENATE("0",SAISIE!B86,"/",SAISIE!$B$4,"/",SAISIE!$B$5),CONCATENATE(SAISIE!B86,"/",SAISIE!$B$4,"/",SAISIE!$B$5)))</f>
        <v>#REF!</v>
      </c>
      <c r="C1223" s="63" t="e">
        <f>IF(SAISIE!#REF!="","",SAISIE!#REF!)</f>
        <v>#REF!</v>
      </c>
      <c r="D1223" s="63" t="e">
        <f>IF(SAISIE!#REF!="","",SAISIE!E86)</f>
        <v>#REF!</v>
      </c>
      <c r="E1223" s="63" t="e">
        <f>IF(SAISIE!#REF!="","",SAISIE!F86)</f>
        <v>#REF!</v>
      </c>
      <c r="F1223" s="70" t="e">
        <f>IF(SAISIE!#REF!="","",IF(SAISIE!$N86="","",SAISIE!$N86))</f>
        <v>#REF!</v>
      </c>
      <c r="G1223" s="63" t="e">
        <f>IF(SAISIE!#REF!="","",SAISIE!#REF!)</f>
        <v>#REF!</v>
      </c>
      <c r="H1223" s="63"/>
      <c r="I1223" s="63" t="e">
        <f>IF(SAISIE!#REF!="","",SAISIE!$Q86)</f>
        <v>#REF!</v>
      </c>
      <c r="J1223" s="71" t="str">
        <f>IF(COUNTBLANK(SAISIE!$J$6:$M$6)=4,"",IF(SAISIE!#REF!="","",IF(SAISIE!J86&gt;0,SAISIE!$J$6,IF(SAISIE!K86&gt;0,SAISIE!$K$6,IF(SAISIE!L86&gt;0,SAISIE!$L$6,IF(SAISIE!M86&gt;0,SAISIE!$M$6,""))))))</f>
        <v/>
      </c>
      <c r="O1223" s="59" t="s">
        <v>54</v>
      </c>
    </row>
    <row r="1224" spans="1:15" x14ac:dyDescent="0.25">
      <c r="A1224" s="63" t="e">
        <f>IF(AND(G1224="",H1224=""),"SUPPR",SAISIE!$B$3)</f>
        <v>#REF!</v>
      </c>
      <c r="B1224" s="63" t="e">
        <f>IF(SAISIE!#REF!="","",IF(LEN(SAISIE!B86)=1,CONCATENATE("0",SAISIE!B86,"/",SAISIE!$B$4,"/",SAISIE!$B$5),CONCATENATE(SAISIE!B86,"/",SAISIE!$B$4,"/",SAISIE!$B$5)))</f>
        <v>#REF!</v>
      </c>
      <c r="C1224" s="63" t="e">
        <f>IF(SAISIE!#REF!="","",SAISIE!#REF!)</f>
        <v>#REF!</v>
      </c>
      <c r="D1224" s="63" t="e">
        <f>IF(SAISIE!#REF!="","",SAISIE!E86)</f>
        <v>#REF!</v>
      </c>
      <c r="E1224" s="63" t="e">
        <f>IF(SAISIE!#REF!="","",SAISIE!F86)</f>
        <v>#REF!</v>
      </c>
      <c r="F1224" s="70" t="e">
        <f>IF(SAISIE!#REF!="","",IF(SAISIE!$N86="","",SAISIE!$N86))</f>
        <v>#REF!</v>
      </c>
      <c r="G1224" s="63" t="e">
        <f>IF(SAISIE!#REF!="","",SAISIE!#REF!)</f>
        <v>#REF!</v>
      </c>
      <c r="H1224" s="63"/>
      <c r="I1224" s="63" t="e">
        <f>IF(SAISIE!#REF!="","",SAISIE!$Q86)</f>
        <v>#REF!</v>
      </c>
      <c r="J1224" s="71" t="str">
        <f>IF(COUNTBLANK(SAISIE!$J$6:$M$6)=4,"",IF(SAISIE!#REF!="","",IF(SAISIE!J86&gt;0,SAISIE!$J$6,IF(SAISIE!K86&gt;0,SAISIE!$K$6,IF(SAISIE!L86&gt;0,SAISIE!$L$6,IF(SAISIE!M86&gt;0,SAISIE!$M$6,""))))))</f>
        <v/>
      </c>
      <c r="O1224" s="59" t="s">
        <v>55</v>
      </c>
    </row>
    <row r="1225" spans="1:15" x14ac:dyDescent="0.25">
      <c r="A1225" s="63" t="e">
        <f>IF(AND(G1225="",H1225=""),"SUPPR",SAISIE!$B$3)</f>
        <v>#REF!</v>
      </c>
      <c r="B1225" s="63" t="e">
        <f>IF(SAISIE!#REF!="","",IF(LEN(SAISIE!B86)=1,CONCATENATE("0",SAISIE!B86,"/",SAISIE!$B$4,"/",SAISIE!$B$5),CONCATENATE(SAISIE!B86,"/",SAISIE!$B$4,"/",SAISIE!$B$5)))</f>
        <v>#REF!</v>
      </c>
      <c r="C1225" s="63" t="e">
        <f>IF(SAISIE!#REF!="","",SAISIE!#REF!)</f>
        <v>#REF!</v>
      </c>
      <c r="D1225" s="63" t="e">
        <f>IF(SAISIE!#REF!="","",SAISIE!E86)</f>
        <v>#REF!</v>
      </c>
      <c r="E1225" s="63" t="e">
        <f>IF(SAISIE!#REF!="","",SAISIE!F86)</f>
        <v>#REF!</v>
      </c>
      <c r="F1225" s="70" t="e">
        <f>IF(SAISIE!#REF!="","",IF(SAISIE!$N86="","",SAISIE!$N86))</f>
        <v>#REF!</v>
      </c>
      <c r="G1225" s="63" t="e">
        <f>IF(SAISIE!#REF!="","",SAISIE!#REF!)</f>
        <v>#REF!</v>
      </c>
      <c r="H1225" s="63"/>
      <c r="I1225" s="63" t="e">
        <f>IF(SAISIE!#REF!="","",SAISIE!$Q86)</f>
        <v>#REF!</v>
      </c>
      <c r="J1225" s="71" t="str">
        <f>IF(COUNTBLANK(SAISIE!$J$6:$M$6)=4,"",IF(SAISIE!#REF!="","",IF(SAISIE!J86&gt;0,SAISIE!$J$6,IF(SAISIE!K86&gt;0,SAISIE!$K$6,IF(SAISIE!L86&gt;0,SAISIE!$L$6,IF(SAISIE!M86&gt;0,SAISIE!$M$6,""))))))</f>
        <v/>
      </c>
      <c r="O1225" s="59" t="s">
        <v>56</v>
      </c>
    </row>
    <row r="1226" spans="1:15" x14ac:dyDescent="0.25">
      <c r="A1226" s="63" t="e">
        <f>IF(AND(G1226="",H1226=""),"SUPPR",SAISIE!$B$3)</f>
        <v>#REF!</v>
      </c>
      <c r="B1226" s="63" t="e">
        <f>IF(SAISIE!#REF!="","",IF(LEN(SAISIE!B86)=1,CONCATENATE("0",SAISIE!B86,"/",SAISIE!$B$4,"/",SAISIE!$B$5),CONCATENATE(SAISIE!B86,"/",SAISIE!$B$4,"/",SAISIE!$B$5)))</f>
        <v>#REF!</v>
      </c>
      <c r="C1226" s="63" t="e">
        <f>IF(SAISIE!#REF!="","",SAISIE!#REF!)</f>
        <v>#REF!</v>
      </c>
      <c r="D1226" s="63" t="e">
        <f>IF(SAISIE!#REF!="","",SAISIE!E86)</f>
        <v>#REF!</v>
      </c>
      <c r="E1226" s="63" t="e">
        <f>IF(SAISIE!#REF!="","",SAISIE!F86)</f>
        <v>#REF!</v>
      </c>
      <c r="F1226" s="70" t="e">
        <f>IF(SAISIE!#REF!="","",IF(SAISIE!$N86="","",SAISIE!$N86))</f>
        <v>#REF!</v>
      </c>
      <c r="G1226" s="63" t="e">
        <f>IF(SAISIE!#REF!="","",SAISIE!#REF!)</f>
        <v>#REF!</v>
      </c>
      <c r="H1226" s="63"/>
      <c r="I1226" s="63" t="e">
        <f>IF(SAISIE!#REF!="","",SAISIE!$Q86)</f>
        <v>#REF!</v>
      </c>
      <c r="J1226" s="71" t="str">
        <f>IF(COUNTBLANK(SAISIE!$J$6:$M$6)=4,"",IF(SAISIE!#REF!="","",IF(SAISIE!J86&gt;0,SAISIE!$J$6,IF(SAISIE!K86&gt;0,SAISIE!$K$6,IF(SAISIE!L86&gt;0,SAISIE!$L$6,IF(SAISIE!M86&gt;0,SAISIE!$M$6,""))))))</f>
        <v/>
      </c>
      <c r="O1226" s="59" t="s">
        <v>57</v>
      </c>
    </row>
    <row r="1227" spans="1:15" x14ac:dyDescent="0.25">
      <c r="A1227" s="63" t="e">
        <f>IF(AND(G1227="",H1227=""),"SUPPR",SAISIE!$B$3)</f>
        <v>#REF!</v>
      </c>
      <c r="B1227" s="63" t="e">
        <f>IF(SAISIE!#REF!="","",IF(LEN(SAISIE!B86)=1,CONCATENATE("0",SAISIE!B86,"/",SAISIE!$B$4,"/",SAISIE!$B$5),CONCATENATE(SAISIE!B86,"/",SAISIE!$B$4,"/",SAISIE!$B$5)))</f>
        <v>#REF!</v>
      </c>
      <c r="C1227" s="63" t="e">
        <f>IF(SAISIE!#REF!="","",SAISIE!#REF!)</f>
        <v>#REF!</v>
      </c>
      <c r="D1227" s="63" t="e">
        <f>IF(SAISIE!#REF!="","",SAISIE!E86)</f>
        <v>#REF!</v>
      </c>
      <c r="E1227" s="63" t="e">
        <f>IF(SAISIE!#REF!="","",SAISIE!F86)</f>
        <v>#REF!</v>
      </c>
      <c r="F1227" s="70" t="e">
        <f>IF(SAISIE!#REF!="","",IF(SAISIE!$N86="","",SAISIE!$N86))</f>
        <v>#REF!</v>
      </c>
      <c r="G1227" s="63" t="e">
        <f>IF(SAISIE!#REF!="","",SAISIE!#REF!)</f>
        <v>#REF!</v>
      </c>
      <c r="H1227" s="63"/>
      <c r="I1227" s="63" t="e">
        <f>IF(SAISIE!#REF!="","",SAISIE!$Q86)</f>
        <v>#REF!</v>
      </c>
      <c r="J1227" s="71" t="str">
        <f>IF(COUNTBLANK(SAISIE!$J$6:$M$6)=4,"",IF(SAISIE!#REF!="","",IF(SAISIE!J86&gt;0,SAISIE!$J$6,IF(SAISIE!K86&gt;0,SAISIE!$K$6,IF(SAISIE!L86&gt;0,SAISIE!$L$6,IF(SAISIE!M86&gt;0,SAISIE!$M$6,""))))))</f>
        <v/>
      </c>
      <c r="O1227" s="59" t="s">
        <v>58</v>
      </c>
    </row>
    <row r="1228" spans="1:15" x14ac:dyDescent="0.25">
      <c r="A1228" s="63" t="e">
        <f>IF(AND(G1228="",H1228=""),"SUPPR",SAISIE!$B$3)</f>
        <v>#REF!</v>
      </c>
      <c r="B1228" s="63" t="e">
        <f>IF(SAISIE!#REF!="","",IF(LEN(SAISIE!B86)=1,CONCATENATE("0",SAISIE!B86,"/",SAISIE!$B$4,"/",SAISIE!$B$5),CONCATENATE(SAISIE!B86,"/",SAISIE!$B$4,"/",SAISIE!$B$5)))</f>
        <v>#REF!</v>
      </c>
      <c r="C1228" s="63" t="e">
        <f>IF(SAISIE!#REF!="","",SAISIE!#REF!)</f>
        <v>#REF!</v>
      </c>
      <c r="D1228" s="63" t="e">
        <f>IF(SAISIE!#REF!="","",SAISIE!E86)</f>
        <v>#REF!</v>
      </c>
      <c r="E1228" s="63" t="e">
        <f>IF(SAISIE!#REF!="","",SAISIE!F86)</f>
        <v>#REF!</v>
      </c>
      <c r="F1228" s="70" t="e">
        <f>IF(SAISIE!#REF!="","",IF(SAISIE!$N86="","",SAISIE!$N86))</f>
        <v>#REF!</v>
      </c>
      <c r="G1228" s="63" t="e">
        <f>IF(SAISIE!#REF!="","",SAISIE!#REF!)</f>
        <v>#REF!</v>
      </c>
      <c r="H1228" s="63"/>
      <c r="I1228" s="63" t="e">
        <f>IF(SAISIE!#REF!="","",SAISIE!$Q86)</f>
        <v>#REF!</v>
      </c>
      <c r="J1228" s="71" t="str">
        <f>IF(COUNTBLANK(SAISIE!$J$6:$M$6)=4,"",IF(SAISIE!#REF!="","",IF(SAISIE!J86&gt;0,SAISIE!$J$6,IF(SAISIE!K86&gt;0,SAISIE!$K$6,IF(SAISIE!L86&gt;0,SAISIE!$L$6,IF(SAISIE!M86&gt;0,SAISIE!$M$6,""))))))</f>
        <v/>
      </c>
      <c r="O1228" s="59" t="s">
        <v>59</v>
      </c>
    </row>
    <row r="1229" spans="1:15" x14ac:dyDescent="0.25">
      <c r="A1229" s="63" t="e">
        <f>IF(AND(G1229="",H1229=""),"SUPPR",SAISIE!$B$3)</f>
        <v>#REF!</v>
      </c>
      <c r="B1229" s="63" t="e">
        <f>IF(SAISIE!#REF!="","",IF(LEN(SAISIE!B86)=1,CONCATENATE("0",SAISIE!B86,"/",SAISIE!$B$4,"/",SAISIE!$B$5),CONCATENATE(SAISIE!B86,"/",SAISIE!$B$4,"/",SAISIE!$B$5)))</f>
        <v>#REF!</v>
      </c>
      <c r="C1229" s="63" t="e">
        <f>IF(SAISIE!#REF!="","",SAISIE!#REF!)</f>
        <v>#REF!</v>
      </c>
      <c r="D1229" s="63" t="e">
        <f>IF(SAISIE!#REF!="","",SAISIE!E86)</f>
        <v>#REF!</v>
      </c>
      <c r="E1229" s="63" t="e">
        <f>IF(SAISIE!#REF!="","",SAISIE!F86)</f>
        <v>#REF!</v>
      </c>
      <c r="F1229" s="70" t="e">
        <f>IF(SAISIE!#REF!="","",IF(SAISIE!$N86="","",SAISIE!$N86))</f>
        <v>#REF!</v>
      </c>
      <c r="G1229" s="63" t="e">
        <f>IF(SAISIE!#REF!="","",SAISIE!#REF!)</f>
        <v>#REF!</v>
      </c>
      <c r="H1229" s="63"/>
      <c r="I1229" s="63" t="e">
        <f>IF(SAISIE!#REF!="","",SAISIE!$Q86)</f>
        <v>#REF!</v>
      </c>
      <c r="J1229" s="71" t="str">
        <f>IF(COUNTBLANK(SAISIE!$J$6:$M$6)=4,"",IF(SAISIE!#REF!="","",IF(SAISIE!J86&gt;0,SAISIE!$J$6,IF(SAISIE!K86&gt;0,SAISIE!$K$6,IF(SAISIE!L86&gt;0,SAISIE!$L$6,IF(SAISIE!M86&gt;0,SAISIE!$M$6,""))))))</f>
        <v/>
      </c>
      <c r="O1229" s="59" t="s">
        <v>60</v>
      </c>
    </row>
    <row r="1230" spans="1:15" x14ac:dyDescent="0.25">
      <c r="A1230" s="63" t="str">
        <f>IF(AND(G1230="",H1230=""),"SUPPR",SAISIE!$B$3)</f>
        <v>SUPPR</v>
      </c>
      <c r="B1230" s="63" t="str">
        <f>IF(SAISIE!J86="","",IF(LEN(SAISIE!B86)=1,CONCATENATE("0",SAISIE!B86,"/",SAISIE!$B$4,"/",SAISIE!$B$5),CONCATENATE(SAISIE!B86,"/",SAISIE!$B$4,"/",SAISIE!$B$5)))</f>
        <v/>
      </c>
      <c r="C1230" s="63" t="str">
        <f>IF(SAISIE!J86="","",SAISIE!$J$8)</f>
        <v/>
      </c>
      <c r="D1230" s="63" t="str">
        <f>IF(SAISIE!J86="","",SAISIE!E86)</f>
        <v/>
      </c>
      <c r="E1230" s="63" t="str">
        <f>IF(SAISIE!J86="","",SAISIE!F86)</f>
        <v/>
      </c>
      <c r="F1230" s="70" t="str">
        <f>IF(SAISIE!$J86="","",IF(SAISIE!$N86="","",SAISIE!$N86))</f>
        <v/>
      </c>
      <c r="G1230" s="63" t="str">
        <f>IF(SAISIE!J86="","",SAISIE!J86)</f>
        <v/>
      </c>
      <c r="H1230" s="63"/>
      <c r="I1230" s="72"/>
      <c r="J1230" s="71"/>
      <c r="O1230" s="73"/>
    </row>
    <row r="1231" spans="1:15" x14ac:dyDescent="0.25">
      <c r="A1231" s="63" t="str">
        <f>IF(AND(G1231="",H1231=""),"SUPPR",SAISIE!$B$3)</f>
        <v>SUPPR</v>
      </c>
      <c r="B1231" s="63" t="str">
        <f>IF(SAISIE!K86="","",IF(LEN(SAISIE!B86)=1,CONCATENATE("0",SAISIE!B86,"/",SAISIE!$B$4,"/",SAISIE!$B$5),CONCATENATE(SAISIE!B86,"/",SAISIE!$B$4,"/",SAISIE!$B$5)))</f>
        <v/>
      </c>
      <c r="C1231" s="63" t="str">
        <f>IF(SAISIE!K86="","",SAISIE!$K$8)</f>
        <v/>
      </c>
      <c r="D1231" s="63" t="str">
        <f>IF(SAISIE!K86="","",SAISIE!E86)</f>
        <v/>
      </c>
      <c r="E1231" s="63" t="str">
        <f>IF(SAISIE!K86="","",SAISIE!F86)</f>
        <v/>
      </c>
      <c r="F1231" s="70" t="str">
        <f>IF(SAISIE!$K86="","",IF(SAISIE!$N86="","",SAISIE!$N86))</f>
        <v/>
      </c>
      <c r="G1231" s="63" t="str">
        <f>IF(SAISIE!K86="","",SAISIE!K86)</f>
        <v/>
      </c>
      <c r="H1231" s="63"/>
      <c r="I1231" s="72"/>
      <c r="J1231" s="71"/>
    </row>
    <row r="1232" spans="1:15" x14ac:dyDescent="0.25">
      <c r="A1232" s="63" t="str">
        <f>IF(AND(G1232="",H1232=""),"SUPPR",SAISIE!$B$3)</f>
        <v>SUPPR</v>
      </c>
      <c r="B1232" s="63" t="str">
        <f>IF(SAISIE!L86="","",IF(LEN(SAISIE!B86)=1,CONCATENATE("0",SAISIE!B86,"/",SAISIE!$B$4,"/",SAISIE!$B$5),CONCATENATE(SAISIE!B86,"/",SAISIE!$B$4,"/",SAISIE!$B$5)))</f>
        <v/>
      </c>
      <c r="C1232" s="63" t="str">
        <f>IF(SAISIE!L86="","",SAISIE!$L$8)</f>
        <v/>
      </c>
      <c r="D1232" s="63" t="str">
        <f>IF(SAISIE!L86="","",SAISIE!E86)</f>
        <v/>
      </c>
      <c r="E1232" s="63" t="str">
        <f>IF(SAISIE!L86="","",SAISIE!F86)</f>
        <v/>
      </c>
      <c r="F1232" s="70" t="str">
        <f>IF(SAISIE!$L86="","",IF(SAISIE!$N86="","",SAISIE!$N86))</f>
        <v/>
      </c>
      <c r="G1232" s="63" t="str">
        <f>IF(SAISIE!L86="","",SAISIE!L86)</f>
        <v/>
      </c>
      <c r="H1232" s="63"/>
      <c r="I1232" s="72"/>
      <c r="J1232" s="71"/>
    </row>
    <row r="1233" spans="1:15" x14ac:dyDescent="0.25">
      <c r="A1233" s="63" t="str">
        <f>IF(AND(G1233="",H1233=""),"SUPPR",SAISIE!$B$3)</f>
        <v>SUPPR</v>
      </c>
      <c r="B1233" s="63" t="str">
        <f>IF(SAISIE!M86="","",IF(LEN(SAISIE!B86)=1,CONCATENATE("0",SAISIE!B86,"/",SAISIE!$B$4,"/",SAISIE!$B$5),CONCATENATE(SAISIE!B86,"/",SAISIE!$B$4,"/",SAISIE!$B$5)))</f>
        <v/>
      </c>
      <c r="C1233" s="74" t="str">
        <f>IF(SAISIE!M86="","",SAISIE!$M$8)</f>
        <v/>
      </c>
      <c r="D1233" s="74" t="str">
        <f>IF(SAISIE!M86="","",SAISIE!E86)</f>
        <v/>
      </c>
      <c r="E1233" s="74" t="str">
        <f>IF(SAISIE!M86="","",SAISIE!F86)</f>
        <v/>
      </c>
      <c r="F1233" s="75" t="str">
        <f>IF(SAISIE!$M86="","",IF(SAISIE!$N86="","",SAISIE!$N86))</f>
        <v/>
      </c>
      <c r="G1233" s="74" t="str">
        <f>IF(SAISIE!M86="","",SAISIE!M86)</f>
        <v/>
      </c>
      <c r="H1233" s="76"/>
      <c r="I1233" s="77"/>
      <c r="J1233" s="78"/>
    </row>
    <row r="1234" spans="1:15" x14ac:dyDescent="0.25">
      <c r="A1234" s="63" t="str">
        <f>IF(AND(G1234="",H1234=""),"SUPPR",SAISIE!$B$3)</f>
        <v>SUPPR</v>
      </c>
      <c r="B1234" s="64" t="str">
        <f>IF(SAISIE!B87="","",IF(LEN(SAISIE!B87)=1,CONCATENATE("0",SAISIE!B87,"/",SAISIE!$B$4,"/",SAISIE!$B$5),CONCATENATE(SAISIE!B87,"/",SAISIE!$B$4,"/",SAISIE!$B$5)))</f>
        <v/>
      </c>
      <c r="C1234" s="64" t="str">
        <f>IF(SAISIE!B87="","",CONCATENATE($M$2,SAISIE!C87))</f>
        <v/>
      </c>
      <c r="D1234" s="64" t="str">
        <f>IF(SAISIE!B87="","",SAISIE!E87)</f>
        <v/>
      </c>
      <c r="E1234" s="64" t="str">
        <f>IF(SAISIE!B87="","",SAISIE!F87)</f>
        <v/>
      </c>
      <c r="F1234" s="65" t="str">
        <f>IF(A1234="SUPPR","",IF(SAISIE!$N87="","",SAISIE!$N87))</f>
        <v/>
      </c>
      <c r="G1234" s="64"/>
      <c r="H1234" s="64" t="str">
        <f>IF(SAISIE!B87="","",SAISIE!D87)</f>
        <v/>
      </c>
      <c r="I1234" s="66"/>
      <c r="J1234" s="67" t="str">
        <f>IF(AZ87="","","")</f>
        <v/>
      </c>
      <c r="O1234" s="69">
        <f>O1218+1</f>
        <v>87</v>
      </c>
    </row>
    <row r="1235" spans="1:15" x14ac:dyDescent="0.25">
      <c r="A1235" s="63" t="str">
        <f>IF(AND(G1235="",H1235=""),"SUPPR",SAISIE!$B$3)</f>
        <v>SUPPR</v>
      </c>
      <c r="B1235" s="63" t="str">
        <f>IF(SAISIE!P87="","",IF(LEN(SAISIE!B87)=1,CONCATENATE("0",SAISIE!B87,"/",SAISIE!$B$4,"/",SAISIE!$B$5),CONCATENATE(SAISIE!B87,"/",SAISIE!$B$4,"/",SAISIE!$B$5)))</f>
        <v/>
      </c>
      <c r="C1235" s="63" t="str">
        <f>IF(SAISIE!P87="","",SAISIE!O87)</f>
        <v/>
      </c>
      <c r="D1235" s="63" t="str">
        <f>IF(SAISIE!P87="","",SAISIE!E87)</f>
        <v/>
      </c>
      <c r="E1235" s="63" t="str">
        <f>IF(SAISIE!P87="","",SAISIE!F87)</f>
        <v/>
      </c>
      <c r="F1235" s="70" t="str">
        <f>IF(SAISIE!$P87="","",IF(SAISIE!$N87="","",SAISIE!$N87))</f>
        <v/>
      </c>
      <c r="G1235" s="63" t="str">
        <f>IF(SAISIE!P87="","",SAISIE!P87)</f>
        <v/>
      </c>
      <c r="H1235" s="63"/>
      <c r="I1235" s="63" t="str">
        <f>IF(SAISIE!$P87="","",SAISIE!$Q87)</f>
        <v/>
      </c>
      <c r="J1235" s="71" t="str">
        <f>IF(COUNTBLANK(SAISIE!$J$6:$M$6)=4,"",IF(SAISIE!P87="","",IF(SAISIE!J87&gt;0,SAISIE!$J$6,IF(SAISIE!K87&gt;0,SAISIE!$K$6,IF(SAISIE!L87&gt;0,SAISIE!$L$6,IF(SAISIE!M87&gt;0,SAISIE!$M$6,""))))))</f>
        <v/>
      </c>
      <c r="O1235" s="59" t="s">
        <v>50</v>
      </c>
    </row>
    <row r="1236" spans="1:15" x14ac:dyDescent="0.25">
      <c r="A1236" s="63" t="str">
        <f>IF(AND(G1236="",H1236=""),"SUPPR",SAISIE!$B$3)</f>
        <v>SUPPR</v>
      </c>
      <c r="B1236" s="63" t="str">
        <f>IF(SAISIE!G87="","",IF(LEN(SAISIE!B87)=1,CONCATENATE("0",SAISIE!B87,"/",SAISIE!$B$4,"/",SAISIE!$B$5),CONCATENATE(SAISIE!B87,"/",SAISIE!$B$4,"/",SAISIE!$B$5)))</f>
        <v/>
      </c>
      <c r="C1236" s="63" t="str">
        <f>IF(SAISIE!G87="","",SAISIE!$G$8)</f>
        <v/>
      </c>
      <c r="D1236" s="63" t="str">
        <f>IF(SAISIE!G87="","",SAISIE!E87)</f>
        <v/>
      </c>
      <c r="E1236" s="63" t="str">
        <f>IF(SAISIE!G87="","",SAISIE!F87)</f>
        <v/>
      </c>
      <c r="F1236" s="70" t="str">
        <f>IF(SAISIE!$G87="","",IF(SAISIE!$N87="","",SAISIE!$N87))</f>
        <v/>
      </c>
      <c r="G1236" s="63" t="str">
        <f>IF(SAISIE!G87="","",SAISIE!G87)</f>
        <v/>
      </c>
      <c r="H1236" s="63"/>
      <c r="I1236" s="63" t="str">
        <f>IF(SAISIE!$G87="","",SAISIE!$Q87)</f>
        <v/>
      </c>
      <c r="J1236" s="71" t="str">
        <f>IF(COUNTBLANK(SAISIE!$J$6:$M$6)=4,"",IF(SAISIE!G87="","",IF(SAISIE!J87&gt;0,SAISIE!$J$6,IF(SAISIE!K87&gt;0,SAISIE!$K$6,IF(SAISIE!L87&gt;0,SAISIE!$L$6,IF(SAISIE!M87&gt;0,SAISIE!$M$6,""))))))</f>
        <v/>
      </c>
      <c r="O1236" s="59" t="s">
        <v>51</v>
      </c>
    </row>
    <row r="1237" spans="1:15" x14ac:dyDescent="0.25">
      <c r="A1237" s="63" t="str">
        <f>IF(AND(G1237="",H1237=""),"SUPPR",SAISIE!$B$3)</f>
        <v>SUPPR</v>
      </c>
      <c r="B1237" s="63" t="str">
        <f>IF(SAISIE!H87="","",IF(LEN(SAISIE!B87)=1,CONCATENATE("0",SAISIE!B87,"/",SAISIE!$B$4,"/",SAISIE!$B$5),CONCATENATE(SAISIE!B87,"/",SAISIE!$B$4,"/",SAISIE!$B$5)))</f>
        <v/>
      </c>
      <c r="C1237" s="63" t="str">
        <f>IF(SAISIE!H87="","",SAISIE!$H$8)</f>
        <v/>
      </c>
      <c r="D1237" s="63" t="str">
        <f>IF(SAISIE!H87="","",SAISIE!E87)</f>
        <v/>
      </c>
      <c r="E1237" s="63" t="str">
        <f>IF(SAISIE!H87="","",SAISIE!F87)</f>
        <v/>
      </c>
      <c r="F1237" s="70" t="str">
        <f>IF(SAISIE!$H87="","",IF(SAISIE!$N87="","",SAISIE!$N87))</f>
        <v/>
      </c>
      <c r="G1237" s="63" t="str">
        <f>IF(SAISIE!H87="","",SAISIE!H87)</f>
        <v/>
      </c>
      <c r="H1237" s="63"/>
      <c r="I1237" s="63" t="str">
        <f>IF(SAISIE!$H87="","",SAISIE!$Q87)</f>
        <v/>
      </c>
      <c r="J1237" s="71" t="str">
        <f>IF(COUNTBLANK(SAISIE!$J$6:$M$6)=4,"",IF(SAISIE!H87="","",IF(SAISIE!J87&gt;0,SAISIE!$J$6,IF(SAISIE!K87&gt;0,SAISIE!$K$6,IF(SAISIE!L87&gt;0,SAISIE!$L$6,IF(SAISIE!M87&gt;0,SAISIE!$M$6,""))))))</f>
        <v/>
      </c>
      <c r="O1237" s="59" t="s">
        <v>52</v>
      </c>
    </row>
    <row r="1238" spans="1:15" x14ac:dyDescent="0.25">
      <c r="A1238" s="63" t="str">
        <f>IF(AND(G1238="",H1238=""),"SUPPR",SAISIE!$B$3)</f>
        <v>SUPPR</v>
      </c>
      <c r="B1238" s="63" t="str">
        <f>IF(SAISIE!I87="","",IF(LEN(SAISIE!B87)=1,CONCATENATE("0",SAISIE!B87,"/",SAISIE!$B$4,"/",SAISIE!$B$5),CONCATENATE(SAISIE!B87,"/",SAISIE!$B$4,"/",SAISIE!$B$5)))</f>
        <v/>
      </c>
      <c r="C1238" s="63" t="str">
        <f>IF(SAISIE!I87="","",SAISIE!$I$8)</f>
        <v/>
      </c>
      <c r="D1238" s="63" t="str">
        <f>IF(SAISIE!I87="","",SAISIE!E87)</f>
        <v/>
      </c>
      <c r="E1238" s="63" t="str">
        <f>IF(SAISIE!I87="","",SAISIE!F87)</f>
        <v/>
      </c>
      <c r="F1238" s="70" t="str">
        <f>IF(SAISIE!$I87="","",IF(SAISIE!$N87="","",SAISIE!$N87))</f>
        <v/>
      </c>
      <c r="G1238" s="63" t="str">
        <f>IF(SAISIE!I87="","",SAISIE!I87)</f>
        <v/>
      </c>
      <c r="H1238" s="63"/>
      <c r="I1238" s="63" t="str">
        <f>IF(SAISIE!$I87="","",SAISIE!$Q87)</f>
        <v/>
      </c>
      <c r="J1238" s="71" t="str">
        <f>IF(COUNTBLANK(SAISIE!$J$6:$M$6)=4,"",IF(SAISIE!I87="","",IF(SAISIE!J87&gt;0,SAISIE!$J$6,IF(SAISIE!K87&gt;0,SAISIE!$K$6,IF(SAISIE!L87&gt;0,SAISIE!$L$6,IF(SAISIE!M87&gt;0,SAISIE!$M$6,""))))))</f>
        <v/>
      </c>
      <c r="O1238" s="59" t="s">
        <v>53</v>
      </c>
    </row>
    <row r="1239" spans="1:15" x14ac:dyDescent="0.25">
      <c r="A1239" s="63" t="e">
        <f>IF(AND(G1239="",H1239=""),"SUPPR",SAISIE!$B$3)</f>
        <v>#REF!</v>
      </c>
      <c r="B1239" s="63" t="e">
        <f>IF(SAISIE!#REF!="","",IF(LEN(SAISIE!B87)=1,CONCATENATE("0",SAISIE!B87,"/",SAISIE!$B$4,"/",SAISIE!$B$5),CONCATENATE(SAISIE!B87,"/",SAISIE!$B$4,"/",SAISIE!$B$5)))</f>
        <v>#REF!</v>
      </c>
      <c r="C1239" s="63" t="e">
        <f>IF(SAISIE!#REF!="","",SAISIE!#REF!)</f>
        <v>#REF!</v>
      </c>
      <c r="D1239" s="63" t="e">
        <f>IF(SAISIE!#REF!="","",SAISIE!E87)</f>
        <v>#REF!</v>
      </c>
      <c r="E1239" s="63" t="e">
        <f>IF(SAISIE!#REF!="","",SAISIE!F87)</f>
        <v>#REF!</v>
      </c>
      <c r="F1239" s="70" t="e">
        <f>IF(SAISIE!#REF!="","",IF(SAISIE!$N87="","",SAISIE!$N87))</f>
        <v>#REF!</v>
      </c>
      <c r="G1239" s="63" t="e">
        <f>IF(SAISIE!#REF!="","",SAISIE!#REF!)</f>
        <v>#REF!</v>
      </c>
      <c r="H1239" s="63"/>
      <c r="I1239" s="63" t="e">
        <f>IF(SAISIE!#REF!="","",SAISIE!$Q87)</f>
        <v>#REF!</v>
      </c>
      <c r="J1239" s="71" t="str">
        <f>IF(COUNTBLANK(SAISIE!$J$6:$M$6)=4,"",IF(SAISIE!#REF!="","",IF(SAISIE!J87&gt;0,SAISIE!$J$6,IF(SAISIE!K87&gt;0,SAISIE!$K$6,IF(SAISIE!L87&gt;0,SAISIE!$L$6,IF(SAISIE!M87&gt;0,SAISIE!$M$6,""))))))</f>
        <v/>
      </c>
      <c r="O1239" s="59" t="s">
        <v>54</v>
      </c>
    </row>
    <row r="1240" spans="1:15" x14ac:dyDescent="0.25">
      <c r="A1240" s="63" t="e">
        <f>IF(AND(G1240="",H1240=""),"SUPPR",SAISIE!$B$3)</f>
        <v>#REF!</v>
      </c>
      <c r="B1240" s="63" t="e">
        <f>IF(SAISIE!#REF!="","",IF(LEN(SAISIE!B87)=1,CONCATENATE("0",SAISIE!B87,"/",SAISIE!$B$4,"/",SAISIE!$B$5),CONCATENATE(SAISIE!B87,"/",SAISIE!$B$4,"/",SAISIE!$B$5)))</f>
        <v>#REF!</v>
      </c>
      <c r="C1240" s="63" t="e">
        <f>IF(SAISIE!#REF!="","",SAISIE!#REF!)</f>
        <v>#REF!</v>
      </c>
      <c r="D1240" s="63" t="e">
        <f>IF(SAISIE!#REF!="","",SAISIE!E87)</f>
        <v>#REF!</v>
      </c>
      <c r="E1240" s="63" t="e">
        <f>IF(SAISIE!#REF!="","",SAISIE!F87)</f>
        <v>#REF!</v>
      </c>
      <c r="F1240" s="70" t="e">
        <f>IF(SAISIE!#REF!="","",IF(SAISIE!$N87="","",SAISIE!$N87))</f>
        <v>#REF!</v>
      </c>
      <c r="G1240" s="63" t="e">
        <f>IF(SAISIE!#REF!="","",SAISIE!#REF!)</f>
        <v>#REF!</v>
      </c>
      <c r="H1240" s="63"/>
      <c r="I1240" s="63" t="e">
        <f>IF(SAISIE!#REF!="","",SAISIE!$Q87)</f>
        <v>#REF!</v>
      </c>
      <c r="J1240" s="71" t="str">
        <f>IF(COUNTBLANK(SAISIE!$J$6:$M$6)=4,"",IF(SAISIE!#REF!="","",IF(SAISIE!J87&gt;0,SAISIE!$J$6,IF(SAISIE!K87&gt;0,SAISIE!$K$6,IF(SAISIE!L87&gt;0,SAISIE!$L$6,IF(SAISIE!M87&gt;0,SAISIE!$M$6,""))))))</f>
        <v/>
      </c>
      <c r="O1240" s="59" t="s">
        <v>55</v>
      </c>
    </row>
    <row r="1241" spans="1:15" x14ac:dyDescent="0.25">
      <c r="A1241" s="63" t="e">
        <f>IF(AND(G1241="",H1241=""),"SUPPR",SAISIE!$B$3)</f>
        <v>#REF!</v>
      </c>
      <c r="B1241" s="63" t="e">
        <f>IF(SAISIE!#REF!="","",IF(LEN(SAISIE!B87)=1,CONCATENATE("0",SAISIE!B87,"/",SAISIE!$B$4,"/",SAISIE!$B$5),CONCATENATE(SAISIE!B87,"/",SAISIE!$B$4,"/",SAISIE!$B$5)))</f>
        <v>#REF!</v>
      </c>
      <c r="C1241" s="63" t="e">
        <f>IF(SAISIE!#REF!="","",SAISIE!#REF!)</f>
        <v>#REF!</v>
      </c>
      <c r="D1241" s="63" t="e">
        <f>IF(SAISIE!#REF!="","",SAISIE!E87)</f>
        <v>#REF!</v>
      </c>
      <c r="E1241" s="63" t="e">
        <f>IF(SAISIE!#REF!="","",SAISIE!F87)</f>
        <v>#REF!</v>
      </c>
      <c r="F1241" s="70" t="e">
        <f>IF(SAISIE!#REF!="","",IF(SAISIE!$N87="","",SAISIE!$N87))</f>
        <v>#REF!</v>
      </c>
      <c r="G1241" s="63" t="e">
        <f>IF(SAISIE!#REF!="","",SAISIE!#REF!)</f>
        <v>#REF!</v>
      </c>
      <c r="H1241" s="63"/>
      <c r="I1241" s="63" t="e">
        <f>IF(SAISIE!#REF!="","",SAISIE!$Q87)</f>
        <v>#REF!</v>
      </c>
      <c r="J1241" s="71" t="str">
        <f>IF(COUNTBLANK(SAISIE!$J$6:$M$6)=4,"",IF(SAISIE!#REF!="","",IF(SAISIE!J87&gt;0,SAISIE!$J$6,IF(SAISIE!K87&gt;0,SAISIE!$K$6,IF(SAISIE!L87&gt;0,SAISIE!$L$6,IF(SAISIE!M87&gt;0,SAISIE!$M$6,""))))))</f>
        <v/>
      </c>
      <c r="O1241" s="59" t="s">
        <v>56</v>
      </c>
    </row>
    <row r="1242" spans="1:15" x14ac:dyDescent="0.25">
      <c r="A1242" s="63" t="e">
        <f>IF(AND(G1242="",H1242=""),"SUPPR",SAISIE!$B$3)</f>
        <v>#REF!</v>
      </c>
      <c r="B1242" s="63" t="e">
        <f>IF(SAISIE!#REF!="","",IF(LEN(SAISIE!B87)=1,CONCATENATE("0",SAISIE!B87,"/",SAISIE!$B$4,"/",SAISIE!$B$5),CONCATENATE(SAISIE!B87,"/",SAISIE!$B$4,"/",SAISIE!$B$5)))</f>
        <v>#REF!</v>
      </c>
      <c r="C1242" s="63" t="e">
        <f>IF(SAISIE!#REF!="","",SAISIE!#REF!)</f>
        <v>#REF!</v>
      </c>
      <c r="D1242" s="63" t="e">
        <f>IF(SAISIE!#REF!="","",SAISIE!E87)</f>
        <v>#REF!</v>
      </c>
      <c r="E1242" s="63" t="e">
        <f>IF(SAISIE!#REF!="","",SAISIE!F87)</f>
        <v>#REF!</v>
      </c>
      <c r="F1242" s="70" t="e">
        <f>IF(SAISIE!#REF!="","",IF(SAISIE!$N87="","",SAISIE!$N87))</f>
        <v>#REF!</v>
      </c>
      <c r="G1242" s="63" t="e">
        <f>IF(SAISIE!#REF!="","",SAISIE!#REF!)</f>
        <v>#REF!</v>
      </c>
      <c r="H1242" s="63"/>
      <c r="I1242" s="63" t="e">
        <f>IF(SAISIE!#REF!="","",SAISIE!$Q87)</f>
        <v>#REF!</v>
      </c>
      <c r="J1242" s="71" t="str">
        <f>IF(COUNTBLANK(SAISIE!$J$6:$M$6)=4,"",IF(SAISIE!#REF!="","",IF(SAISIE!J87&gt;0,SAISIE!$J$6,IF(SAISIE!K87&gt;0,SAISIE!$K$6,IF(SAISIE!L87&gt;0,SAISIE!$L$6,IF(SAISIE!M87&gt;0,SAISIE!$M$6,""))))))</f>
        <v/>
      </c>
      <c r="O1242" s="59" t="s">
        <v>57</v>
      </c>
    </row>
    <row r="1243" spans="1:15" x14ac:dyDescent="0.25">
      <c r="A1243" s="63" t="e">
        <f>IF(AND(G1243="",H1243=""),"SUPPR",SAISIE!$B$3)</f>
        <v>#REF!</v>
      </c>
      <c r="B1243" s="63" t="e">
        <f>IF(SAISIE!#REF!="","",IF(LEN(SAISIE!B87)=1,CONCATENATE("0",SAISIE!B87,"/",SAISIE!$B$4,"/",SAISIE!$B$5),CONCATENATE(SAISIE!B87,"/",SAISIE!$B$4,"/",SAISIE!$B$5)))</f>
        <v>#REF!</v>
      </c>
      <c r="C1243" s="63" t="e">
        <f>IF(SAISIE!#REF!="","",SAISIE!#REF!)</f>
        <v>#REF!</v>
      </c>
      <c r="D1243" s="63" t="e">
        <f>IF(SAISIE!#REF!="","",SAISIE!E87)</f>
        <v>#REF!</v>
      </c>
      <c r="E1243" s="63" t="e">
        <f>IF(SAISIE!#REF!="","",SAISIE!F87)</f>
        <v>#REF!</v>
      </c>
      <c r="F1243" s="70" t="e">
        <f>IF(SAISIE!#REF!="","",IF(SAISIE!$N87="","",SAISIE!$N87))</f>
        <v>#REF!</v>
      </c>
      <c r="G1243" s="63" t="e">
        <f>IF(SAISIE!#REF!="","",SAISIE!#REF!)</f>
        <v>#REF!</v>
      </c>
      <c r="H1243" s="63"/>
      <c r="I1243" s="63" t="e">
        <f>IF(SAISIE!#REF!="","",SAISIE!$Q87)</f>
        <v>#REF!</v>
      </c>
      <c r="J1243" s="71" t="str">
        <f>IF(COUNTBLANK(SAISIE!$J$6:$M$6)=4,"",IF(SAISIE!#REF!="","",IF(SAISIE!J87&gt;0,SAISIE!$J$6,IF(SAISIE!K87&gt;0,SAISIE!$K$6,IF(SAISIE!L87&gt;0,SAISIE!$L$6,IF(SAISIE!M87&gt;0,SAISIE!$M$6,""))))))</f>
        <v/>
      </c>
      <c r="O1243" s="59" t="s">
        <v>58</v>
      </c>
    </row>
    <row r="1244" spans="1:15" x14ac:dyDescent="0.25">
      <c r="A1244" s="63" t="e">
        <f>IF(AND(G1244="",H1244=""),"SUPPR",SAISIE!$B$3)</f>
        <v>#REF!</v>
      </c>
      <c r="B1244" s="63" t="e">
        <f>IF(SAISIE!#REF!="","",IF(LEN(SAISIE!B87)=1,CONCATENATE("0",SAISIE!B87,"/",SAISIE!$B$4,"/",SAISIE!$B$5),CONCATENATE(SAISIE!B87,"/",SAISIE!$B$4,"/",SAISIE!$B$5)))</f>
        <v>#REF!</v>
      </c>
      <c r="C1244" s="63" t="e">
        <f>IF(SAISIE!#REF!="","",SAISIE!#REF!)</f>
        <v>#REF!</v>
      </c>
      <c r="D1244" s="63" t="e">
        <f>IF(SAISIE!#REF!="","",SAISIE!E87)</f>
        <v>#REF!</v>
      </c>
      <c r="E1244" s="63" t="e">
        <f>IF(SAISIE!#REF!="","",SAISIE!F87)</f>
        <v>#REF!</v>
      </c>
      <c r="F1244" s="70" t="e">
        <f>IF(SAISIE!#REF!="","",IF(SAISIE!$N87="","",SAISIE!$N87))</f>
        <v>#REF!</v>
      </c>
      <c r="G1244" s="63" t="e">
        <f>IF(SAISIE!#REF!="","",SAISIE!#REF!)</f>
        <v>#REF!</v>
      </c>
      <c r="H1244" s="63"/>
      <c r="I1244" s="63" t="e">
        <f>IF(SAISIE!#REF!="","",SAISIE!$Q87)</f>
        <v>#REF!</v>
      </c>
      <c r="J1244" s="71" t="str">
        <f>IF(COUNTBLANK(SAISIE!$J$6:$M$6)=4,"",IF(SAISIE!#REF!="","",IF(SAISIE!J87&gt;0,SAISIE!$J$6,IF(SAISIE!K87&gt;0,SAISIE!$K$6,IF(SAISIE!L87&gt;0,SAISIE!$L$6,IF(SAISIE!M87&gt;0,SAISIE!$M$6,""))))))</f>
        <v/>
      </c>
      <c r="O1244" s="59" t="s">
        <v>59</v>
      </c>
    </row>
    <row r="1245" spans="1:15" x14ac:dyDescent="0.25">
      <c r="A1245" s="63" t="e">
        <f>IF(AND(G1245="",H1245=""),"SUPPR",SAISIE!$B$3)</f>
        <v>#REF!</v>
      </c>
      <c r="B1245" s="63" t="e">
        <f>IF(SAISIE!#REF!="","",IF(LEN(SAISIE!B87)=1,CONCATENATE("0",SAISIE!B87,"/",SAISIE!$B$4,"/",SAISIE!$B$5),CONCATENATE(SAISIE!B87,"/",SAISIE!$B$4,"/",SAISIE!$B$5)))</f>
        <v>#REF!</v>
      </c>
      <c r="C1245" s="63" t="e">
        <f>IF(SAISIE!#REF!="","",SAISIE!#REF!)</f>
        <v>#REF!</v>
      </c>
      <c r="D1245" s="63" t="e">
        <f>IF(SAISIE!#REF!="","",SAISIE!E87)</f>
        <v>#REF!</v>
      </c>
      <c r="E1245" s="63" t="e">
        <f>IF(SAISIE!#REF!="","",SAISIE!F87)</f>
        <v>#REF!</v>
      </c>
      <c r="F1245" s="70" t="e">
        <f>IF(SAISIE!#REF!="","",IF(SAISIE!$N87="","",SAISIE!$N87))</f>
        <v>#REF!</v>
      </c>
      <c r="G1245" s="63" t="e">
        <f>IF(SAISIE!#REF!="","",SAISIE!#REF!)</f>
        <v>#REF!</v>
      </c>
      <c r="H1245" s="63"/>
      <c r="I1245" s="63" t="e">
        <f>IF(SAISIE!#REF!="","",SAISIE!$Q87)</f>
        <v>#REF!</v>
      </c>
      <c r="J1245" s="71" t="str">
        <f>IF(COUNTBLANK(SAISIE!$J$6:$M$6)=4,"",IF(SAISIE!#REF!="","",IF(SAISIE!J87&gt;0,SAISIE!$J$6,IF(SAISIE!K87&gt;0,SAISIE!$K$6,IF(SAISIE!L87&gt;0,SAISIE!$L$6,IF(SAISIE!M87&gt;0,SAISIE!$M$6,""))))))</f>
        <v/>
      </c>
      <c r="O1245" s="59" t="s">
        <v>60</v>
      </c>
    </row>
    <row r="1246" spans="1:15" x14ac:dyDescent="0.25">
      <c r="A1246" s="63" t="str">
        <f>IF(AND(G1246="",H1246=""),"SUPPR",SAISIE!$B$3)</f>
        <v>SUPPR</v>
      </c>
      <c r="B1246" s="63" t="str">
        <f>IF(SAISIE!J87="","",IF(LEN(SAISIE!B87)=1,CONCATENATE("0",SAISIE!B87,"/",SAISIE!$B$4,"/",SAISIE!$B$5),CONCATENATE(SAISIE!B87,"/",SAISIE!$B$4,"/",SAISIE!$B$5)))</f>
        <v/>
      </c>
      <c r="C1246" s="63" t="str">
        <f>IF(SAISIE!J87="","",SAISIE!$J$8)</f>
        <v/>
      </c>
      <c r="D1246" s="63" t="str">
        <f>IF(SAISIE!J87="","",SAISIE!E87)</f>
        <v/>
      </c>
      <c r="E1246" s="63" t="str">
        <f>IF(SAISIE!J87="","",SAISIE!F87)</f>
        <v/>
      </c>
      <c r="F1246" s="70" t="str">
        <f>IF(SAISIE!$J87="","",IF(SAISIE!$N87="","",SAISIE!$N87))</f>
        <v/>
      </c>
      <c r="G1246" s="63" t="str">
        <f>IF(SAISIE!J87="","",SAISIE!J87)</f>
        <v/>
      </c>
      <c r="H1246" s="63"/>
      <c r="I1246" s="72"/>
      <c r="J1246" s="71"/>
      <c r="O1246" s="73"/>
    </row>
    <row r="1247" spans="1:15" x14ac:dyDescent="0.25">
      <c r="A1247" s="63" t="str">
        <f>IF(AND(G1247="",H1247=""),"SUPPR",SAISIE!$B$3)</f>
        <v>SUPPR</v>
      </c>
      <c r="B1247" s="63" t="str">
        <f>IF(SAISIE!K87="","",IF(LEN(SAISIE!B87)=1,CONCATENATE("0",SAISIE!B87,"/",SAISIE!$B$4,"/",SAISIE!$B$5),CONCATENATE(SAISIE!B87,"/",SAISIE!$B$4,"/",SAISIE!$B$5)))</f>
        <v/>
      </c>
      <c r="C1247" s="63" t="str">
        <f>IF(SAISIE!K87="","",SAISIE!$K$8)</f>
        <v/>
      </c>
      <c r="D1247" s="63" t="str">
        <f>IF(SAISIE!K87="","",SAISIE!E87)</f>
        <v/>
      </c>
      <c r="E1247" s="63" t="str">
        <f>IF(SAISIE!K87="","",SAISIE!F87)</f>
        <v/>
      </c>
      <c r="F1247" s="70" t="str">
        <f>IF(SAISIE!$K87="","",IF(SAISIE!$N87="","",SAISIE!$N87))</f>
        <v/>
      </c>
      <c r="G1247" s="63" t="str">
        <f>IF(SAISIE!K87="","",SAISIE!K87)</f>
        <v/>
      </c>
      <c r="H1247" s="63"/>
      <c r="I1247" s="72"/>
      <c r="J1247" s="71"/>
    </row>
    <row r="1248" spans="1:15" x14ac:dyDescent="0.25">
      <c r="A1248" s="63" t="str">
        <f>IF(AND(G1248="",H1248=""),"SUPPR",SAISIE!$B$3)</f>
        <v>SUPPR</v>
      </c>
      <c r="B1248" s="63" t="str">
        <f>IF(SAISIE!L87="","",IF(LEN(SAISIE!B87)=1,CONCATENATE("0",SAISIE!B87,"/",SAISIE!$B$4,"/",SAISIE!$B$5),CONCATENATE(SAISIE!B87,"/",SAISIE!$B$4,"/",SAISIE!$B$5)))</f>
        <v/>
      </c>
      <c r="C1248" s="63" t="str">
        <f>IF(SAISIE!L87="","",SAISIE!$L$8)</f>
        <v/>
      </c>
      <c r="D1248" s="63" t="str">
        <f>IF(SAISIE!L87="","",SAISIE!E87)</f>
        <v/>
      </c>
      <c r="E1248" s="63" t="str">
        <f>IF(SAISIE!L87="","",SAISIE!F87)</f>
        <v/>
      </c>
      <c r="F1248" s="70" t="str">
        <f>IF(SAISIE!$L87="","",IF(SAISIE!$N87="","",SAISIE!$N87))</f>
        <v/>
      </c>
      <c r="G1248" s="63" t="str">
        <f>IF(SAISIE!L87="","",SAISIE!L87)</f>
        <v/>
      </c>
      <c r="H1248" s="63"/>
      <c r="I1248" s="72"/>
      <c r="J1248" s="71"/>
    </row>
    <row r="1249" spans="1:15" x14ac:dyDescent="0.25">
      <c r="A1249" s="63" t="str">
        <f>IF(AND(G1249="",H1249=""),"SUPPR",SAISIE!$B$3)</f>
        <v>SUPPR</v>
      </c>
      <c r="B1249" s="63" t="str">
        <f>IF(SAISIE!M87="","",IF(LEN(SAISIE!B87)=1,CONCATENATE("0",SAISIE!B87,"/",SAISIE!$B$4,"/",SAISIE!$B$5),CONCATENATE(SAISIE!B87,"/",SAISIE!$B$4,"/",SAISIE!$B$5)))</f>
        <v/>
      </c>
      <c r="C1249" s="74" t="str">
        <f>IF(SAISIE!M87="","",SAISIE!$M$8)</f>
        <v/>
      </c>
      <c r="D1249" s="74" t="str">
        <f>IF(SAISIE!M87="","",SAISIE!E87)</f>
        <v/>
      </c>
      <c r="E1249" s="74" t="str">
        <f>IF(SAISIE!M87="","",SAISIE!F87)</f>
        <v/>
      </c>
      <c r="F1249" s="75" t="str">
        <f>IF(SAISIE!$M87="","",IF(SAISIE!$N87="","",SAISIE!$N87))</f>
        <v/>
      </c>
      <c r="G1249" s="74" t="str">
        <f>IF(SAISIE!M87="","",SAISIE!M87)</f>
        <v/>
      </c>
      <c r="H1249" s="76"/>
      <c r="I1249" s="77"/>
      <c r="J1249" s="78"/>
    </row>
    <row r="1250" spans="1:15" x14ac:dyDescent="0.25">
      <c r="A1250" s="63" t="str">
        <f>IF(AND(G1250="",H1250=""),"SUPPR",SAISIE!$B$3)</f>
        <v>SUPPR</v>
      </c>
      <c r="B1250" s="64" t="str">
        <f>IF(SAISIE!B88="","",IF(LEN(SAISIE!B88)=1,CONCATENATE("0",SAISIE!B88,"/",SAISIE!$B$4,"/",SAISIE!$B$5),CONCATENATE(SAISIE!B88,"/",SAISIE!$B$4,"/",SAISIE!$B$5)))</f>
        <v/>
      </c>
      <c r="C1250" s="64" t="str">
        <f>IF(SAISIE!B88="","",CONCATENATE($M$2,SAISIE!C88))</f>
        <v/>
      </c>
      <c r="D1250" s="64" t="str">
        <f>IF(SAISIE!B88="","",SAISIE!E88)</f>
        <v/>
      </c>
      <c r="E1250" s="64" t="str">
        <f>IF(SAISIE!B88="","",SAISIE!F88)</f>
        <v/>
      </c>
      <c r="F1250" s="65" t="str">
        <f>IF(A1250="SUPPR","",IF(SAISIE!$N88="","",SAISIE!$N88))</f>
        <v/>
      </c>
      <c r="G1250" s="64"/>
      <c r="H1250" s="64" t="str">
        <f>IF(SAISIE!B88="","",SAISIE!D88)</f>
        <v/>
      </c>
      <c r="I1250" s="66"/>
      <c r="J1250" s="67" t="str">
        <f>IF(AZ88="","","")</f>
        <v/>
      </c>
      <c r="O1250" s="69">
        <f>O1234+1</f>
        <v>88</v>
      </c>
    </row>
    <row r="1251" spans="1:15" x14ac:dyDescent="0.25">
      <c r="A1251" s="63" t="str">
        <f>IF(AND(G1251="",H1251=""),"SUPPR",SAISIE!$B$3)</f>
        <v>SUPPR</v>
      </c>
      <c r="B1251" s="63" t="str">
        <f>IF(SAISIE!P88="","",IF(LEN(SAISIE!B88)=1,CONCATENATE("0",SAISIE!B88,"/",SAISIE!$B$4,"/",SAISIE!$B$5),CONCATENATE(SAISIE!B88,"/",SAISIE!$B$4,"/",SAISIE!$B$5)))</f>
        <v/>
      </c>
      <c r="C1251" s="63" t="str">
        <f>IF(SAISIE!P88="","",SAISIE!O88)</f>
        <v/>
      </c>
      <c r="D1251" s="63" t="str">
        <f>IF(SAISIE!P88="","",SAISIE!E88)</f>
        <v/>
      </c>
      <c r="E1251" s="63" t="str">
        <f>IF(SAISIE!P88="","",SAISIE!F88)</f>
        <v/>
      </c>
      <c r="F1251" s="70" t="str">
        <f>IF(SAISIE!$P88="","",IF(SAISIE!$N88="","",SAISIE!$N88))</f>
        <v/>
      </c>
      <c r="G1251" s="63" t="str">
        <f>IF(SAISIE!P88="","",SAISIE!P88)</f>
        <v/>
      </c>
      <c r="H1251" s="63"/>
      <c r="I1251" s="63" t="str">
        <f>IF(SAISIE!$P88="","",SAISIE!$Q88)</f>
        <v/>
      </c>
      <c r="J1251" s="71" t="str">
        <f>IF(COUNTBLANK(SAISIE!$J$6:$M$6)=4,"",IF(SAISIE!P88="","",IF(SAISIE!J88&gt;0,SAISIE!$J$6,IF(SAISIE!K88&gt;0,SAISIE!$K$6,IF(SAISIE!L88&gt;0,SAISIE!$L$6,IF(SAISIE!M88&gt;0,SAISIE!$M$6,""))))))</f>
        <v/>
      </c>
      <c r="O1251" s="59" t="s">
        <v>50</v>
      </c>
    </row>
    <row r="1252" spans="1:15" x14ac:dyDescent="0.25">
      <c r="A1252" s="63" t="str">
        <f>IF(AND(G1252="",H1252=""),"SUPPR",SAISIE!$B$3)</f>
        <v>SUPPR</v>
      </c>
      <c r="B1252" s="63" t="str">
        <f>IF(SAISIE!G88="","",IF(LEN(SAISIE!B88)=1,CONCATENATE("0",SAISIE!B88,"/",SAISIE!$B$4,"/",SAISIE!$B$5),CONCATENATE(SAISIE!B88,"/",SAISIE!$B$4,"/",SAISIE!$B$5)))</f>
        <v/>
      </c>
      <c r="C1252" s="63" t="str">
        <f>IF(SAISIE!G88="","",SAISIE!$G$8)</f>
        <v/>
      </c>
      <c r="D1252" s="63" t="str">
        <f>IF(SAISIE!G88="","",SAISIE!E88)</f>
        <v/>
      </c>
      <c r="E1252" s="63" t="str">
        <f>IF(SAISIE!G88="","",SAISIE!F88)</f>
        <v/>
      </c>
      <c r="F1252" s="70" t="str">
        <f>IF(SAISIE!$G88="","",IF(SAISIE!$N88="","",SAISIE!$N88))</f>
        <v/>
      </c>
      <c r="G1252" s="63" t="str">
        <f>IF(SAISIE!G88="","",SAISIE!G88)</f>
        <v/>
      </c>
      <c r="H1252" s="63"/>
      <c r="I1252" s="63" t="str">
        <f>IF(SAISIE!$G88="","",SAISIE!$Q88)</f>
        <v/>
      </c>
      <c r="J1252" s="71" t="str">
        <f>IF(COUNTBLANK(SAISIE!$J$6:$M$6)=4,"",IF(SAISIE!G88="","",IF(SAISIE!J88&gt;0,SAISIE!$J$6,IF(SAISIE!K88&gt;0,SAISIE!$K$6,IF(SAISIE!L88&gt;0,SAISIE!$L$6,IF(SAISIE!M88&gt;0,SAISIE!$M$6,""))))))</f>
        <v/>
      </c>
      <c r="O1252" s="59" t="s">
        <v>51</v>
      </c>
    </row>
    <row r="1253" spans="1:15" x14ac:dyDescent="0.25">
      <c r="A1253" s="63" t="str">
        <f>IF(AND(G1253="",H1253=""),"SUPPR",SAISIE!$B$3)</f>
        <v>SUPPR</v>
      </c>
      <c r="B1253" s="63" t="str">
        <f>IF(SAISIE!H88="","",IF(LEN(SAISIE!B88)=1,CONCATENATE("0",SAISIE!B88,"/",SAISIE!$B$4,"/",SAISIE!$B$5),CONCATENATE(SAISIE!B88,"/",SAISIE!$B$4,"/",SAISIE!$B$5)))</f>
        <v/>
      </c>
      <c r="C1253" s="63" t="str">
        <f>IF(SAISIE!H88="","",SAISIE!$H$8)</f>
        <v/>
      </c>
      <c r="D1253" s="63" t="str">
        <f>IF(SAISIE!H88="","",SAISIE!E88)</f>
        <v/>
      </c>
      <c r="E1253" s="63" t="str">
        <f>IF(SAISIE!H88="","",SAISIE!F88)</f>
        <v/>
      </c>
      <c r="F1253" s="70" t="str">
        <f>IF(SAISIE!$H88="","",IF(SAISIE!$N88="","",SAISIE!$N88))</f>
        <v/>
      </c>
      <c r="G1253" s="63" t="str">
        <f>IF(SAISIE!H88="","",SAISIE!H88)</f>
        <v/>
      </c>
      <c r="H1253" s="63"/>
      <c r="I1253" s="63" t="str">
        <f>IF(SAISIE!$H88="","",SAISIE!$Q88)</f>
        <v/>
      </c>
      <c r="J1253" s="71" t="str">
        <f>IF(COUNTBLANK(SAISIE!$J$6:$M$6)=4,"",IF(SAISIE!H88="","",IF(SAISIE!J88&gt;0,SAISIE!$J$6,IF(SAISIE!K88&gt;0,SAISIE!$K$6,IF(SAISIE!L88&gt;0,SAISIE!$L$6,IF(SAISIE!M88&gt;0,SAISIE!$M$6,""))))))</f>
        <v/>
      </c>
      <c r="O1253" s="59" t="s">
        <v>52</v>
      </c>
    </row>
    <row r="1254" spans="1:15" x14ac:dyDescent="0.25">
      <c r="A1254" s="63" t="str">
        <f>IF(AND(G1254="",H1254=""),"SUPPR",SAISIE!$B$3)</f>
        <v>SUPPR</v>
      </c>
      <c r="B1254" s="63" t="str">
        <f>IF(SAISIE!I88="","",IF(LEN(SAISIE!B88)=1,CONCATENATE("0",SAISIE!B88,"/",SAISIE!$B$4,"/",SAISIE!$B$5),CONCATENATE(SAISIE!B88,"/",SAISIE!$B$4,"/",SAISIE!$B$5)))</f>
        <v/>
      </c>
      <c r="C1254" s="63" t="str">
        <f>IF(SAISIE!I88="","",SAISIE!$I$8)</f>
        <v/>
      </c>
      <c r="D1254" s="63" t="str">
        <f>IF(SAISIE!I88="","",SAISIE!E88)</f>
        <v/>
      </c>
      <c r="E1254" s="63" t="str">
        <f>IF(SAISIE!I88="","",SAISIE!F88)</f>
        <v/>
      </c>
      <c r="F1254" s="70" t="str">
        <f>IF(SAISIE!$I88="","",IF(SAISIE!$N88="","",SAISIE!$N88))</f>
        <v/>
      </c>
      <c r="G1254" s="63" t="str">
        <f>IF(SAISIE!I88="","",SAISIE!I88)</f>
        <v/>
      </c>
      <c r="H1254" s="63"/>
      <c r="I1254" s="63" t="str">
        <f>IF(SAISIE!$I88="","",SAISIE!$Q88)</f>
        <v/>
      </c>
      <c r="J1254" s="71" t="str">
        <f>IF(COUNTBLANK(SAISIE!$J$6:$M$6)=4,"",IF(SAISIE!I88="","",IF(SAISIE!J88&gt;0,SAISIE!$J$6,IF(SAISIE!K88&gt;0,SAISIE!$K$6,IF(SAISIE!L88&gt;0,SAISIE!$L$6,IF(SAISIE!M88&gt;0,SAISIE!$M$6,""))))))</f>
        <v/>
      </c>
      <c r="O1254" s="59" t="s">
        <v>53</v>
      </c>
    </row>
    <row r="1255" spans="1:15" x14ac:dyDescent="0.25">
      <c r="A1255" s="63" t="e">
        <f>IF(AND(G1255="",H1255=""),"SUPPR",SAISIE!$B$3)</f>
        <v>#REF!</v>
      </c>
      <c r="B1255" s="63" t="e">
        <f>IF(SAISIE!#REF!="","",IF(LEN(SAISIE!B88)=1,CONCATENATE("0",SAISIE!B88,"/",SAISIE!$B$4,"/",SAISIE!$B$5),CONCATENATE(SAISIE!B88,"/",SAISIE!$B$4,"/",SAISIE!$B$5)))</f>
        <v>#REF!</v>
      </c>
      <c r="C1255" s="63" t="e">
        <f>IF(SAISIE!#REF!="","",SAISIE!#REF!)</f>
        <v>#REF!</v>
      </c>
      <c r="D1255" s="63" t="e">
        <f>IF(SAISIE!#REF!="","",SAISIE!E88)</f>
        <v>#REF!</v>
      </c>
      <c r="E1255" s="63" t="e">
        <f>IF(SAISIE!#REF!="","",SAISIE!F88)</f>
        <v>#REF!</v>
      </c>
      <c r="F1255" s="70" t="e">
        <f>IF(SAISIE!#REF!="","",IF(SAISIE!$N88="","",SAISIE!$N88))</f>
        <v>#REF!</v>
      </c>
      <c r="G1255" s="63" t="e">
        <f>IF(SAISIE!#REF!="","",SAISIE!#REF!)</f>
        <v>#REF!</v>
      </c>
      <c r="H1255" s="63"/>
      <c r="I1255" s="63" t="e">
        <f>IF(SAISIE!#REF!="","",SAISIE!$Q88)</f>
        <v>#REF!</v>
      </c>
      <c r="J1255" s="71" t="str">
        <f>IF(COUNTBLANK(SAISIE!$J$6:$M$6)=4,"",IF(SAISIE!#REF!="","",IF(SAISIE!J88&gt;0,SAISIE!$J$6,IF(SAISIE!K88&gt;0,SAISIE!$K$6,IF(SAISIE!L88&gt;0,SAISIE!$L$6,IF(SAISIE!M88&gt;0,SAISIE!$M$6,""))))))</f>
        <v/>
      </c>
      <c r="O1255" s="59" t="s">
        <v>54</v>
      </c>
    </row>
    <row r="1256" spans="1:15" x14ac:dyDescent="0.25">
      <c r="A1256" s="63" t="e">
        <f>IF(AND(G1256="",H1256=""),"SUPPR",SAISIE!$B$3)</f>
        <v>#REF!</v>
      </c>
      <c r="B1256" s="63" t="e">
        <f>IF(SAISIE!#REF!="","",IF(LEN(SAISIE!B88)=1,CONCATENATE("0",SAISIE!B88,"/",SAISIE!$B$4,"/",SAISIE!$B$5),CONCATENATE(SAISIE!B88,"/",SAISIE!$B$4,"/",SAISIE!$B$5)))</f>
        <v>#REF!</v>
      </c>
      <c r="C1256" s="63" t="e">
        <f>IF(SAISIE!#REF!="","",SAISIE!#REF!)</f>
        <v>#REF!</v>
      </c>
      <c r="D1256" s="63" t="e">
        <f>IF(SAISIE!#REF!="","",SAISIE!E88)</f>
        <v>#REF!</v>
      </c>
      <c r="E1256" s="63" t="e">
        <f>IF(SAISIE!#REF!="","",SAISIE!F88)</f>
        <v>#REF!</v>
      </c>
      <c r="F1256" s="70" t="e">
        <f>IF(SAISIE!#REF!="","",IF(SAISIE!$N88="","",SAISIE!$N88))</f>
        <v>#REF!</v>
      </c>
      <c r="G1256" s="63" t="e">
        <f>IF(SAISIE!#REF!="","",SAISIE!#REF!)</f>
        <v>#REF!</v>
      </c>
      <c r="H1256" s="63"/>
      <c r="I1256" s="63" t="e">
        <f>IF(SAISIE!#REF!="","",SAISIE!$Q88)</f>
        <v>#REF!</v>
      </c>
      <c r="J1256" s="71" t="str">
        <f>IF(COUNTBLANK(SAISIE!$J$6:$M$6)=4,"",IF(SAISIE!#REF!="","",IF(SAISIE!J88&gt;0,SAISIE!$J$6,IF(SAISIE!K88&gt;0,SAISIE!$K$6,IF(SAISIE!L88&gt;0,SAISIE!$L$6,IF(SAISIE!M88&gt;0,SAISIE!$M$6,""))))))</f>
        <v/>
      </c>
      <c r="O1256" s="59" t="s">
        <v>55</v>
      </c>
    </row>
    <row r="1257" spans="1:15" x14ac:dyDescent="0.25">
      <c r="A1257" s="63" t="e">
        <f>IF(AND(G1257="",H1257=""),"SUPPR",SAISIE!$B$3)</f>
        <v>#REF!</v>
      </c>
      <c r="B1257" s="63" t="e">
        <f>IF(SAISIE!#REF!="","",IF(LEN(SAISIE!B88)=1,CONCATENATE("0",SAISIE!B88,"/",SAISIE!$B$4,"/",SAISIE!$B$5),CONCATENATE(SAISIE!B88,"/",SAISIE!$B$4,"/",SAISIE!$B$5)))</f>
        <v>#REF!</v>
      </c>
      <c r="C1257" s="63" t="e">
        <f>IF(SAISIE!#REF!="","",SAISIE!#REF!)</f>
        <v>#REF!</v>
      </c>
      <c r="D1257" s="63" t="e">
        <f>IF(SAISIE!#REF!="","",SAISIE!E88)</f>
        <v>#REF!</v>
      </c>
      <c r="E1257" s="63" t="e">
        <f>IF(SAISIE!#REF!="","",SAISIE!F88)</f>
        <v>#REF!</v>
      </c>
      <c r="F1257" s="70" t="e">
        <f>IF(SAISIE!#REF!="","",IF(SAISIE!$N88="","",SAISIE!$N88))</f>
        <v>#REF!</v>
      </c>
      <c r="G1257" s="63" t="e">
        <f>IF(SAISIE!#REF!="","",SAISIE!#REF!)</f>
        <v>#REF!</v>
      </c>
      <c r="H1257" s="63"/>
      <c r="I1257" s="63" t="e">
        <f>IF(SAISIE!#REF!="","",SAISIE!$Q88)</f>
        <v>#REF!</v>
      </c>
      <c r="J1257" s="71" t="str">
        <f>IF(COUNTBLANK(SAISIE!$J$6:$M$6)=4,"",IF(SAISIE!#REF!="","",IF(SAISIE!J88&gt;0,SAISIE!$J$6,IF(SAISIE!K88&gt;0,SAISIE!$K$6,IF(SAISIE!L88&gt;0,SAISIE!$L$6,IF(SAISIE!M88&gt;0,SAISIE!$M$6,""))))))</f>
        <v/>
      </c>
      <c r="O1257" s="59" t="s">
        <v>56</v>
      </c>
    </row>
    <row r="1258" spans="1:15" x14ac:dyDescent="0.25">
      <c r="A1258" s="63" t="e">
        <f>IF(AND(G1258="",H1258=""),"SUPPR",SAISIE!$B$3)</f>
        <v>#REF!</v>
      </c>
      <c r="B1258" s="63" t="e">
        <f>IF(SAISIE!#REF!="","",IF(LEN(SAISIE!B88)=1,CONCATENATE("0",SAISIE!B88,"/",SAISIE!$B$4,"/",SAISIE!$B$5),CONCATENATE(SAISIE!B88,"/",SAISIE!$B$4,"/",SAISIE!$B$5)))</f>
        <v>#REF!</v>
      </c>
      <c r="C1258" s="63" t="e">
        <f>IF(SAISIE!#REF!="","",SAISIE!#REF!)</f>
        <v>#REF!</v>
      </c>
      <c r="D1258" s="63" t="e">
        <f>IF(SAISIE!#REF!="","",SAISIE!E88)</f>
        <v>#REF!</v>
      </c>
      <c r="E1258" s="63" t="e">
        <f>IF(SAISIE!#REF!="","",SAISIE!F88)</f>
        <v>#REF!</v>
      </c>
      <c r="F1258" s="70" t="e">
        <f>IF(SAISIE!#REF!="","",IF(SAISIE!$N88="","",SAISIE!$N88))</f>
        <v>#REF!</v>
      </c>
      <c r="G1258" s="63" t="e">
        <f>IF(SAISIE!#REF!="","",SAISIE!#REF!)</f>
        <v>#REF!</v>
      </c>
      <c r="H1258" s="63"/>
      <c r="I1258" s="63" t="e">
        <f>IF(SAISIE!#REF!="","",SAISIE!$Q88)</f>
        <v>#REF!</v>
      </c>
      <c r="J1258" s="71" t="str">
        <f>IF(COUNTBLANK(SAISIE!$J$6:$M$6)=4,"",IF(SAISIE!#REF!="","",IF(SAISIE!J88&gt;0,SAISIE!$J$6,IF(SAISIE!K88&gt;0,SAISIE!$K$6,IF(SAISIE!L88&gt;0,SAISIE!$L$6,IF(SAISIE!M88&gt;0,SAISIE!$M$6,""))))))</f>
        <v/>
      </c>
      <c r="O1258" s="59" t="s">
        <v>57</v>
      </c>
    </row>
    <row r="1259" spans="1:15" x14ac:dyDescent="0.25">
      <c r="A1259" s="63" t="e">
        <f>IF(AND(G1259="",H1259=""),"SUPPR",SAISIE!$B$3)</f>
        <v>#REF!</v>
      </c>
      <c r="B1259" s="63" t="e">
        <f>IF(SAISIE!#REF!="","",IF(LEN(SAISIE!B88)=1,CONCATENATE("0",SAISIE!B88,"/",SAISIE!$B$4,"/",SAISIE!$B$5),CONCATENATE(SAISIE!B88,"/",SAISIE!$B$4,"/",SAISIE!$B$5)))</f>
        <v>#REF!</v>
      </c>
      <c r="C1259" s="63" t="e">
        <f>IF(SAISIE!#REF!="","",SAISIE!#REF!)</f>
        <v>#REF!</v>
      </c>
      <c r="D1259" s="63" t="e">
        <f>IF(SAISIE!#REF!="","",SAISIE!E88)</f>
        <v>#REF!</v>
      </c>
      <c r="E1259" s="63" t="e">
        <f>IF(SAISIE!#REF!="","",SAISIE!F88)</f>
        <v>#REF!</v>
      </c>
      <c r="F1259" s="70" t="e">
        <f>IF(SAISIE!#REF!="","",IF(SAISIE!$N88="","",SAISIE!$N88))</f>
        <v>#REF!</v>
      </c>
      <c r="G1259" s="63" t="e">
        <f>IF(SAISIE!#REF!="","",SAISIE!#REF!)</f>
        <v>#REF!</v>
      </c>
      <c r="H1259" s="63"/>
      <c r="I1259" s="63" t="e">
        <f>IF(SAISIE!#REF!="","",SAISIE!$Q88)</f>
        <v>#REF!</v>
      </c>
      <c r="J1259" s="71" t="str">
        <f>IF(COUNTBLANK(SAISIE!$J$6:$M$6)=4,"",IF(SAISIE!#REF!="","",IF(SAISIE!J88&gt;0,SAISIE!$J$6,IF(SAISIE!K88&gt;0,SAISIE!$K$6,IF(SAISIE!L88&gt;0,SAISIE!$L$6,IF(SAISIE!M88&gt;0,SAISIE!$M$6,""))))))</f>
        <v/>
      </c>
      <c r="O1259" s="59" t="s">
        <v>58</v>
      </c>
    </row>
    <row r="1260" spans="1:15" x14ac:dyDescent="0.25">
      <c r="A1260" s="63" t="e">
        <f>IF(AND(G1260="",H1260=""),"SUPPR",SAISIE!$B$3)</f>
        <v>#REF!</v>
      </c>
      <c r="B1260" s="63" t="e">
        <f>IF(SAISIE!#REF!="","",IF(LEN(SAISIE!B88)=1,CONCATENATE("0",SAISIE!B88,"/",SAISIE!$B$4,"/",SAISIE!$B$5),CONCATENATE(SAISIE!B88,"/",SAISIE!$B$4,"/",SAISIE!$B$5)))</f>
        <v>#REF!</v>
      </c>
      <c r="C1260" s="63" t="e">
        <f>IF(SAISIE!#REF!="","",SAISIE!#REF!)</f>
        <v>#REF!</v>
      </c>
      <c r="D1260" s="63" t="e">
        <f>IF(SAISIE!#REF!="","",SAISIE!E88)</f>
        <v>#REF!</v>
      </c>
      <c r="E1260" s="63" t="e">
        <f>IF(SAISIE!#REF!="","",SAISIE!F88)</f>
        <v>#REF!</v>
      </c>
      <c r="F1260" s="70" t="e">
        <f>IF(SAISIE!#REF!="","",IF(SAISIE!$N88="","",SAISIE!$N88))</f>
        <v>#REF!</v>
      </c>
      <c r="G1260" s="63" t="e">
        <f>IF(SAISIE!#REF!="","",SAISIE!#REF!)</f>
        <v>#REF!</v>
      </c>
      <c r="H1260" s="63"/>
      <c r="I1260" s="63" t="e">
        <f>IF(SAISIE!#REF!="","",SAISIE!$Q88)</f>
        <v>#REF!</v>
      </c>
      <c r="J1260" s="71" t="str">
        <f>IF(COUNTBLANK(SAISIE!$J$6:$M$6)=4,"",IF(SAISIE!#REF!="","",IF(SAISIE!J88&gt;0,SAISIE!$J$6,IF(SAISIE!K88&gt;0,SAISIE!$K$6,IF(SAISIE!L88&gt;0,SAISIE!$L$6,IF(SAISIE!M88&gt;0,SAISIE!$M$6,""))))))</f>
        <v/>
      </c>
      <c r="O1260" s="59" t="s">
        <v>59</v>
      </c>
    </row>
    <row r="1261" spans="1:15" x14ac:dyDescent="0.25">
      <c r="A1261" s="63" t="e">
        <f>IF(AND(G1261="",H1261=""),"SUPPR",SAISIE!$B$3)</f>
        <v>#REF!</v>
      </c>
      <c r="B1261" s="63" t="e">
        <f>IF(SAISIE!#REF!="","",IF(LEN(SAISIE!B88)=1,CONCATENATE("0",SAISIE!B88,"/",SAISIE!$B$4,"/",SAISIE!$B$5),CONCATENATE(SAISIE!B88,"/",SAISIE!$B$4,"/",SAISIE!$B$5)))</f>
        <v>#REF!</v>
      </c>
      <c r="C1261" s="63" t="e">
        <f>IF(SAISIE!#REF!="","",SAISIE!#REF!)</f>
        <v>#REF!</v>
      </c>
      <c r="D1261" s="63" t="e">
        <f>IF(SAISIE!#REF!="","",SAISIE!E88)</f>
        <v>#REF!</v>
      </c>
      <c r="E1261" s="63" t="e">
        <f>IF(SAISIE!#REF!="","",SAISIE!F88)</f>
        <v>#REF!</v>
      </c>
      <c r="F1261" s="70" t="e">
        <f>IF(SAISIE!#REF!="","",IF(SAISIE!$N88="","",SAISIE!$N88))</f>
        <v>#REF!</v>
      </c>
      <c r="G1261" s="63" t="e">
        <f>IF(SAISIE!#REF!="","",SAISIE!#REF!)</f>
        <v>#REF!</v>
      </c>
      <c r="H1261" s="63"/>
      <c r="I1261" s="63" t="e">
        <f>IF(SAISIE!#REF!="","",SAISIE!$Q88)</f>
        <v>#REF!</v>
      </c>
      <c r="J1261" s="71" t="str">
        <f>IF(COUNTBLANK(SAISIE!$J$6:$M$6)=4,"",IF(SAISIE!#REF!="","",IF(SAISIE!J88&gt;0,SAISIE!$J$6,IF(SAISIE!K88&gt;0,SAISIE!$K$6,IF(SAISIE!L88&gt;0,SAISIE!$L$6,IF(SAISIE!M88&gt;0,SAISIE!$M$6,""))))))</f>
        <v/>
      </c>
      <c r="O1261" s="59" t="s">
        <v>60</v>
      </c>
    </row>
    <row r="1262" spans="1:15" x14ac:dyDescent="0.25">
      <c r="A1262" s="63" t="str">
        <f>IF(AND(G1262="",H1262=""),"SUPPR",SAISIE!$B$3)</f>
        <v>SUPPR</v>
      </c>
      <c r="B1262" s="63" t="str">
        <f>IF(SAISIE!J88="","",IF(LEN(SAISIE!B88)=1,CONCATENATE("0",SAISIE!B88,"/",SAISIE!$B$4,"/",SAISIE!$B$5),CONCATENATE(SAISIE!B88,"/",SAISIE!$B$4,"/",SAISIE!$B$5)))</f>
        <v/>
      </c>
      <c r="C1262" s="63" t="str">
        <f>IF(SAISIE!J88="","",SAISIE!$J$8)</f>
        <v/>
      </c>
      <c r="D1262" s="63" t="str">
        <f>IF(SAISIE!J88="","",SAISIE!E88)</f>
        <v/>
      </c>
      <c r="E1262" s="63" t="str">
        <f>IF(SAISIE!J88="","",SAISIE!F88)</f>
        <v/>
      </c>
      <c r="F1262" s="70" t="str">
        <f>IF(SAISIE!$J88="","",IF(SAISIE!$N88="","",SAISIE!$N88))</f>
        <v/>
      </c>
      <c r="G1262" s="63" t="str">
        <f>IF(SAISIE!J88="","",SAISIE!J88)</f>
        <v/>
      </c>
      <c r="H1262" s="63"/>
      <c r="I1262" s="72"/>
      <c r="J1262" s="71"/>
      <c r="O1262" s="73"/>
    </row>
    <row r="1263" spans="1:15" x14ac:dyDescent="0.25">
      <c r="A1263" s="63" t="str">
        <f>IF(AND(G1263="",H1263=""),"SUPPR",SAISIE!$B$3)</f>
        <v>SUPPR</v>
      </c>
      <c r="B1263" s="63" t="str">
        <f>IF(SAISIE!K88="","",IF(LEN(SAISIE!B88)=1,CONCATENATE("0",SAISIE!B88,"/",SAISIE!$B$4,"/",SAISIE!$B$5),CONCATENATE(SAISIE!B88,"/",SAISIE!$B$4,"/",SAISIE!$B$5)))</f>
        <v/>
      </c>
      <c r="C1263" s="63" t="str">
        <f>IF(SAISIE!K88="","",SAISIE!$K$8)</f>
        <v/>
      </c>
      <c r="D1263" s="63" t="str">
        <f>IF(SAISIE!K88="","",SAISIE!E88)</f>
        <v/>
      </c>
      <c r="E1263" s="63" t="str">
        <f>IF(SAISIE!K88="","",SAISIE!F88)</f>
        <v/>
      </c>
      <c r="F1263" s="70" t="str">
        <f>IF(SAISIE!$K88="","",IF(SAISIE!$N88="","",SAISIE!$N88))</f>
        <v/>
      </c>
      <c r="G1263" s="63" t="str">
        <f>IF(SAISIE!K88="","",SAISIE!K88)</f>
        <v/>
      </c>
      <c r="H1263" s="63"/>
      <c r="I1263" s="72"/>
      <c r="J1263" s="71"/>
    </row>
    <row r="1264" spans="1:15" x14ac:dyDescent="0.25">
      <c r="A1264" s="63" t="str">
        <f>IF(AND(G1264="",H1264=""),"SUPPR",SAISIE!$B$3)</f>
        <v>SUPPR</v>
      </c>
      <c r="B1264" s="63" t="str">
        <f>IF(SAISIE!L88="","",IF(LEN(SAISIE!B88)=1,CONCATENATE("0",SAISIE!B88,"/",SAISIE!$B$4,"/",SAISIE!$B$5),CONCATENATE(SAISIE!B88,"/",SAISIE!$B$4,"/",SAISIE!$B$5)))</f>
        <v/>
      </c>
      <c r="C1264" s="63" t="str">
        <f>IF(SAISIE!L88="","",SAISIE!$L$8)</f>
        <v/>
      </c>
      <c r="D1264" s="63" t="str">
        <f>IF(SAISIE!L88="","",SAISIE!E88)</f>
        <v/>
      </c>
      <c r="E1264" s="63" t="str">
        <f>IF(SAISIE!L88="","",SAISIE!F88)</f>
        <v/>
      </c>
      <c r="F1264" s="70" t="str">
        <f>IF(SAISIE!$L88="","",IF(SAISIE!$N88="","",SAISIE!$N88))</f>
        <v/>
      </c>
      <c r="G1264" s="63" t="str">
        <f>IF(SAISIE!L88="","",SAISIE!L88)</f>
        <v/>
      </c>
      <c r="H1264" s="63"/>
      <c r="I1264" s="72"/>
      <c r="J1264" s="71"/>
    </row>
    <row r="1265" spans="1:15" x14ac:dyDescent="0.25">
      <c r="A1265" s="63" t="str">
        <f>IF(AND(G1265="",H1265=""),"SUPPR",SAISIE!$B$3)</f>
        <v>SUPPR</v>
      </c>
      <c r="B1265" s="63" t="str">
        <f>IF(SAISIE!M88="","",IF(LEN(SAISIE!B88)=1,CONCATENATE("0",SAISIE!B88,"/",SAISIE!$B$4,"/",SAISIE!$B$5),CONCATENATE(SAISIE!B88,"/",SAISIE!$B$4,"/",SAISIE!$B$5)))</f>
        <v/>
      </c>
      <c r="C1265" s="74" t="str">
        <f>IF(SAISIE!M88="","",SAISIE!$M$8)</f>
        <v/>
      </c>
      <c r="D1265" s="74" t="str">
        <f>IF(SAISIE!M88="","",SAISIE!E88)</f>
        <v/>
      </c>
      <c r="E1265" s="74" t="str">
        <f>IF(SAISIE!M88="","",SAISIE!F88)</f>
        <v/>
      </c>
      <c r="F1265" s="75" t="str">
        <f>IF(SAISIE!$M88="","",IF(SAISIE!$N88="","",SAISIE!$N88))</f>
        <v/>
      </c>
      <c r="G1265" s="74" t="str">
        <f>IF(SAISIE!M88="","",SAISIE!M88)</f>
        <v/>
      </c>
      <c r="H1265" s="76"/>
      <c r="I1265" s="77"/>
      <c r="J1265" s="78"/>
    </row>
    <row r="1266" spans="1:15" x14ac:dyDescent="0.25">
      <c r="A1266" s="63" t="str">
        <f>IF(AND(G1266="",H1266=""),"SUPPR",SAISIE!$B$3)</f>
        <v>SUPPR</v>
      </c>
      <c r="B1266" s="64" t="str">
        <f>IF(SAISIE!B89="","",IF(LEN(SAISIE!B89)=1,CONCATENATE("0",SAISIE!B89,"/",SAISIE!$B$4,"/",SAISIE!$B$5),CONCATENATE(SAISIE!B89,"/",SAISIE!$B$4,"/",SAISIE!$B$5)))</f>
        <v/>
      </c>
      <c r="C1266" s="64" t="str">
        <f>IF(SAISIE!B89="","",CONCATENATE($M$2,SAISIE!C89))</f>
        <v/>
      </c>
      <c r="D1266" s="64" t="str">
        <f>IF(SAISIE!B89="","",SAISIE!E89)</f>
        <v/>
      </c>
      <c r="E1266" s="64" t="str">
        <f>IF(SAISIE!B89="","",SAISIE!F89)</f>
        <v/>
      </c>
      <c r="F1266" s="65" t="str">
        <f>IF(A1266="SUPPR","",IF(SAISIE!$N89="","",SAISIE!$N89))</f>
        <v/>
      </c>
      <c r="G1266" s="64"/>
      <c r="H1266" s="64" t="str">
        <f>IF(SAISIE!B89="","",SAISIE!D89)</f>
        <v/>
      </c>
      <c r="I1266" s="66"/>
      <c r="J1266" s="67" t="str">
        <f>IF(AZ89="","","")</f>
        <v/>
      </c>
      <c r="O1266" s="69">
        <f>O1250+1</f>
        <v>89</v>
      </c>
    </row>
    <row r="1267" spans="1:15" x14ac:dyDescent="0.25">
      <c r="A1267" s="63" t="str">
        <f>IF(AND(G1267="",H1267=""),"SUPPR",SAISIE!$B$3)</f>
        <v>SUPPR</v>
      </c>
      <c r="B1267" s="63" t="str">
        <f>IF(SAISIE!P89="","",IF(LEN(SAISIE!B89)=1,CONCATENATE("0",SAISIE!B89,"/",SAISIE!$B$4,"/",SAISIE!$B$5),CONCATENATE(SAISIE!B89,"/",SAISIE!$B$4,"/",SAISIE!$B$5)))</f>
        <v/>
      </c>
      <c r="C1267" s="63" t="str">
        <f>IF(SAISIE!P89="","",SAISIE!O89)</f>
        <v/>
      </c>
      <c r="D1267" s="63" t="str">
        <f>IF(SAISIE!P89="","",SAISIE!E89)</f>
        <v/>
      </c>
      <c r="E1267" s="63" t="str">
        <f>IF(SAISIE!P89="","",SAISIE!F89)</f>
        <v/>
      </c>
      <c r="F1267" s="70" t="str">
        <f>IF(SAISIE!$P89="","",IF(SAISIE!$N89="","",SAISIE!$N89))</f>
        <v/>
      </c>
      <c r="G1267" s="63" t="str">
        <f>IF(SAISIE!P89="","",SAISIE!P89)</f>
        <v/>
      </c>
      <c r="H1267" s="63"/>
      <c r="I1267" s="63" t="str">
        <f>IF(SAISIE!$P89="","",SAISIE!$Q89)</f>
        <v/>
      </c>
      <c r="J1267" s="71" t="str">
        <f>IF(COUNTBLANK(SAISIE!$J$6:$M$6)=4,"",IF(SAISIE!P89="","",IF(SAISIE!J89&gt;0,SAISIE!$J$6,IF(SAISIE!K89&gt;0,SAISIE!$K$6,IF(SAISIE!L89&gt;0,SAISIE!$L$6,IF(SAISIE!M89&gt;0,SAISIE!$M$6,""))))))</f>
        <v/>
      </c>
      <c r="O1267" s="59" t="s">
        <v>50</v>
      </c>
    </row>
    <row r="1268" spans="1:15" x14ac:dyDescent="0.25">
      <c r="A1268" s="63" t="str">
        <f>IF(AND(G1268="",H1268=""),"SUPPR",SAISIE!$B$3)</f>
        <v>SUPPR</v>
      </c>
      <c r="B1268" s="63" t="str">
        <f>IF(SAISIE!G89="","",IF(LEN(SAISIE!B89)=1,CONCATENATE("0",SAISIE!B89,"/",SAISIE!$B$4,"/",SAISIE!$B$5),CONCATENATE(SAISIE!B89,"/",SAISIE!$B$4,"/",SAISIE!$B$5)))</f>
        <v/>
      </c>
      <c r="C1268" s="63" t="str">
        <f>IF(SAISIE!G89="","",SAISIE!$G$8)</f>
        <v/>
      </c>
      <c r="D1268" s="63" t="str">
        <f>IF(SAISIE!G89="","",SAISIE!E89)</f>
        <v/>
      </c>
      <c r="E1268" s="63" t="str">
        <f>IF(SAISIE!G89="","",SAISIE!F89)</f>
        <v/>
      </c>
      <c r="F1268" s="70" t="str">
        <f>IF(SAISIE!$G89="","",IF(SAISIE!$N89="","",SAISIE!$N89))</f>
        <v/>
      </c>
      <c r="G1268" s="63" t="str">
        <f>IF(SAISIE!G89="","",SAISIE!G89)</f>
        <v/>
      </c>
      <c r="H1268" s="63"/>
      <c r="I1268" s="63" t="str">
        <f>IF(SAISIE!$G89="","",SAISIE!$Q89)</f>
        <v/>
      </c>
      <c r="J1268" s="71" t="str">
        <f>IF(COUNTBLANK(SAISIE!$J$6:$M$6)=4,"",IF(SAISIE!G89="","",IF(SAISIE!J89&gt;0,SAISIE!$J$6,IF(SAISIE!K89&gt;0,SAISIE!$K$6,IF(SAISIE!L89&gt;0,SAISIE!$L$6,IF(SAISIE!M89&gt;0,SAISIE!$M$6,""))))))</f>
        <v/>
      </c>
      <c r="O1268" s="59" t="s">
        <v>51</v>
      </c>
    </row>
    <row r="1269" spans="1:15" x14ac:dyDescent="0.25">
      <c r="A1269" s="63" t="str">
        <f>IF(AND(G1269="",H1269=""),"SUPPR",SAISIE!$B$3)</f>
        <v>SUPPR</v>
      </c>
      <c r="B1269" s="63" t="str">
        <f>IF(SAISIE!H89="","",IF(LEN(SAISIE!B89)=1,CONCATENATE("0",SAISIE!B89,"/",SAISIE!$B$4,"/",SAISIE!$B$5),CONCATENATE(SAISIE!B89,"/",SAISIE!$B$4,"/",SAISIE!$B$5)))</f>
        <v/>
      </c>
      <c r="C1269" s="63" t="str">
        <f>IF(SAISIE!H89="","",SAISIE!$H$8)</f>
        <v/>
      </c>
      <c r="D1269" s="63" t="str">
        <f>IF(SAISIE!H89="","",SAISIE!E89)</f>
        <v/>
      </c>
      <c r="E1269" s="63" t="str">
        <f>IF(SAISIE!H89="","",SAISIE!F89)</f>
        <v/>
      </c>
      <c r="F1269" s="70" t="str">
        <f>IF(SAISIE!$H89="","",IF(SAISIE!$N89="","",SAISIE!$N89))</f>
        <v/>
      </c>
      <c r="G1269" s="63" t="str">
        <f>IF(SAISIE!H89="","",SAISIE!H89)</f>
        <v/>
      </c>
      <c r="H1269" s="63"/>
      <c r="I1269" s="63" t="str">
        <f>IF(SAISIE!$H89="","",SAISIE!$Q89)</f>
        <v/>
      </c>
      <c r="J1269" s="71" t="str">
        <f>IF(COUNTBLANK(SAISIE!$J$6:$M$6)=4,"",IF(SAISIE!H89="","",IF(SAISIE!J89&gt;0,SAISIE!$J$6,IF(SAISIE!K89&gt;0,SAISIE!$K$6,IF(SAISIE!L89&gt;0,SAISIE!$L$6,IF(SAISIE!M89&gt;0,SAISIE!$M$6,""))))))</f>
        <v/>
      </c>
      <c r="O1269" s="59" t="s">
        <v>52</v>
      </c>
    </row>
    <row r="1270" spans="1:15" x14ac:dyDescent="0.25">
      <c r="A1270" s="63" t="str">
        <f>IF(AND(G1270="",H1270=""),"SUPPR",SAISIE!$B$3)</f>
        <v>SUPPR</v>
      </c>
      <c r="B1270" s="63" t="str">
        <f>IF(SAISIE!I89="","",IF(LEN(SAISIE!B89)=1,CONCATENATE("0",SAISIE!B89,"/",SAISIE!$B$4,"/",SAISIE!$B$5),CONCATENATE(SAISIE!B89,"/",SAISIE!$B$4,"/",SAISIE!$B$5)))</f>
        <v/>
      </c>
      <c r="C1270" s="63" t="str">
        <f>IF(SAISIE!I89="","",SAISIE!$I$8)</f>
        <v/>
      </c>
      <c r="D1270" s="63" t="str">
        <f>IF(SAISIE!I89="","",SAISIE!E89)</f>
        <v/>
      </c>
      <c r="E1270" s="63" t="str">
        <f>IF(SAISIE!I89="","",SAISIE!F89)</f>
        <v/>
      </c>
      <c r="F1270" s="70" t="str">
        <f>IF(SAISIE!$I89="","",IF(SAISIE!$N89="","",SAISIE!$N89))</f>
        <v/>
      </c>
      <c r="G1270" s="63" t="str">
        <f>IF(SAISIE!I89="","",SAISIE!I89)</f>
        <v/>
      </c>
      <c r="H1270" s="63"/>
      <c r="I1270" s="63" t="str">
        <f>IF(SAISIE!$I89="","",SAISIE!$Q89)</f>
        <v/>
      </c>
      <c r="J1270" s="71" t="str">
        <f>IF(COUNTBLANK(SAISIE!$J$6:$M$6)=4,"",IF(SAISIE!I89="","",IF(SAISIE!J89&gt;0,SAISIE!$J$6,IF(SAISIE!K89&gt;0,SAISIE!$K$6,IF(SAISIE!L89&gt;0,SAISIE!$L$6,IF(SAISIE!M89&gt;0,SAISIE!$M$6,""))))))</f>
        <v/>
      </c>
      <c r="O1270" s="59" t="s">
        <v>53</v>
      </c>
    </row>
    <row r="1271" spans="1:15" x14ac:dyDescent="0.25">
      <c r="A1271" s="63" t="e">
        <f>IF(AND(G1271="",H1271=""),"SUPPR",SAISIE!$B$3)</f>
        <v>#REF!</v>
      </c>
      <c r="B1271" s="63" t="e">
        <f>IF(SAISIE!#REF!="","",IF(LEN(SAISIE!B89)=1,CONCATENATE("0",SAISIE!B89,"/",SAISIE!$B$4,"/",SAISIE!$B$5),CONCATENATE(SAISIE!B89,"/",SAISIE!$B$4,"/",SAISIE!$B$5)))</f>
        <v>#REF!</v>
      </c>
      <c r="C1271" s="63" t="e">
        <f>IF(SAISIE!#REF!="","",SAISIE!#REF!)</f>
        <v>#REF!</v>
      </c>
      <c r="D1271" s="63" t="e">
        <f>IF(SAISIE!#REF!="","",SAISIE!E89)</f>
        <v>#REF!</v>
      </c>
      <c r="E1271" s="63" t="e">
        <f>IF(SAISIE!#REF!="","",SAISIE!F89)</f>
        <v>#REF!</v>
      </c>
      <c r="F1271" s="70" t="e">
        <f>IF(SAISIE!#REF!="","",IF(SAISIE!$N89="","",SAISIE!$N89))</f>
        <v>#REF!</v>
      </c>
      <c r="G1271" s="63" t="e">
        <f>IF(SAISIE!#REF!="","",SAISIE!#REF!)</f>
        <v>#REF!</v>
      </c>
      <c r="H1271" s="63"/>
      <c r="I1271" s="63" t="e">
        <f>IF(SAISIE!#REF!="","",SAISIE!$Q89)</f>
        <v>#REF!</v>
      </c>
      <c r="J1271" s="71" t="str">
        <f>IF(COUNTBLANK(SAISIE!$J$6:$M$6)=4,"",IF(SAISIE!#REF!="","",IF(SAISIE!J89&gt;0,SAISIE!$J$6,IF(SAISIE!K89&gt;0,SAISIE!$K$6,IF(SAISIE!L89&gt;0,SAISIE!$L$6,IF(SAISIE!M89&gt;0,SAISIE!$M$6,""))))))</f>
        <v/>
      </c>
      <c r="O1271" s="59" t="s">
        <v>54</v>
      </c>
    </row>
    <row r="1272" spans="1:15" x14ac:dyDescent="0.25">
      <c r="A1272" s="63" t="e">
        <f>IF(AND(G1272="",H1272=""),"SUPPR",SAISIE!$B$3)</f>
        <v>#REF!</v>
      </c>
      <c r="B1272" s="63" t="e">
        <f>IF(SAISIE!#REF!="","",IF(LEN(SAISIE!B89)=1,CONCATENATE("0",SAISIE!B89,"/",SAISIE!$B$4,"/",SAISIE!$B$5),CONCATENATE(SAISIE!B89,"/",SAISIE!$B$4,"/",SAISIE!$B$5)))</f>
        <v>#REF!</v>
      </c>
      <c r="C1272" s="63" t="e">
        <f>IF(SAISIE!#REF!="","",SAISIE!#REF!)</f>
        <v>#REF!</v>
      </c>
      <c r="D1272" s="63" t="e">
        <f>IF(SAISIE!#REF!="","",SAISIE!E89)</f>
        <v>#REF!</v>
      </c>
      <c r="E1272" s="63" t="e">
        <f>IF(SAISIE!#REF!="","",SAISIE!F89)</f>
        <v>#REF!</v>
      </c>
      <c r="F1272" s="70" t="e">
        <f>IF(SAISIE!#REF!="","",IF(SAISIE!$N89="","",SAISIE!$N89))</f>
        <v>#REF!</v>
      </c>
      <c r="G1272" s="63" t="e">
        <f>IF(SAISIE!#REF!="","",SAISIE!#REF!)</f>
        <v>#REF!</v>
      </c>
      <c r="H1272" s="63"/>
      <c r="I1272" s="63" t="e">
        <f>IF(SAISIE!#REF!="","",SAISIE!$Q89)</f>
        <v>#REF!</v>
      </c>
      <c r="J1272" s="71" t="str">
        <f>IF(COUNTBLANK(SAISIE!$J$6:$M$6)=4,"",IF(SAISIE!#REF!="","",IF(SAISIE!J89&gt;0,SAISIE!$J$6,IF(SAISIE!K89&gt;0,SAISIE!$K$6,IF(SAISIE!L89&gt;0,SAISIE!$L$6,IF(SAISIE!M89&gt;0,SAISIE!$M$6,""))))))</f>
        <v/>
      </c>
      <c r="O1272" s="59" t="s">
        <v>55</v>
      </c>
    </row>
    <row r="1273" spans="1:15" x14ac:dyDescent="0.25">
      <c r="A1273" s="63" t="e">
        <f>IF(AND(G1273="",H1273=""),"SUPPR",SAISIE!$B$3)</f>
        <v>#REF!</v>
      </c>
      <c r="B1273" s="63" t="e">
        <f>IF(SAISIE!#REF!="","",IF(LEN(SAISIE!B89)=1,CONCATENATE("0",SAISIE!B89,"/",SAISIE!$B$4,"/",SAISIE!$B$5),CONCATENATE(SAISIE!B89,"/",SAISIE!$B$4,"/",SAISIE!$B$5)))</f>
        <v>#REF!</v>
      </c>
      <c r="C1273" s="63" t="e">
        <f>IF(SAISIE!#REF!="","",SAISIE!#REF!)</f>
        <v>#REF!</v>
      </c>
      <c r="D1273" s="63" t="e">
        <f>IF(SAISIE!#REF!="","",SAISIE!E89)</f>
        <v>#REF!</v>
      </c>
      <c r="E1273" s="63" t="e">
        <f>IF(SAISIE!#REF!="","",SAISIE!F89)</f>
        <v>#REF!</v>
      </c>
      <c r="F1273" s="70" t="e">
        <f>IF(SAISIE!#REF!="","",IF(SAISIE!$N89="","",SAISIE!$N89))</f>
        <v>#REF!</v>
      </c>
      <c r="G1273" s="63" t="e">
        <f>IF(SAISIE!#REF!="","",SAISIE!#REF!)</f>
        <v>#REF!</v>
      </c>
      <c r="H1273" s="63"/>
      <c r="I1273" s="63" t="e">
        <f>IF(SAISIE!#REF!="","",SAISIE!$Q89)</f>
        <v>#REF!</v>
      </c>
      <c r="J1273" s="71" t="str">
        <f>IF(COUNTBLANK(SAISIE!$J$6:$M$6)=4,"",IF(SAISIE!#REF!="","",IF(SAISIE!J89&gt;0,SAISIE!$J$6,IF(SAISIE!K89&gt;0,SAISIE!$K$6,IF(SAISIE!L89&gt;0,SAISIE!$L$6,IF(SAISIE!M89&gt;0,SAISIE!$M$6,""))))))</f>
        <v/>
      </c>
      <c r="O1273" s="59" t="s">
        <v>56</v>
      </c>
    </row>
    <row r="1274" spans="1:15" x14ac:dyDescent="0.25">
      <c r="A1274" s="63" t="e">
        <f>IF(AND(G1274="",H1274=""),"SUPPR",SAISIE!$B$3)</f>
        <v>#REF!</v>
      </c>
      <c r="B1274" s="63" t="e">
        <f>IF(SAISIE!#REF!="","",IF(LEN(SAISIE!B89)=1,CONCATENATE("0",SAISIE!B89,"/",SAISIE!$B$4,"/",SAISIE!$B$5),CONCATENATE(SAISIE!B89,"/",SAISIE!$B$4,"/",SAISIE!$B$5)))</f>
        <v>#REF!</v>
      </c>
      <c r="C1274" s="63" t="e">
        <f>IF(SAISIE!#REF!="","",SAISIE!#REF!)</f>
        <v>#REF!</v>
      </c>
      <c r="D1274" s="63" t="e">
        <f>IF(SAISIE!#REF!="","",SAISIE!E89)</f>
        <v>#REF!</v>
      </c>
      <c r="E1274" s="63" t="e">
        <f>IF(SAISIE!#REF!="","",SAISIE!F89)</f>
        <v>#REF!</v>
      </c>
      <c r="F1274" s="70" t="e">
        <f>IF(SAISIE!#REF!="","",IF(SAISIE!$N89="","",SAISIE!$N89))</f>
        <v>#REF!</v>
      </c>
      <c r="G1274" s="63" t="e">
        <f>IF(SAISIE!#REF!="","",SAISIE!#REF!)</f>
        <v>#REF!</v>
      </c>
      <c r="H1274" s="63"/>
      <c r="I1274" s="63" t="e">
        <f>IF(SAISIE!#REF!="","",SAISIE!$Q89)</f>
        <v>#REF!</v>
      </c>
      <c r="J1274" s="71" t="str">
        <f>IF(COUNTBLANK(SAISIE!$J$6:$M$6)=4,"",IF(SAISIE!#REF!="","",IF(SAISIE!J89&gt;0,SAISIE!$J$6,IF(SAISIE!K89&gt;0,SAISIE!$K$6,IF(SAISIE!L89&gt;0,SAISIE!$L$6,IF(SAISIE!M89&gt;0,SAISIE!$M$6,""))))))</f>
        <v/>
      </c>
      <c r="O1274" s="59" t="s">
        <v>57</v>
      </c>
    </row>
    <row r="1275" spans="1:15" x14ac:dyDescent="0.25">
      <c r="A1275" s="63" t="e">
        <f>IF(AND(G1275="",H1275=""),"SUPPR",SAISIE!$B$3)</f>
        <v>#REF!</v>
      </c>
      <c r="B1275" s="63" t="e">
        <f>IF(SAISIE!#REF!="","",IF(LEN(SAISIE!B89)=1,CONCATENATE("0",SAISIE!B89,"/",SAISIE!$B$4,"/",SAISIE!$B$5),CONCATENATE(SAISIE!B89,"/",SAISIE!$B$4,"/",SAISIE!$B$5)))</f>
        <v>#REF!</v>
      </c>
      <c r="C1275" s="63" t="e">
        <f>IF(SAISIE!#REF!="","",SAISIE!#REF!)</f>
        <v>#REF!</v>
      </c>
      <c r="D1275" s="63" t="e">
        <f>IF(SAISIE!#REF!="","",SAISIE!E89)</f>
        <v>#REF!</v>
      </c>
      <c r="E1275" s="63" t="e">
        <f>IF(SAISIE!#REF!="","",SAISIE!F89)</f>
        <v>#REF!</v>
      </c>
      <c r="F1275" s="70" t="e">
        <f>IF(SAISIE!#REF!="","",IF(SAISIE!$N89="","",SAISIE!$N89))</f>
        <v>#REF!</v>
      </c>
      <c r="G1275" s="63" t="e">
        <f>IF(SAISIE!#REF!="","",SAISIE!#REF!)</f>
        <v>#REF!</v>
      </c>
      <c r="H1275" s="63"/>
      <c r="I1275" s="63" t="e">
        <f>IF(SAISIE!#REF!="","",SAISIE!$Q89)</f>
        <v>#REF!</v>
      </c>
      <c r="J1275" s="71" t="str">
        <f>IF(COUNTBLANK(SAISIE!$J$6:$M$6)=4,"",IF(SAISIE!#REF!="","",IF(SAISIE!J89&gt;0,SAISIE!$J$6,IF(SAISIE!K89&gt;0,SAISIE!$K$6,IF(SAISIE!L89&gt;0,SAISIE!$L$6,IF(SAISIE!M89&gt;0,SAISIE!$M$6,""))))))</f>
        <v/>
      </c>
      <c r="O1275" s="59" t="s">
        <v>58</v>
      </c>
    </row>
    <row r="1276" spans="1:15" x14ac:dyDescent="0.25">
      <c r="A1276" s="63" t="e">
        <f>IF(AND(G1276="",H1276=""),"SUPPR",SAISIE!$B$3)</f>
        <v>#REF!</v>
      </c>
      <c r="B1276" s="63" t="e">
        <f>IF(SAISIE!#REF!="","",IF(LEN(SAISIE!B89)=1,CONCATENATE("0",SAISIE!B89,"/",SAISIE!$B$4,"/",SAISIE!$B$5),CONCATENATE(SAISIE!B89,"/",SAISIE!$B$4,"/",SAISIE!$B$5)))</f>
        <v>#REF!</v>
      </c>
      <c r="C1276" s="63" t="e">
        <f>IF(SAISIE!#REF!="","",SAISIE!#REF!)</f>
        <v>#REF!</v>
      </c>
      <c r="D1276" s="63" t="e">
        <f>IF(SAISIE!#REF!="","",SAISIE!E89)</f>
        <v>#REF!</v>
      </c>
      <c r="E1276" s="63" t="e">
        <f>IF(SAISIE!#REF!="","",SAISIE!F89)</f>
        <v>#REF!</v>
      </c>
      <c r="F1276" s="70" t="e">
        <f>IF(SAISIE!#REF!="","",IF(SAISIE!$N89="","",SAISIE!$N89))</f>
        <v>#REF!</v>
      </c>
      <c r="G1276" s="63" t="e">
        <f>IF(SAISIE!#REF!="","",SAISIE!#REF!)</f>
        <v>#REF!</v>
      </c>
      <c r="H1276" s="63"/>
      <c r="I1276" s="63" t="e">
        <f>IF(SAISIE!#REF!="","",SAISIE!$Q89)</f>
        <v>#REF!</v>
      </c>
      <c r="J1276" s="71" t="str">
        <f>IF(COUNTBLANK(SAISIE!$J$6:$M$6)=4,"",IF(SAISIE!#REF!="","",IF(SAISIE!J89&gt;0,SAISIE!$J$6,IF(SAISIE!K89&gt;0,SAISIE!$K$6,IF(SAISIE!L89&gt;0,SAISIE!$L$6,IF(SAISIE!M89&gt;0,SAISIE!$M$6,""))))))</f>
        <v/>
      </c>
      <c r="O1276" s="59" t="s">
        <v>59</v>
      </c>
    </row>
    <row r="1277" spans="1:15" x14ac:dyDescent="0.25">
      <c r="A1277" s="63" t="e">
        <f>IF(AND(G1277="",H1277=""),"SUPPR",SAISIE!$B$3)</f>
        <v>#REF!</v>
      </c>
      <c r="B1277" s="63" t="e">
        <f>IF(SAISIE!#REF!="","",IF(LEN(SAISIE!B89)=1,CONCATENATE("0",SAISIE!B89,"/",SAISIE!$B$4,"/",SAISIE!$B$5),CONCATENATE(SAISIE!B89,"/",SAISIE!$B$4,"/",SAISIE!$B$5)))</f>
        <v>#REF!</v>
      </c>
      <c r="C1277" s="63" t="e">
        <f>IF(SAISIE!#REF!="","",SAISIE!#REF!)</f>
        <v>#REF!</v>
      </c>
      <c r="D1277" s="63" t="e">
        <f>IF(SAISIE!#REF!="","",SAISIE!E89)</f>
        <v>#REF!</v>
      </c>
      <c r="E1277" s="63" t="e">
        <f>IF(SAISIE!#REF!="","",SAISIE!F89)</f>
        <v>#REF!</v>
      </c>
      <c r="F1277" s="70" t="e">
        <f>IF(SAISIE!#REF!="","",IF(SAISIE!$N89="","",SAISIE!$N89))</f>
        <v>#REF!</v>
      </c>
      <c r="G1277" s="63" t="e">
        <f>IF(SAISIE!#REF!="","",SAISIE!#REF!)</f>
        <v>#REF!</v>
      </c>
      <c r="H1277" s="63"/>
      <c r="I1277" s="63" t="e">
        <f>IF(SAISIE!#REF!="","",SAISIE!$Q89)</f>
        <v>#REF!</v>
      </c>
      <c r="J1277" s="71" t="str">
        <f>IF(COUNTBLANK(SAISIE!$J$6:$M$6)=4,"",IF(SAISIE!#REF!="","",IF(SAISIE!J89&gt;0,SAISIE!$J$6,IF(SAISIE!K89&gt;0,SAISIE!$K$6,IF(SAISIE!L89&gt;0,SAISIE!$L$6,IF(SAISIE!M89&gt;0,SAISIE!$M$6,""))))))</f>
        <v/>
      </c>
      <c r="O1277" s="59" t="s">
        <v>60</v>
      </c>
    </row>
    <row r="1278" spans="1:15" x14ac:dyDescent="0.25">
      <c r="A1278" s="63" t="str">
        <f>IF(AND(G1278="",H1278=""),"SUPPR",SAISIE!$B$3)</f>
        <v>SUPPR</v>
      </c>
      <c r="B1278" s="63" t="str">
        <f>IF(SAISIE!J89="","",IF(LEN(SAISIE!B89)=1,CONCATENATE("0",SAISIE!B89,"/",SAISIE!$B$4,"/",SAISIE!$B$5),CONCATENATE(SAISIE!B89,"/",SAISIE!$B$4,"/",SAISIE!$B$5)))</f>
        <v/>
      </c>
      <c r="C1278" s="63" t="str">
        <f>IF(SAISIE!J89="","",SAISIE!$J$8)</f>
        <v/>
      </c>
      <c r="D1278" s="63" t="str">
        <f>IF(SAISIE!J89="","",SAISIE!E89)</f>
        <v/>
      </c>
      <c r="E1278" s="63" t="str">
        <f>IF(SAISIE!J89="","",SAISIE!F89)</f>
        <v/>
      </c>
      <c r="F1278" s="70" t="str">
        <f>IF(SAISIE!$J89="","",IF(SAISIE!$N89="","",SAISIE!$N89))</f>
        <v/>
      </c>
      <c r="G1278" s="63" t="str">
        <f>IF(SAISIE!J89="","",SAISIE!J89)</f>
        <v/>
      </c>
      <c r="H1278" s="63"/>
      <c r="I1278" s="72"/>
      <c r="J1278" s="71"/>
      <c r="O1278" s="73"/>
    </row>
    <row r="1279" spans="1:15" x14ac:dyDescent="0.25">
      <c r="A1279" s="63" t="str">
        <f>IF(AND(G1279="",H1279=""),"SUPPR",SAISIE!$B$3)</f>
        <v>SUPPR</v>
      </c>
      <c r="B1279" s="63" t="str">
        <f>IF(SAISIE!K89="","",IF(LEN(SAISIE!B89)=1,CONCATENATE("0",SAISIE!B89,"/",SAISIE!$B$4,"/",SAISIE!$B$5),CONCATENATE(SAISIE!B89,"/",SAISIE!$B$4,"/",SAISIE!$B$5)))</f>
        <v/>
      </c>
      <c r="C1279" s="63" t="str">
        <f>IF(SAISIE!K89="","",SAISIE!$K$8)</f>
        <v/>
      </c>
      <c r="D1279" s="63" t="str">
        <f>IF(SAISIE!K89="","",SAISIE!E89)</f>
        <v/>
      </c>
      <c r="E1279" s="63" t="str">
        <f>IF(SAISIE!K89="","",SAISIE!F89)</f>
        <v/>
      </c>
      <c r="F1279" s="70" t="str">
        <f>IF(SAISIE!$K89="","",IF(SAISIE!$N89="","",SAISIE!$N89))</f>
        <v/>
      </c>
      <c r="G1279" s="63" t="str">
        <f>IF(SAISIE!K89="","",SAISIE!K89)</f>
        <v/>
      </c>
      <c r="H1279" s="63"/>
      <c r="I1279" s="72"/>
      <c r="J1279" s="71"/>
    </row>
    <row r="1280" spans="1:15" x14ac:dyDescent="0.25">
      <c r="A1280" s="63" t="str">
        <f>IF(AND(G1280="",H1280=""),"SUPPR",SAISIE!$B$3)</f>
        <v>SUPPR</v>
      </c>
      <c r="B1280" s="63" t="str">
        <f>IF(SAISIE!L89="","",IF(LEN(SAISIE!B89)=1,CONCATENATE("0",SAISIE!B89,"/",SAISIE!$B$4,"/",SAISIE!$B$5),CONCATENATE(SAISIE!B89,"/",SAISIE!$B$4,"/",SAISIE!$B$5)))</f>
        <v/>
      </c>
      <c r="C1280" s="63" t="str">
        <f>IF(SAISIE!L89="","",SAISIE!$L$8)</f>
        <v/>
      </c>
      <c r="D1280" s="63" t="str">
        <f>IF(SAISIE!L89="","",SAISIE!E89)</f>
        <v/>
      </c>
      <c r="E1280" s="63" t="str">
        <f>IF(SAISIE!L89="","",SAISIE!F89)</f>
        <v/>
      </c>
      <c r="F1280" s="70" t="str">
        <f>IF(SAISIE!$L89="","",IF(SAISIE!$N89="","",SAISIE!$N89))</f>
        <v/>
      </c>
      <c r="G1280" s="63" t="str">
        <f>IF(SAISIE!L89="","",SAISIE!L89)</f>
        <v/>
      </c>
      <c r="H1280" s="63"/>
      <c r="I1280" s="72"/>
      <c r="J1280" s="71"/>
    </row>
    <row r="1281" spans="1:15" x14ac:dyDescent="0.25">
      <c r="A1281" s="63" t="str">
        <f>IF(AND(G1281="",H1281=""),"SUPPR",SAISIE!$B$3)</f>
        <v>SUPPR</v>
      </c>
      <c r="B1281" s="63" t="str">
        <f>IF(SAISIE!M89="","",IF(LEN(SAISIE!B89)=1,CONCATENATE("0",SAISIE!B89,"/",SAISIE!$B$4,"/",SAISIE!$B$5),CONCATENATE(SAISIE!B89,"/",SAISIE!$B$4,"/",SAISIE!$B$5)))</f>
        <v/>
      </c>
      <c r="C1281" s="74" t="str">
        <f>IF(SAISIE!M89="","",SAISIE!$M$8)</f>
        <v/>
      </c>
      <c r="D1281" s="74" t="str">
        <f>IF(SAISIE!M89="","",SAISIE!E89)</f>
        <v/>
      </c>
      <c r="E1281" s="74" t="str">
        <f>IF(SAISIE!M89="","",SAISIE!F89)</f>
        <v/>
      </c>
      <c r="F1281" s="75" t="str">
        <f>IF(SAISIE!$M89="","",IF(SAISIE!$N89="","",SAISIE!$N89))</f>
        <v/>
      </c>
      <c r="G1281" s="74" t="str">
        <f>IF(SAISIE!M89="","",SAISIE!M89)</f>
        <v/>
      </c>
      <c r="H1281" s="76"/>
      <c r="I1281" s="77"/>
      <c r="J1281" s="78"/>
    </row>
    <row r="1282" spans="1:15" x14ac:dyDescent="0.25">
      <c r="A1282" s="63" t="str">
        <f>IF(AND(G1282="",H1282=""),"SUPPR",SAISIE!$B$3)</f>
        <v>SUPPR</v>
      </c>
      <c r="B1282" s="64" t="str">
        <f>IF(SAISIE!B90="","",IF(LEN(SAISIE!B90)=1,CONCATENATE("0",SAISIE!B90,"/",SAISIE!$B$4,"/",SAISIE!$B$5),CONCATENATE(SAISIE!B90,"/",SAISIE!$B$4,"/",SAISIE!$B$5)))</f>
        <v/>
      </c>
      <c r="C1282" s="64" t="str">
        <f>IF(SAISIE!B90="","",CONCATENATE($M$2,SAISIE!C90))</f>
        <v/>
      </c>
      <c r="D1282" s="64" t="str">
        <f>IF(SAISIE!B90="","",SAISIE!E90)</f>
        <v/>
      </c>
      <c r="E1282" s="64" t="str">
        <f>IF(SAISIE!B90="","",SAISIE!F90)</f>
        <v/>
      </c>
      <c r="F1282" s="65" t="str">
        <f>IF(A1282="SUPPR","",IF(SAISIE!$N90="","",SAISIE!$N90))</f>
        <v/>
      </c>
      <c r="G1282" s="64"/>
      <c r="H1282" s="64" t="str">
        <f>IF(SAISIE!B90="","",SAISIE!D90)</f>
        <v/>
      </c>
      <c r="I1282" s="66"/>
      <c r="J1282" s="67" t="str">
        <f>IF(AZ90="","","")</f>
        <v/>
      </c>
      <c r="O1282" s="69">
        <f>O1266+1</f>
        <v>90</v>
      </c>
    </row>
    <row r="1283" spans="1:15" x14ac:dyDescent="0.25">
      <c r="A1283" s="63" t="str">
        <f>IF(AND(G1283="",H1283=""),"SUPPR",SAISIE!$B$3)</f>
        <v>SUPPR</v>
      </c>
      <c r="B1283" s="63" t="str">
        <f>IF(SAISIE!P90="","",IF(LEN(SAISIE!B90)=1,CONCATENATE("0",SAISIE!B90,"/",SAISIE!$B$4,"/",SAISIE!$B$5),CONCATENATE(SAISIE!B90,"/",SAISIE!$B$4,"/",SAISIE!$B$5)))</f>
        <v/>
      </c>
      <c r="C1283" s="63" t="str">
        <f>IF(SAISIE!P90="","",SAISIE!O90)</f>
        <v/>
      </c>
      <c r="D1283" s="63" t="str">
        <f>IF(SAISIE!P90="","",SAISIE!E90)</f>
        <v/>
      </c>
      <c r="E1283" s="63" t="str">
        <f>IF(SAISIE!P90="","",SAISIE!F90)</f>
        <v/>
      </c>
      <c r="F1283" s="70" t="str">
        <f>IF(SAISIE!$P90="","",IF(SAISIE!$N90="","",SAISIE!$N90))</f>
        <v/>
      </c>
      <c r="G1283" s="63" t="str">
        <f>IF(SAISIE!P90="","",SAISIE!P90)</f>
        <v/>
      </c>
      <c r="H1283" s="63"/>
      <c r="I1283" s="63" t="str">
        <f>IF(SAISIE!$P90="","",SAISIE!$Q90)</f>
        <v/>
      </c>
      <c r="J1283" s="71" t="str">
        <f>IF(COUNTBLANK(SAISIE!$J$6:$M$6)=4,"",IF(SAISIE!P90="","",IF(SAISIE!J90&gt;0,SAISIE!$J$6,IF(SAISIE!K90&gt;0,SAISIE!$K$6,IF(SAISIE!L90&gt;0,SAISIE!$L$6,IF(SAISIE!M90&gt;0,SAISIE!$M$6,""))))))</f>
        <v/>
      </c>
      <c r="O1283" s="59" t="s">
        <v>50</v>
      </c>
    </row>
    <row r="1284" spans="1:15" x14ac:dyDescent="0.25">
      <c r="A1284" s="63" t="str">
        <f>IF(AND(G1284="",H1284=""),"SUPPR",SAISIE!$B$3)</f>
        <v>SUPPR</v>
      </c>
      <c r="B1284" s="63" t="str">
        <f>IF(SAISIE!G90="","",IF(LEN(SAISIE!B90)=1,CONCATENATE("0",SAISIE!B90,"/",SAISIE!$B$4,"/",SAISIE!$B$5),CONCATENATE(SAISIE!B90,"/",SAISIE!$B$4,"/",SAISIE!$B$5)))</f>
        <v/>
      </c>
      <c r="C1284" s="63" t="str">
        <f>IF(SAISIE!G90="","",SAISIE!$G$8)</f>
        <v/>
      </c>
      <c r="D1284" s="63" t="str">
        <f>IF(SAISIE!G90="","",SAISIE!E90)</f>
        <v/>
      </c>
      <c r="E1284" s="63" t="str">
        <f>IF(SAISIE!G90="","",SAISIE!F90)</f>
        <v/>
      </c>
      <c r="F1284" s="70" t="str">
        <f>IF(SAISIE!$G90="","",IF(SAISIE!$N90="","",SAISIE!$N90))</f>
        <v/>
      </c>
      <c r="G1284" s="63" t="str">
        <f>IF(SAISIE!G90="","",SAISIE!G90)</f>
        <v/>
      </c>
      <c r="H1284" s="63"/>
      <c r="I1284" s="63" t="str">
        <f>IF(SAISIE!$G90="","",SAISIE!$Q90)</f>
        <v/>
      </c>
      <c r="J1284" s="71" t="str">
        <f>IF(COUNTBLANK(SAISIE!$J$6:$M$6)=4,"",IF(SAISIE!G90="","",IF(SAISIE!J90&gt;0,SAISIE!$J$6,IF(SAISIE!K90&gt;0,SAISIE!$K$6,IF(SAISIE!L90&gt;0,SAISIE!$L$6,IF(SAISIE!M90&gt;0,SAISIE!$M$6,""))))))</f>
        <v/>
      </c>
      <c r="O1284" s="59" t="s">
        <v>51</v>
      </c>
    </row>
    <row r="1285" spans="1:15" x14ac:dyDescent="0.25">
      <c r="A1285" s="63" t="str">
        <f>IF(AND(G1285="",H1285=""),"SUPPR",SAISIE!$B$3)</f>
        <v>SUPPR</v>
      </c>
      <c r="B1285" s="63" t="str">
        <f>IF(SAISIE!H90="","",IF(LEN(SAISIE!B90)=1,CONCATENATE("0",SAISIE!B90,"/",SAISIE!$B$4,"/",SAISIE!$B$5),CONCATENATE(SAISIE!B90,"/",SAISIE!$B$4,"/",SAISIE!$B$5)))</f>
        <v/>
      </c>
      <c r="C1285" s="63" t="str">
        <f>IF(SAISIE!H90="","",SAISIE!$H$8)</f>
        <v/>
      </c>
      <c r="D1285" s="63" t="str">
        <f>IF(SAISIE!H90="","",SAISIE!E90)</f>
        <v/>
      </c>
      <c r="E1285" s="63" t="str">
        <f>IF(SAISIE!H90="","",SAISIE!F90)</f>
        <v/>
      </c>
      <c r="F1285" s="70" t="str">
        <f>IF(SAISIE!$H90="","",IF(SAISIE!$N90="","",SAISIE!$N90))</f>
        <v/>
      </c>
      <c r="G1285" s="63" t="str">
        <f>IF(SAISIE!H90="","",SAISIE!H90)</f>
        <v/>
      </c>
      <c r="H1285" s="63"/>
      <c r="I1285" s="63" t="str">
        <f>IF(SAISIE!$H90="","",SAISIE!$Q90)</f>
        <v/>
      </c>
      <c r="J1285" s="71" t="str">
        <f>IF(COUNTBLANK(SAISIE!$J$6:$M$6)=4,"",IF(SAISIE!H90="","",IF(SAISIE!J90&gt;0,SAISIE!$J$6,IF(SAISIE!K90&gt;0,SAISIE!$K$6,IF(SAISIE!L90&gt;0,SAISIE!$L$6,IF(SAISIE!M90&gt;0,SAISIE!$M$6,""))))))</f>
        <v/>
      </c>
      <c r="O1285" s="59" t="s">
        <v>52</v>
      </c>
    </row>
    <row r="1286" spans="1:15" x14ac:dyDescent="0.25">
      <c r="A1286" s="63" t="str">
        <f>IF(AND(G1286="",H1286=""),"SUPPR",SAISIE!$B$3)</f>
        <v>SUPPR</v>
      </c>
      <c r="B1286" s="63" t="str">
        <f>IF(SAISIE!I90="","",IF(LEN(SAISIE!B90)=1,CONCATENATE("0",SAISIE!B90,"/",SAISIE!$B$4,"/",SAISIE!$B$5),CONCATENATE(SAISIE!B90,"/",SAISIE!$B$4,"/",SAISIE!$B$5)))</f>
        <v/>
      </c>
      <c r="C1286" s="63" t="str">
        <f>IF(SAISIE!I90="","",SAISIE!$I$8)</f>
        <v/>
      </c>
      <c r="D1286" s="63" t="str">
        <f>IF(SAISIE!I90="","",SAISIE!E90)</f>
        <v/>
      </c>
      <c r="E1286" s="63" t="str">
        <f>IF(SAISIE!I90="","",SAISIE!F90)</f>
        <v/>
      </c>
      <c r="F1286" s="70" t="str">
        <f>IF(SAISIE!$I90="","",IF(SAISIE!$N90="","",SAISIE!$N90))</f>
        <v/>
      </c>
      <c r="G1286" s="63" t="str">
        <f>IF(SAISIE!I90="","",SAISIE!I90)</f>
        <v/>
      </c>
      <c r="H1286" s="63"/>
      <c r="I1286" s="63" t="str">
        <f>IF(SAISIE!$I90="","",SAISIE!$Q90)</f>
        <v/>
      </c>
      <c r="J1286" s="71" t="str">
        <f>IF(COUNTBLANK(SAISIE!$J$6:$M$6)=4,"",IF(SAISIE!I90="","",IF(SAISIE!J90&gt;0,SAISIE!$J$6,IF(SAISIE!K90&gt;0,SAISIE!$K$6,IF(SAISIE!L90&gt;0,SAISIE!$L$6,IF(SAISIE!M90&gt;0,SAISIE!$M$6,""))))))</f>
        <v/>
      </c>
      <c r="O1286" s="59" t="s">
        <v>53</v>
      </c>
    </row>
    <row r="1287" spans="1:15" x14ac:dyDescent="0.25">
      <c r="A1287" s="63" t="e">
        <f>IF(AND(G1287="",H1287=""),"SUPPR",SAISIE!$B$3)</f>
        <v>#REF!</v>
      </c>
      <c r="B1287" s="63" t="e">
        <f>IF(SAISIE!#REF!="","",IF(LEN(SAISIE!B90)=1,CONCATENATE("0",SAISIE!B90,"/",SAISIE!$B$4,"/",SAISIE!$B$5),CONCATENATE(SAISIE!B90,"/",SAISIE!$B$4,"/",SAISIE!$B$5)))</f>
        <v>#REF!</v>
      </c>
      <c r="C1287" s="63" t="e">
        <f>IF(SAISIE!#REF!="","",SAISIE!#REF!)</f>
        <v>#REF!</v>
      </c>
      <c r="D1287" s="63" t="e">
        <f>IF(SAISIE!#REF!="","",SAISIE!E90)</f>
        <v>#REF!</v>
      </c>
      <c r="E1287" s="63" t="e">
        <f>IF(SAISIE!#REF!="","",SAISIE!F90)</f>
        <v>#REF!</v>
      </c>
      <c r="F1287" s="70" t="e">
        <f>IF(SAISIE!#REF!="","",IF(SAISIE!$N90="","",SAISIE!$N90))</f>
        <v>#REF!</v>
      </c>
      <c r="G1287" s="63" t="e">
        <f>IF(SAISIE!#REF!="","",SAISIE!#REF!)</f>
        <v>#REF!</v>
      </c>
      <c r="H1287" s="63"/>
      <c r="I1287" s="63" t="e">
        <f>IF(SAISIE!#REF!="","",SAISIE!$Q90)</f>
        <v>#REF!</v>
      </c>
      <c r="J1287" s="71" t="str">
        <f>IF(COUNTBLANK(SAISIE!$J$6:$M$6)=4,"",IF(SAISIE!#REF!="","",IF(SAISIE!J90&gt;0,SAISIE!$J$6,IF(SAISIE!K90&gt;0,SAISIE!$K$6,IF(SAISIE!L90&gt;0,SAISIE!$L$6,IF(SAISIE!M90&gt;0,SAISIE!$M$6,""))))))</f>
        <v/>
      </c>
      <c r="O1287" s="59" t="s">
        <v>54</v>
      </c>
    </row>
    <row r="1288" spans="1:15" x14ac:dyDescent="0.25">
      <c r="A1288" s="63" t="e">
        <f>IF(AND(G1288="",H1288=""),"SUPPR",SAISIE!$B$3)</f>
        <v>#REF!</v>
      </c>
      <c r="B1288" s="63" t="e">
        <f>IF(SAISIE!#REF!="","",IF(LEN(SAISIE!B90)=1,CONCATENATE("0",SAISIE!B90,"/",SAISIE!$B$4,"/",SAISIE!$B$5),CONCATENATE(SAISIE!B90,"/",SAISIE!$B$4,"/",SAISIE!$B$5)))</f>
        <v>#REF!</v>
      </c>
      <c r="C1288" s="63" t="e">
        <f>IF(SAISIE!#REF!="","",SAISIE!#REF!)</f>
        <v>#REF!</v>
      </c>
      <c r="D1288" s="63" t="e">
        <f>IF(SAISIE!#REF!="","",SAISIE!E90)</f>
        <v>#REF!</v>
      </c>
      <c r="E1288" s="63" t="e">
        <f>IF(SAISIE!#REF!="","",SAISIE!F90)</f>
        <v>#REF!</v>
      </c>
      <c r="F1288" s="70" t="e">
        <f>IF(SAISIE!#REF!="","",IF(SAISIE!$N90="","",SAISIE!$N90))</f>
        <v>#REF!</v>
      </c>
      <c r="G1288" s="63" t="e">
        <f>IF(SAISIE!#REF!="","",SAISIE!#REF!)</f>
        <v>#REF!</v>
      </c>
      <c r="H1288" s="63"/>
      <c r="I1288" s="63" t="e">
        <f>IF(SAISIE!#REF!="","",SAISIE!$Q90)</f>
        <v>#REF!</v>
      </c>
      <c r="J1288" s="71" t="str">
        <f>IF(COUNTBLANK(SAISIE!$J$6:$M$6)=4,"",IF(SAISIE!#REF!="","",IF(SAISIE!J90&gt;0,SAISIE!$J$6,IF(SAISIE!K90&gt;0,SAISIE!$K$6,IF(SAISIE!L90&gt;0,SAISIE!$L$6,IF(SAISIE!M90&gt;0,SAISIE!$M$6,""))))))</f>
        <v/>
      </c>
      <c r="O1288" s="59" t="s">
        <v>55</v>
      </c>
    </row>
    <row r="1289" spans="1:15" x14ac:dyDescent="0.25">
      <c r="A1289" s="63" t="e">
        <f>IF(AND(G1289="",H1289=""),"SUPPR",SAISIE!$B$3)</f>
        <v>#REF!</v>
      </c>
      <c r="B1289" s="63" t="e">
        <f>IF(SAISIE!#REF!="","",IF(LEN(SAISIE!B90)=1,CONCATENATE("0",SAISIE!B90,"/",SAISIE!$B$4,"/",SAISIE!$B$5),CONCATENATE(SAISIE!B90,"/",SAISIE!$B$4,"/",SAISIE!$B$5)))</f>
        <v>#REF!</v>
      </c>
      <c r="C1289" s="63" t="e">
        <f>IF(SAISIE!#REF!="","",SAISIE!#REF!)</f>
        <v>#REF!</v>
      </c>
      <c r="D1289" s="63" t="e">
        <f>IF(SAISIE!#REF!="","",SAISIE!E90)</f>
        <v>#REF!</v>
      </c>
      <c r="E1289" s="63" t="e">
        <f>IF(SAISIE!#REF!="","",SAISIE!F90)</f>
        <v>#REF!</v>
      </c>
      <c r="F1289" s="70" t="e">
        <f>IF(SAISIE!#REF!="","",IF(SAISIE!$N90="","",SAISIE!$N90))</f>
        <v>#REF!</v>
      </c>
      <c r="G1289" s="63" t="e">
        <f>IF(SAISIE!#REF!="","",SAISIE!#REF!)</f>
        <v>#REF!</v>
      </c>
      <c r="H1289" s="63"/>
      <c r="I1289" s="63" t="e">
        <f>IF(SAISIE!#REF!="","",SAISIE!$Q90)</f>
        <v>#REF!</v>
      </c>
      <c r="J1289" s="71" t="str">
        <f>IF(COUNTBLANK(SAISIE!$J$6:$M$6)=4,"",IF(SAISIE!#REF!="","",IF(SAISIE!J90&gt;0,SAISIE!$J$6,IF(SAISIE!K90&gt;0,SAISIE!$K$6,IF(SAISIE!L90&gt;0,SAISIE!$L$6,IF(SAISIE!M90&gt;0,SAISIE!$M$6,""))))))</f>
        <v/>
      </c>
      <c r="O1289" s="59" t="s">
        <v>56</v>
      </c>
    </row>
    <row r="1290" spans="1:15" x14ac:dyDescent="0.25">
      <c r="A1290" s="63" t="e">
        <f>IF(AND(G1290="",H1290=""),"SUPPR",SAISIE!$B$3)</f>
        <v>#REF!</v>
      </c>
      <c r="B1290" s="63" t="e">
        <f>IF(SAISIE!#REF!="","",IF(LEN(SAISIE!B90)=1,CONCATENATE("0",SAISIE!B90,"/",SAISIE!$B$4,"/",SAISIE!$B$5),CONCATENATE(SAISIE!B90,"/",SAISIE!$B$4,"/",SAISIE!$B$5)))</f>
        <v>#REF!</v>
      </c>
      <c r="C1290" s="63" t="e">
        <f>IF(SAISIE!#REF!="","",SAISIE!#REF!)</f>
        <v>#REF!</v>
      </c>
      <c r="D1290" s="63" t="e">
        <f>IF(SAISIE!#REF!="","",SAISIE!E90)</f>
        <v>#REF!</v>
      </c>
      <c r="E1290" s="63" t="e">
        <f>IF(SAISIE!#REF!="","",SAISIE!F90)</f>
        <v>#REF!</v>
      </c>
      <c r="F1290" s="70" t="e">
        <f>IF(SAISIE!#REF!="","",IF(SAISIE!$N90="","",SAISIE!$N90))</f>
        <v>#REF!</v>
      </c>
      <c r="G1290" s="63" t="e">
        <f>IF(SAISIE!#REF!="","",SAISIE!#REF!)</f>
        <v>#REF!</v>
      </c>
      <c r="H1290" s="63"/>
      <c r="I1290" s="63" t="e">
        <f>IF(SAISIE!#REF!="","",SAISIE!$Q90)</f>
        <v>#REF!</v>
      </c>
      <c r="J1290" s="71" t="str">
        <f>IF(COUNTBLANK(SAISIE!$J$6:$M$6)=4,"",IF(SAISIE!#REF!="","",IF(SAISIE!J90&gt;0,SAISIE!$J$6,IF(SAISIE!K90&gt;0,SAISIE!$K$6,IF(SAISIE!L90&gt;0,SAISIE!$L$6,IF(SAISIE!M90&gt;0,SAISIE!$M$6,""))))))</f>
        <v/>
      </c>
      <c r="O1290" s="59" t="s">
        <v>57</v>
      </c>
    </row>
    <row r="1291" spans="1:15" x14ac:dyDescent="0.25">
      <c r="A1291" s="63" t="e">
        <f>IF(AND(G1291="",H1291=""),"SUPPR",SAISIE!$B$3)</f>
        <v>#REF!</v>
      </c>
      <c r="B1291" s="63" t="e">
        <f>IF(SAISIE!#REF!="","",IF(LEN(SAISIE!B90)=1,CONCATENATE("0",SAISIE!B90,"/",SAISIE!$B$4,"/",SAISIE!$B$5),CONCATENATE(SAISIE!B90,"/",SAISIE!$B$4,"/",SAISIE!$B$5)))</f>
        <v>#REF!</v>
      </c>
      <c r="C1291" s="63" t="e">
        <f>IF(SAISIE!#REF!="","",SAISIE!#REF!)</f>
        <v>#REF!</v>
      </c>
      <c r="D1291" s="63" t="e">
        <f>IF(SAISIE!#REF!="","",SAISIE!E90)</f>
        <v>#REF!</v>
      </c>
      <c r="E1291" s="63" t="e">
        <f>IF(SAISIE!#REF!="","",SAISIE!F90)</f>
        <v>#REF!</v>
      </c>
      <c r="F1291" s="70" t="e">
        <f>IF(SAISIE!#REF!="","",IF(SAISIE!$N90="","",SAISIE!$N90))</f>
        <v>#REF!</v>
      </c>
      <c r="G1291" s="63" t="e">
        <f>IF(SAISIE!#REF!="","",SAISIE!#REF!)</f>
        <v>#REF!</v>
      </c>
      <c r="H1291" s="63"/>
      <c r="I1291" s="63" t="e">
        <f>IF(SAISIE!#REF!="","",SAISIE!$Q90)</f>
        <v>#REF!</v>
      </c>
      <c r="J1291" s="71" t="str">
        <f>IF(COUNTBLANK(SAISIE!$J$6:$M$6)=4,"",IF(SAISIE!#REF!="","",IF(SAISIE!J90&gt;0,SAISIE!$J$6,IF(SAISIE!K90&gt;0,SAISIE!$K$6,IF(SAISIE!L90&gt;0,SAISIE!$L$6,IF(SAISIE!M90&gt;0,SAISIE!$M$6,""))))))</f>
        <v/>
      </c>
      <c r="O1291" s="59" t="s">
        <v>58</v>
      </c>
    </row>
    <row r="1292" spans="1:15" x14ac:dyDescent="0.25">
      <c r="A1292" s="63" t="e">
        <f>IF(AND(G1292="",H1292=""),"SUPPR",SAISIE!$B$3)</f>
        <v>#REF!</v>
      </c>
      <c r="B1292" s="63" t="e">
        <f>IF(SAISIE!#REF!="","",IF(LEN(SAISIE!B90)=1,CONCATENATE("0",SAISIE!B90,"/",SAISIE!$B$4,"/",SAISIE!$B$5),CONCATENATE(SAISIE!B90,"/",SAISIE!$B$4,"/",SAISIE!$B$5)))</f>
        <v>#REF!</v>
      </c>
      <c r="C1292" s="63" t="e">
        <f>IF(SAISIE!#REF!="","",SAISIE!#REF!)</f>
        <v>#REF!</v>
      </c>
      <c r="D1292" s="63" t="e">
        <f>IF(SAISIE!#REF!="","",SAISIE!E90)</f>
        <v>#REF!</v>
      </c>
      <c r="E1292" s="63" t="e">
        <f>IF(SAISIE!#REF!="","",SAISIE!F90)</f>
        <v>#REF!</v>
      </c>
      <c r="F1292" s="70" t="e">
        <f>IF(SAISIE!#REF!="","",IF(SAISIE!$N90="","",SAISIE!$N90))</f>
        <v>#REF!</v>
      </c>
      <c r="G1292" s="63" t="e">
        <f>IF(SAISIE!#REF!="","",SAISIE!#REF!)</f>
        <v>#REF!</v>
      </c>
      <c r="H1292" s="63"/>
      <c r="I1292" s="63" t="e">
        <f>IF(SAISIE!#REF!="","",SAISIE!$Q90)</f>
        <v>#REF!</v>
      </c>
      <c r="J1292" s="71" t="str">
        <f>IF(COUNTBLANK(SAISIE!$J$6:$M$6)=4,"",IF(SAISIE!#REF!="","",IF(SAISIE!J90&gt;0,SAISIE!$J$6,IF(SAISIE!K90&gt;0,SAISIE!$K$6,IF(SAISIE!L90&gt;0,SAISIE!$L$6,IF(SAISIE!M90&gt;0,SAISIE!$M$6,""))))))</f>
        <v/>
      </c>
      <c r="O1292" s="59" t="s">
        <v>59</v>
      </c>
    </row>
    <row r="1293" spans="1:15" x14ac:dyDescent="0.25">
      <c r="A1293" s="63" t="e">
        <f>IF(AND(G1293="",H1293=""),"SUPPR",SAISIE!$B$3)</f>
        <v>#REF!</v>
      </c>
      <c r="B1293" s="63" t="e">
        <f>IF(SAISIE!#REF!="","",IF(LEN(SAISIE!B90)=1,CONCATENATE("0",SAISIE!B90,"/",SAISIE!$B$4,"/",SAISIE!$B$5),CONCATENATE(SAISIE!B90,"/",SAISIE!$B$4,"/",SAISIE!$B$5)))</f>
        <v>#REF!</v>
      </c>
      <c r="C1293" s="63" t="e">
        <f>IF(SAISIE!#REF!="","",SAISIE!#REF!)</f>
        <v>#REF!</v>
      </c>
      <c r="D1293" s="63" t="e">
        <f>IF(SAISIE!#REF!="","",SAISIE!E90)</f>
        <v>#REF!</v>
      </c>
      <c r="E1293" s="63" t="e">
        <f>IF(SAISIE!#REF!="","",SAISIE!F90)</f>
        <v>#REF!</v>
      </c>
      <c r="F1293" s="70" t="e">
        <f>IF(SAISIE!#REF!="","",IF(SAISIE!$N90="","",SAISIE!$N90))</f>
        <v>#REF!</v>
      </c>
      <c r="G1293" s="63" t="e">
        <f>IF(SAISIE!#REF!="","",SAISIE!#REF!)</f>
        <v>#REF!</v>
      </c>
      <c r="H1293" s="63"/>
      <c r="I1293" s="63" t="e">
        <f>IF(SAISIE!#REF!="","",SAISIE!$Q90)</f>
        <v>#REF!</v>
      </c>
      <c r="J1293" s="71" t="str">
        <f>IF(COUNTBLANK(SAISIE!$J$6:$M$6)=4,"",IF(SAISIE!#REF!="","",IF(SAISIE!J90&gt;0,SAISIE!$J$6,IF(SAISIE!K90&gt;0,SAISIE!$K$6,IF(SAISIE!L90&gt;0,SAISIE!$L$6,IF(SAISIE!M90&gt;0,SAISIE!$M$6,""))))))</f>
        <v/>
      </c>
      <c r="O1293" s="59" t="s">
        <v>60</v>
      </c>
    </row>
    <row r="1294" spans="1:15" x14ac:dyDescent="0.25">
      <c r="A1294" s="63" t="str">
        <f>IF(AND(G1294="",H1294=""),"SUPPR",SAISIE!$B$3)</f>
        <v>SUPPR</v>
      </c>
      <c r="B1294" s="63" t="str">
        <f>IF(SAISIE!J90="","",IF(LEN(SAISIE!B90)=1,CONCATENATE("0",SAISIE!B90,"/",SAISIE!$B$4,"/",SAISIE!$B$5),CONCATENATE(SAISIE!B90,"/",SAISIE!$B$4,"/",SAISIE!$B$5)))</f>
        <v/>
      </c>
      <c r="C1294" s="63" t="str">
        <f>IF(SAISIE!J90="","",SAISIE!$J$8)</f>
        <v/>
      </c>
      <c r="D1294" s="63" t="str">
        <f>IF(SAISIE!J90="","",SAISIE!E90)</f>
        <v/>
      </c>
      <c r="E1294" s="63" t="str">
        <f>IF(SAISIE!J90="","",SAISIE!F90)</f>
        <v/>
      </c>
      <c r="F1294" s="70" t="str">
        <f>IF(SAISIE!$J90="","",IF(SAISIE!$N90="","",SAISIE!$N90))</f>
        <v/>
      </c>
      <c r="G1294" s="63" t="str">
        <f>IF(SAISIE!J90="","",SAISIE!J90)</f>
        <v/>
      </c>
      <c r="H1294" s="63"/>
      <c r="I1294" s="72"/>
      <c r="J1294" s="71"/>
      <c r="O1294" s="73"/>
    </row>
    <row r="1295" spans="1:15" x14ac:dyDescent="0.25">
      <c r="A1295" s="63" t="str">
        <f>IF(AND(G1295="",H1295=""),"SUPPR",SAISIE!$B$3)</f>
        <v>SUPPR</v>
      </c>
      <c r="B1295" s="63" t="str">
        <f>IF(SAISIE!K90="","",IF(LEN(SAISIE!B90)=1,CONCATENATE("0",SAISIE!B90,"/",SAISIE!$B$4,"/",SAISIE!$B$5),CONCATENATE(SAISIE!B90,"/",SAISIE!$B$4,"/",SAISIE!$B$5)))</f>
        <v/>
      </c>
      <c r="C1295" s="63" t="str">
        <f>IF(SAISIE!K90="","",SAISIE!$K$8)</f>
        <v/>
      </c>
      <c r="D1295" s="63" t="str">
        <f>IF(SAISIE!K90="","",SAISIE!E90)</f>
        <v/>
      </c>
      <c r="E1295" s="63" t="str">
        <f>IF(SAISIE!K90="","",SAISIE!F90)</f>
        <v/>
      </c>
      <c r="F1295" s="70" t="str">
        <f>IF(SAISIE!$K90="","",IF(SAISIE!$N90="","",SAISIE!$N90))</f>
        <v/>
      </c>
      <c r="G1295" s="63" t="str">
        <f>IF(SAISIE!K90="","",SAISIE!K90)</f>
        <v/>
      </c>
      <c r="H1295" s="63"/>
      <c r="I1295" s="72"/>
      <c r="J1295" s="71"/>
    </row>
    <row r="1296" spans="1:15" x14ac:dyDescent="0.25">
      <c r="A1296" s="63" t="str">
        <f>IF(AND(G1296="",H1296=""),"SUPPR",SAISIE!$B$3)</f>
        <v>SUPPR</v>
      </c>
      <c r="B1296" s="63" t="str">
        <f>IF(SAISIE!L90="","",IF(LEN(SAISIE!B90)=1,CONCATENATE("0",SAISIE!B90,"/",SAISIE!$B$4,"/",SAISIE!$B$5),CONCATENATE(SAISIE!B90,"/",SAISIE!$B$4,"/",SAISIE!$B$5)))</f>
        <v/>
      </c>
      <c r="C1296" s="63" t="str">
        <f>IF(SAISIE!L90="","",SAISIE!$L$8)</f>
        <v/>
      </c>
      <c r="D1296" s="63" t="str">
        <f>IF(SAISIE!L90="","",SAISIE!E90)</f>
        <v/>
      </c>
      <c r="E1296" s="63" t="str">
        <f>IF(SAISIE!L90="","",SAISIE!F90)</f>
        <v/>
      </c>
      <c r="F1296" s="70" t="str">
        <f>IF(SAISIE!$L90="","",IF(SAISIE!$N90="","",SAISIE!$N90))</f>
        <v/>
      </c>
      <c r="G1296" s="63" t="str">
        <f>IF(SAISIE!L90="","",SAISIE!L90)</f>
        <v/>
      </c>
      <c r="H1296" s="63"/>
      <c r="I1296" s="72"/>
      <c r="J1296" s="71"/>
    </row>
    <row r="1297" spans="1:15" x14ac:dyDescent="0.25">
      <c r="A1297" s="63" t="str">
        <f>IF(AND(G1297="",H1297=""),"SUPPR",SAISIE!$B$3)</f>
        <v>SUPPR</v>
      </c>
      <c r="B1297" s="63" t="str">
        <f>IF(SAISIE!M90="","",IF(LEN(SAISIE!B90)=1,CONCATENATE("0",SAISIE!B90,"/",SAISIE!$B$4,"/",SAISIE!$B$5),CONCATENATE(SAISIE!B90,"/",SAISIE!$B$4,"/",SAISIE!$B$5)))</f>
        <v/>
      </c>
      <c r="C1297" s="74" t="str">
        <f>IF(SAISIE!M90="","",SAISIE!$M$8)</f>
        <v/>
      </c>
      <c r="D1297" s="74" t="str">
        <f>IF(SAISIE!M90="","",SAISIE!E90)</f>
        <v/>
      </c>
      <c r="E1297" s="74" t="str">
        <f>IF(SAISIE!M90="","",SAISIE!F90)</f>
        <v/>
      </c>
      <c r="F1297" s="75" t="str">
        <f>IF(SAISIE!$M90="","",IF(SAISIE!$N90="","",SAISIE!$N90))</f>
        <v/>
      </c>
      <c r="G1297" s="74" t="str">
        <f>IF(SAISIE!M90="","",SAISIE!M90)</f>
        <v/>
      </c>
      <c r="H1297" s="76"/>
      <c r="I1297" s="77"/>
      <c r="J1297" s="78"/>
    </row>
    <row r="1298" spans="1:15" x14ac:dyDescent="0.25">
      <c r="A1298" s="63" t="str">
        <f>IF(AND(G1298="",H1298=""),"SUPPR",SAISIE!$B$3)</f>
        <v>SUPPR</v>
      </c>
      <c r="B1298" s="64" t="str">
        <f>IF(SAISIE!B91="","",IF(LEN(SAISIE!B91)=1,CONCATENATE("0",SAISIE!B91,"/",SAISIE!$B$4,"/",SAISIE!$B$5),CONCATENATE(SAISIE!B91,"/",SAISIE!$B$4,"/",SAISIE!$B$5)))</f>
        <v/>
      </c>
      <c r="C1298" s="64" t="str">
        <f>IF(SAISIE!B91="","",CONCATENATE($M$2,SAISIE!C91))</f>
        <v/>
      </c>
      <c r="D1298" s="64" t="str">
        <f>IF(SAISIE!B91="","",SAISIE!E91)</f>
        <v/>
      </c>
      <c r="E1298" s="64" t="str">
        <f>IF(SAISIE!B91="","",SAISIE!F91)</f>
        <v/>
      </c>
      <c r="F1298" s="65" t="str">
        <f>IF(A1298="SUPPR","",IF(SAISIE!$N91="","",SAISIE!$N91))</f>
        <v/>
      </c>
      <c r="G1298" s="64"/>
      <c r="H1298" s="64" t="str">
        <f>IF(SAISIE!B91="","",SAISIE!D91)</f>
        <v/>
      </c>
      <c r="I1298" s="66"/>
      <c r="J1298" s="67" t="str">
        <f>IF(AZ91="","","")</f>
        <v/>
      </c>
      <c r="O1298" s="69">
        <f>O1282+1</f>
        <v>91</v>
      </c>
    </row>
    <row r="1299" spans="1:15" x14ac:dyDescent="0.25">
      <c r="A1299" s="63" t="str">
        <f>IF(AND(G1299="",H1299=""),"SUPPR",SAISIE!$B$3)</f>
        <v>SUPPR</v>
      </c>
      <c r="B1299" s="63" t="str">
        <f>IF(SAISIE!P91="","",IF(LEN(SAISIE!B91)=1,CONCATENATE("0",SAISIE!B91,"/",SAISIE!$B$4,"/",SAISIE!$B$5),CONCATENATE(SAISIE!B91,"/",SAISIE!$B$4,"/",SAISIE!$B$5)))</f>
        <v/>
      </c>
      <c r="C1299" s="63" t="str">
        <f>IF(SAISIE!P91="","",SAISIE!O91)</f>
        <v/>
      </c>
      <c r="D1299" s="63" t="str">
        <f>IF(SAISIE!P91="","",SAISIE!E91)</f>
        <v/>
      </c>
      <c r="E1299" s="63" t="str">
        <f>IF(SAISIE!P91="","",SAISIE!F91)</f>
        <v/>
      </c>
      <c r="F1299" s="70" t="str">
        <f>IF(SAISIE!$P91="","",IF(SAISIE!$N91="","",SAISIE!$N91))</f>
        <v/>
      </c>
      <c r="G1299" s="63" t="str">
        <f>IF(SAISIE!P91="","",SAISIE!P91)</f>
        <v/>
      </c>
      <c r="H1299" s="63"/>
      <c r="I1299" s="63" t="str">
        <f>IF(SAISIE!$P91="","",SAISIE!$Q91)</f>
        <v/>
      </c>
      <c r="J1299" s="71" t="str">
        <f>IF(COUNTBLANK(SAISIE!$J$6:$M$6)=4,"",IF(SAISIE!P91="","",IF(SAISIE!J91&gt;0,SAISIE!$J$6,IF(SAISIE!K91&gt;0,SAISIE!$K$6,IF(SAISIE!L91&gt;0,SAISIE!$L$6,IF(SAISIE!M91&gt;0,SAISIE!$M$6,""))))))</f>
        <v/>
      </c>
      <c r="O1299" s="59" t="s">
        <v>50</v>
      </c>
    </row>
    <row r="1300" spans="1:15" x14ac:dyDescent="0.25">
      <c r="A1300" s="63" t="str">
        <f>IF(AND(G1300="",H1300=""),"SUPPR",SAISIE!$B$3)</f>
        <v>SUPPR</v>
      </c>
      <c r="B1300" s="63" t="str">
        <f>IF(SAISIE!G91="","",IF(LEN(SAISIE!B91)=1,CONCATENATE("0",SAISIE!B91,"/",SAISIE!$B$4,"/",SAISIE!$B$5),CONCATENATE(SAISIE!B91,"/",SAISIE!$B$4,"/",SAISIE!$B$5)))</f>
        <v/>
      </c>
      <c r="C1300" s="63" t="str">
        <f>IF(SAISIE!G91="","",SAISIE!$G$8)</f>
        <v/>
      </c>
      <c r="D1300" s="63" t="str">
        <f>IF(SAISIE!G91="","",SAISIE!E91)</f>
        <v/>
      </c>
      <c r="E1300" s="63" t="str">
        <f>IF(SAISIE!G91="","",SAISIE!F91)</f>
        <v/>
      </c>
      <c r="F1300" s="70" t="str">
        <f>IF(SAISIE!$G91="","",IF(SAISIE!$N91="","",SAISIE!$N91))</f>
        <v/>
      </c>
      <c r="G1300" s="63" t="str">
        <f>IF(SAISIE!G91="","",SAISIE!G91)</f>
        <v/>
      </c>
      <c r="H1300" s="63"/>
      <c r="I1300" s="63" t="str">
        <f>IF(SAISIE!$G91="","",SAISIE!$Q91)</f>
        <v/>
      </c>
      <c r="J1300" s="71" t="str">
        <f>IF(COUNTBLANK(SAISIE!$J$6:$M$6)=4,"",IF(SAISIE!G91="","",IF(SAISIE!J91&gt;0,SAISIE!$J$6,IF(SAISIE!K91&gt;0,SAISIE!$K$6,IF(SAISIE!L91&gt;0,SAISIE!$L$6,IF(SAISIE!M91&gt;0,SAISIE!$M$6,""))))))</f>
        <v/>
      </c>
      <c r="O1300" s="59" t="s">
        <v>51</v>
      </c>
    </row>
    <row r="1301" spans="1:15" x14ac:dyDescent="0.25">
      <c r="A1301" s="63" t="str">
        <f>IF(AND(G1301="",H1301=""),"SUPPR",SAISIE!$B$3)</f>
        <v>SUPPR</v>
      </c>
      <c r="B1301" s="63" t="str">
        <f>IF(SAISIE!H91="","",IF(LEN(SAISIE!B91)=1,CONCATENATE("0",SAISIE!B91,"/",SAISIE!$B$4,"/",SAISIE!$B$5),CONCATENATE(SAISIE!B91,"/",SAISIE!$B$4,"/",SAISIE!$B$5)))</f>
        <v/>
      </c>
      <c r="C1301" s="63" t="str">
        <f>IF(SAISIE!H91="","",SAISIE!$H$8)</f>
        <v/>
      </c>
      <c r="D1301" s="63" t="str">
        <f>IF(SAISIE!H91="","",SAISIE!E91)</f>
        <v/>
      </c>
      <c r="E1301" s="63" t="str">
        <f>IF(SAISIE!H91="","",SAISIE!F91)</f>
        <v/>
      </c>
      <c r="F1301" s="70" t="str">
        <f>IF(SAISIE!$H91="","",IF(SAISIE!$N91="","",SAISIE!$N91))</f>
        <v/>
      </c>
      <c r="G1301" s="63" t="str">
        <f>IF(SAISIE!H91="","",SAISIE!H91)</f>
        <v/>
      </c>
      <c r="H1301" s="63"/>
      <c r="I1301" s="63" t="str">
        <f>IF(SAISIE!$H91="","",SAISIE!$Q91)</f>
        <v/>
      </c>
      <c r="J1301" s="71" t="str">
        <f>IF(COUNTBLANK(SAISIE!$J$6:$M$6)=4,"",IF(SAISIE!H91="","",IF(SAISIE!J91&gt;0,SAISIE!$J$6,IF(SAISIE!K91&gt;0,SAISIE!$K$6,IF(SAISIE!L91&gt;0,SAISIE!$L$6,IF(SAISIE!M91&gt;0,SAISIE!$M$6,""))))))</f>
        <v/>
      </c>
      <c r="O1301" s="59" t="s">
        <v>52</v>
      </c>
    </row>
    <row r="1302" spans="1:15" x14ac:dyDescent="0.25">
      <c r="A1302" s="63" t="str">
        <f>IF(AND(G1302="",H1302=""),"SUPPR",SAISIE!$B$3)</f>
        <v>SUPPR</v>
      </c>
      <c r="B1302" s="63" t="str">
        <f>IF(SAISIE!I91="","",IF(LEN(SAISIE!B91)=1,CONCATENATE("0",SAISIE!B91,"/",SAISIE!$B$4,"/",SAISIE!$B$5),CONCATENATE(SAISIE!B91,"/",SAISIE!$B$4,"/",SAISIE!$B$5)))</f>
        <v/>
      </c>
      <c r="C1302" s="63" t="str">
        <f>IF(SAISIE!I91="","",SAISIE!$I$8)</f>
        <v/>
      </c>
      <c r="D1302" s="63" t="str">
        <f>IF(SAISIE!I91="","",SAISIE!E91)</f>
        <v/>
      </c>
      <c r="E1302" s="63" t="str">
        <f>IF(SAISIE!I91="","",SAISIE!F91)</f>
        <v/>
      </c>
      <c r="F1302" s="70" t="str">
        <f>IF(SAISIE!$I91="","",IF(SAISIE!$N91="","",SAISIE!$N91))</f>
        <v/>
      </c>
      <c r="G1302" s="63" t="str">
        <f>IF(SAISIE!I91="","",SAISIE!I91)</f>
        <v/>
      </c>
      <c r="H1302" s="63"/>
      <c r="I1302" s="63" t="str">
        <f>IF(SAISIE!$I91="","",SAISIE!$Q91)</f>
        <v/>
      </c>
      <c r="J1302" s="71" t="str">
        <f>IF(COUNTBLANK(SAISIE!$J$6:$M$6)=4,"",IF(SAISIE!I91="","",IF(SAISIE!J91&gt;0,SAISIE!$J$6,IF(SAISIE!K91&gt;0,SAISIE!$K$6,IF(SAISIE!L91&gt;0,SAISIE!$L$6,IF(SAISIE!M91&gt;0,SAISIE!$M$6,""))))))</f>
        <v/>
      </c>
      <c r="O1302" s="59" t="s">
        <v>53</v>
      </c>
    </row>
    <row r="1303" spans="1:15" x14ac:dyDescent="0.25">
      <c r="A1303" s="63" t="e">
        <f>IF(AND(G1303="",H1303=""),"SUPPR",SAISIE!$B$3)</f>
        <v>#REF!</v>
      </c>
      <c r="B1303" s="63" t="e">
        <f>IF(SAISIE!#REF!="","",IF(LEN(SAISIE!B91)=1,CONCATENATE("0",SAISIE!B91,"/",SAISIE!$B$4,"/",SAISIE!$B$5),CONCATENATE(SAISIE!B91,"/",SAISIE!$B$4,"/",SAISIE!$B$5)))</f>
        <v>#REF!</v>
      </c>
      <c r="C1303" s="63" t="e">
        <f>IF(SAISIE!#REF!="","",SAISIE!#REF!)</f>
        <v>#REF!</v>
      </c>
      <c r="D1303" s="63" t="e">
        <f>IF(SAISIE!#REF!="","",SAISIE!E91)</f>
        <v>#REF!</v>
      </c>
      <c r="E1303" s="63" t="e">
        <f>IF(SAISIE!#REF!="","",SAISIE!F91)</f>
        <v>#REF!</v>
      </c>
      <c r="F1303" s="70" t="e">
        <f>IF(SAISIE!#REF!="","",IF(SAISIE!$N91="","",SAISIE!$N91))</f>
        <v>#REF!</v>
      </c>
      <c r="G1303" s="63" t="e">
        <f>IF(SAISIE!#REF!="","",SAISIE!#REF!)</f>
        <v>#REF!</v>
      </c>
      <c r="H1303" s="63"/>
      <c r="I1303" s="63" t="e">
        <f>IF(SAISIE!#REF!="","",SAISIE!$Q91)</f>
        <v>#REF!</v>
      </c>
      <c r="J1303" s="71" t="str">
        <f>IF(COUNTBLANK(SAISIE!$J$6:$M$6)=4,"",IF(SAISIE!#REF!="","",IF(SAISIE!J91&gt;0,SAISIE!$J$6,IF(SAISIE!K91&gt;0,SAISIE!$K$6,IF(SAISIE!L91&gt;0,SAISIE!$L$6,IF(SAISIE!M91&gt;0,SAISIE!$M$6,""))))))</f>
        <v/>
      </c>
      <c r="O1303" s="59" t="s">
        <v>54</v>
      </c>
    </row>
    <row r="1304" spans="1:15" x14ac:dyDescent="0.25">
      <c r="A1304" s="63" t="e">
        <f>IF(AND(G1304="",H1304=""),"SUPPR",SAISIE!$B$3)</f>
        <v>#REF!</v>
      </c>
      <c r="B1304" s="63" t="e">
        <f>IF(SAISIE!#REF!="","",IF(LEN(SAISIE!B91)=1,CONCATENATE("0",SAISIE!B91,"/",SAISIE!$B$4,"/",SAISIE!$B$5),CONCATENATE(SAISIE!B91,"/",SAISIE!$B$4,"/",SAISIE!$B$5)))</f>
        <v>#REF!</v>
      </c>
      <c r="C1304" s="63" t="e">
        <f>IF(SAISIE!#REF!="","",SAISIE!#REF!)</f>
        <v>#REF!</v>
      </c>
      <c r="D1304" s="63" t="e">
        <f>IF(SAISIE!#REF!="","",SAISIE!E91)</f>
        <v>#REF!</v>
      </c>
      <c r="E1304" s="63" t="e">
        <f>IF(SAISIE!#REF!="","",SAISIE!F91)</f>
        <v>#REF!</v>
      </c>
      <c r="F1304" s="70" t="e">
        <f>IF(SAISIE!#REF!="","",IF(SAISIE!$N91="","",SAISIE!$N91))</f>
        <v>#REF!</v>
      </c>
      <c r="G1304" s="63" t="e">
        <f>IF(SAISIE!#REF!="","",SAISIE!#REF!)</f>
        <v>#REF!</v>
      </c>
      <c r="H1304" s="63"/>
      <c r="I1304" s="63" t="e">
        <f>IF(SAISIE!#REF!="","",SAISIE!$Q91)</f>
        <v>#REF!</v>
      </c>
      <c r="J1304" s="71" t="str">
        <f>IF(COUNTBLANK(SAISIE!$J$6:$M$6)=4,"",IF(SAISIE!#REF!="","",IF(SAISIE!J91&gt;0,SAISIE!$J$6,IF(SAISIE!K91&gt;0,SAISIE!$K$6,IF(SAISIE!L91&gt;0,SAISIE!$L$6,IF(SAISIE!M91&gt;0,SAISIE!$M$6,""))))))</f>
        <v/>
      </c>
      <c r="O1304" s="59" t="s">
        <v>55</v>
      </c>
    </row>
    <row r="1305" spans="1:15" x14ac:dyDescent="0.25">
      <c r="A1305" s="63" t="e">
        <f>IF(AND(G1305="",H1305=""),"SUPPR",SAISIE!$B$3)</f>
        <v>#REF!</v>
      </c>
      <c r="B1305" s="63" t="e">
        <f>IF(SAISIE!#REF!="","",IF(LEN(SAISIE!B91)=1,CONCATENATE("0",SAISIE!B91,"/",SAISIE!$B$4,"/",SAISIE!$B$5),CONCATENATE(SAISIE!B91,"/",SAISIE!$B$4,"/",SAISIE!$B$5)))</f>
        <v>#REF!</v>
      </c>
      <c r="C1305" s="63" t="e">
        <f>IF(SAISIE!#REF!="","",SAISIE!#REF!)</f>
        <v>#REF!</v>
      </c>
      <c r="D1305" s="63" t="e">
        <f>IF(SAISIE!#REF!="","",SAISIE!E91)</f>
        <v>#REF!</v>
      </c>
      <c r="E1305" s="63" t="e">
        <f>IF(SAISIE!#REF!="","",SAISIE!F91)</f>
        <v>#REF!</v>
      </c>
      <c r="F1305" s="70" t="e">
        <f>IF(SAISIE!#REF!="","",IF(SAISIE!$N91="","",SAISIE!$N91))</f>
        <v>#REF!</v>
      </c>
      <c r="G1305" s="63" t="e">
        <f>IF(SAISIE!#REF!="","",SAISIE!#REF!)</f>
        <v>#REF!</v>
      </c>
      <c r="H1305" s="63"/>
      <c r="I1305" s="63" t="e">
        <f>IF(SAISIE!#REF!="","",SAISIE!$Q91)</f>
        <v>#REF!</v>
      </c>
      <c r="J1305" s="71" t="str">
        <f>IF(COUNTBLANK(SAISIE!$J$6:$M$6)=4,"",IF(SAISIE!#REF!="","",IF(SAISIE!J91&gt;0,SAISIE!$J$6,IF(SAISIE!K91&gt;0,SAISIE!$K$6,IF(SAISIE!L91&gt;0,SAISIE!$L$6,IF(SAISIE!M91&gt;0,SAISIE!$M$6,""))))))</f>
        <v/>
      </c>
      <c r="O1305" s="59" t="s">
        <v>56</v>
      </c>
    </row>
    <row r="1306" spans="1:15" x14ac:dyDescent="0.25">
      <c r="A1306" s="63" t="e">
        <f>IF(AND(G1306="",H1306=""),"SUPPR",SAISIE!$B$3)</f>
        <v>#REF!</v>
      </c>
      <c r="B1306" s="63" t="e">
        <f>IF(SAISIE!#REF!="","",IF(LEN(SAISIE!B91)=1,CONCATENATE("0",SAISIE!B91,"/",SAISIE!$B$4,"/",SAISIE!$B$5),CONCATENATE(SAISIE!B91,"/",SAISIE!$B$4,"/",SAISIE!$B$5)))</f>
        <v>#REF!</v>
      </c>
      <c r="C1306" s="63" t="e">
        <f>IF(SAISIE!#REF!="","",SAISIE!#REF!)</f>
        <v>#REF!</v>
      </c>
      <c r="D1306" s="63" t="e">
        <f>IF(SAISIE!#REF!="","",SAISIE!E91)</f>
        <v>#REF!</v>
      </c>
      <c r="E1306" s="63" t="e">
        <f>IF(SAISIE!#REF!="","",SAISIE!F91)</f>
        <v>#REF!</v>
      </c>
      <c r="F1306" s="70" t="e">
        <f>IF(SAISIE!#REF!="","",IF(SAISIE!$N91="","",SAISIE!$N91))</f>
        <v>#REF!</v>
      </c>
      <c r="G1306" s="63" t="e">
        <f>IF(SAISIE!#REF!="","",SAISIE!#REF!)</f>
        <v>#REF!</v>
      </c>
      <c r="H1306" s="63"/>
      <c r="I1306" s="63" t="e">
        <f>IF(SAISIE!#REF!="","",SAISIE!$Q91)</f>
        <v>#REF!</v>
      </c>
      <c r="J1306" s="71" t="str">
        <f>IF(COUNTBLANK(SAISIE!$J$6:$M$6)=4,"",IF(SAISIE!#REF!="","",IF(SAISIE!J91&gt;0,SAISIE!$J$6,IF(SAISIE!K91&gt;0,SAISIE!$K$6,IF(SAISIE!L91&gt;0,SAISIE!$L$6,IF(SAISIE!M91&gt;0,SAISIE!$M$6,""))))))</f>
        <v/>
      </c>
      <c r="O1306" s="59" t="s">
        <v>57</v>
      </c>
    </row>
    <row r="1307" spans="1:15" x14ac:dyDescent="0.25">
      <c r="A1307" s="63" t="e">
        <f>IF(AND(G1307="",H1307=""),"SUPPR",SAISIE!$B$3)</f>
        <v>#REF!</v>
      </c>
      <c r="B1307" s="63" t="e">
        <f>IF(SAISIE!#REF!="","",IF(LEN(SAISIE!B91)=1,CONCATENATE("0",SAISIE!B91,"/",SAISIE!$B$4,"/",SAISIE!$B$5),CONCATENATE(SAISIE!B91,"/",SAISIE!$B$4,"/",SAISIE!$B$5)))</f>
        <v>#REF!</v>
      </c>
      <c r="C1307" s="63" t="e">
        <f>IF(SAISIE!#REF!="","",SAISIE!#REF!)</f>
        <v>#REF!</v>
      </c>
      <c r="D1307" s="63" t="e">
        <f>IF(SAISIE!#REF!="","",SAISIE!E91)</f>
        <v>#REF!</v>
      </c>
      <c r="E1307" s="63" t="e">
        <f>IF(SAISIE!#REF!="","",SAISIE!F91)</f>
        <v>#REF!</v>
      </c>
      <c r="F1307" s="70" t="e">
        <f>IF(SAISIE!#REF!="","",IF(SAISIE!$N91="","",SAISIE!$N91))</f>
        <v>#REF!</v>
      </c>
      <c r="G1307" s="63" t="e">
        <f>IF(SAISIE!#REF!="","",SAISIE!#REF!)</f>
        <v>#REF!</v>
      </c>
      <c r="H1307" s="63"/>
      <c r="I1307" s="63" t="e">
        <f>IF(SAISIE!#REF!="","",SAISIE!$Q91)</f>
        <v>#REF!</v>
      </c>
      <c r="J1307" s="71" t="str">
        <f>IF(COUNTBLANK(SAISIE!$J$6:$M$6)=4,"",IF(SAISIE!#REF!="","",IF(SAISIE!J91&gt;0,SAISIE!$J$6,IF(SAISIE!K91&gt;0,SAISIE!$K$6,IF(SAISIE!L91&gt;0,SAISIE!$L$6,IF(SAISIE!M91&gt;0,SAISIE!$M$6,""))))))</f>
        <v/>
      </c>
      <c r="O1307" s="59" t="s">
        <v>58</v>
      </c>
    </row>
    <row r="1308" spans="1:15" x14ac:dyDescent="0.25">
      <c r="A1308" s="63" t="e">
        <f>IF(AND(G1308="",H1308=""),"SUPPR",SAISIE!$B$3)</f>
        <v>#REF!</v>
      </c>
      <c r="B1308" s="63" t="e">
        <f>IF(SAISIE!#REF!="","",IF(LEN(SAISIE!B91)=1,CONCATENATE("0",SAISIE!B91,"/",SAISIE!$B$4,"/",SAISIE!$B$5),CONCATENATE(SAISIE!B91,"/",SAISIE!$B$4,"/",SAISIE!$B$5)))</f>
        <v>#REF!</v>
      </c>
      <c r="C1308" s="63" t="e">
        <f>IF(SAISIE!#REF!="","",SAISIE!#REF!)</f>
        <v>#REF!</v>
      </c>
      <c r="D1308" s="63" t="e">
        <f>IF(SAISIE!#REF!="","",SAISIE!E91)</f>
        <v>#REF!</v>
      </c>
      <c r="E1308" s="63" t="e">
        <f>IF(SAISIE!#REF!="","",SAISIE!F91)</f>
        <v>#REF!</v>
      </c>
      <c r="F1308" s="70" t="e">
        <f>IF(SAISIE!#REF!="","",IF(SAISIE!$N91="","",SAISIE!$N91))</f>
        <v>#REF!</v>
      </c>
      <c r="G1308" s="63" t="e">
        <f>IF(SAISIE!#REF!="","",SAISIE!#REF!)</f>
        <v>#REF!</v>
      </c>
      <c r="H1308" s="63"/>
      <c r="I1308" s="63" t="e">
        <f>IF(SAISIE!#REF!="","",SAISIE!$Q91)</f>
        <v>#REF!</v>
      </c>
      <c r="J1308" s="71" t="str">
        <f>IF(COUNTBLANK(SAISIE!$J$6:$M$6)=4,"",IF(SAISIE!#REF!="","",IF(SAISIE!J91&gt;0,SAISIE!$J$6,IF(SAISIE!K91&gt;0,SAISIE!$K$6,IF(SAISIE!L91&gt;0,SAISIE!$L$6,IF(SAISIE!M91&gt;0,SAISIE!$M$6,""))))))</f>
        <v/>
      </c>
      <c r="O1308" s="59" t="s">
        <v>59</v>
      </c>
    </row>
    <row r="1309" spans="1:15" x14ac:dyDescent="0.25">
      <c r="A1309" s="63" t="e">
        <f>IF(AND(G1309="",H1309=""),"SUPPR",SAISIE!$B$3)</f>
        <v>#REF!</v>
      </c>
      <c r="B1309" s="63" t="e">
        <f>IF(SAISIE!#REF!="","",IF(LEN(SAISIE!B91)=1,CONCATENATE("0",SAISIE!B91,"/",SAISIE!$B$4,"/",SAISIE!$B$5),CONCATENATE(SAISIE!B91,"/",SAISIE!$B$4,"/",SAISIE!$B$5)))</f>
        <v>#REF!</v>
      </c>
      <c r="C1309" s="63" t="e">
        <f>IF(SAISIE!#REF!="","",SAISIE!#REF!)</f>
        <v>#REF!</v>
      </c>
      <c r="D1309" s="63" t="e">
        <f>IF(SAISIE!#REF!="","",SAISIE!E91)</f>
        <v>#REF!</v>
      </c>
      <c r="E1309" s="63" t="e">
        <f>IF(SAISIE!#REF!="","",SAISIE!F91)</f>
        <v>#REF!</v>
      </c>
      <c r="F1309" s="70" t="e">
        <f>IF(SAISIE!#REF!="","",IF(SAISIE!$N91="","",SAISIE!$N91))</f>
        <v>#REF!</v>
      </c>
      <c r="G1309" s="63" t="e">
        <f>IF(SAISIE!#REF!="","",SAISIE!#REF!)</f>
        <v>#REF!</v>
      </c>
      <c r="H1309" s="63"/>
      <c r="I1309" s="63" t="e">
        <f>IF(SAISIE!#REF!="","",SAISIE!$Q91)</f>
        <v>#REF!</v>
      </c>
      <c r="J1309" s="71" t="str">
        <f>IF(COUNTBLANK(SAISIE!$J$6:$M$6)=4,"",IF(SAISIE!#REF!="","",IF(SAISIE!J91&gt;0,SAISIE!$J$6,IF(SAISIE!K91&gt;0,SAISIE!$K$6,IF(SAISIE!L91&gt;0,SAISIE!$L$6,IF(SAISIE!M91&gt;0,SAISIE!$M$6,""))))))</f>
        <v/>
      </c>
      <c r="O1309" s="59" t="s">
        <v>60</v>
      </c>
    </row>
    <row r="1310" spans="1:15" x14ac:dyDescent="0.25">
      <c r="A1310" s="63" t="str">
        <f>IF(AND(G1310="",H1310=""),"SUPPR",SAISIE!$B$3)</f>
        <v>SUPPR</v>
      </c>
      <c r="B1310" s="63" t="str">
        <f>IF(SAISIE!J91="","",IF(LEN(SAISIE!B91)=1,CONCATENATE("0",SAISIE!B91,"/",SAISIE!$B$4,"/",SAISIE!$B$5),CONCATENATE(SAISIE!B91,"/",SAISIE!$B$4,"/",SAISIE!$B$5)))</f>
        <v/>
      </c>
      <c r="C1310" s="63" t="str">
        <f>IF(SAISIE!J91="","",SAISIE!$J$8)</f>
        <v/>
      </c>
      <c r="D1310" s="63" t="str">
        <f>IF(SAISIE!J91="","",SAISIE!E91)</f>
        <v/>
      </c>
      <c r="E1310" s="63" t="str">
        <f>IF(SAISIE!J91="","",SAISIE!F91)</f>
        <v/>
      </c>
      <c r="F1310" s="70" t="str">
        <f>IF(SAISIE!$J91="","",IF(SAISIE!$N91="","",SAISIE!$N91))</f>
        <v/>
      </c>
      <c r="G1310" s="63" t="str">
        <f>IF(SAISIE!J91="","",SAISIE!J91)</f>
        <v/>
      </c>
      <c r="H1310" s="63"/>
      <c r="I1310" s="72"/>
      <c r="J1310" s="71"/>
      <c r="O1310" s="73"/>
    </row>
    <row r="1311" spans="1:15" x14ac:dyDescent="0.25">
      <c r="A1311" s="63" t="str">
        <f>IF(AND(G1311="",H1311=""),"SUPPR",SAISIE!$B$3)</f>
        <v>SUPPR</v>
      </c>
      <c r="B1311" s="63" t="str">
        <f>IF(SAISIE!K91="","",IF(LEN(SAISIE!B91)=1,CONCATENATE("0",SAISIE!B91,"/",SAISIE!$B$4,"/",SAISIE!$B$5),CONCATENATE(SAISIE!B91,"/",SAISIE!$B$4,"/",SAISIE!$B$5)))</f>
        <v/>
      </c>
      <c r="C1311" s="63" t="str">
        <f>IF(SAISIE!K91="","",SAISIE!$K$8)</f>
        <v/>
      </c>
      <c r="D1311" s="63" t="str">
        <f>IF(SAISIE!K91="","",SAISIE!E91)</f>
        <v/>
      </c>
      <c r="E1311" s="63" t="str">
        <f>IF(SAISIE!K91="","",SAISIE!F91)</f>
        <v/>
      </c>
      <c r="F1311" s="70" t="str">
        <f>IF(SAISIE!$K91="","",IF(SAISIE!$N91="","",SAISIE!$N91))</f>
        <v/>
      </c>
      <c r="G1311" s="63" t="str">
        <f>IF(SAISIE!K91="","",SAISIE!K91)</f>
        <v/>
      </c>
      <c r="H1311" s="63"/>
      <c r="I1311" s="72"/>
      <c r="J1311" s="71"/>
    </row>
    <row r="1312" spans="1:15" x14ac:dyDescent="0.25">
      <c r="A1312" s="63" t="str">
        <f>IF(AND(G1312="",H1312=""),"SUPPR",SAISIE!$B$3)</f>
        <v>SUPPR</v>
      </c>
      <c r="B1312" s="63" t="str">
        <f>IF(SAISIE!L91="","",IF(LEN(SAISIE!B91)=1,CONCATENATE("0",SAISIE!B91,"/",SAISIE!$B$4,"/",SAISIE!$B$5),CONCATENATE(SAISIE!B91,"/",SAISIE!$B$4,"/",SAISIE!$B$5)))</f>
        <v/>
      </c>
      <c r="C1312" s="63" t="str">
        <f>IF(SAISIE!L91="","",SAISIE!$L$8)</f>
        <v/>
      </c>
      <c r="D1312" s="63" t="str">
        <f>IF(SAISIE!L91="","",SAISIE!E91)</f>
        <v/>
      </c>
      <c r="E1312" s="63" t="str">
        <f>IF(SAISIE!L91="","",SAISIE!F91)</f>
        <v/>
      </c>
      <c r="F1312" s="70" t="str">
        <f>IF(SAISIE!$L91="","",IF(SAISIE!$N91="","",SAISIE!$N91))</f>
        <v/>
      </c>
      <c r="G1312" s="63" t="str">
        <f>IF(SAISIE!L91="","",SAISIE!L91)</f>
        <v/>
      </c>
      <c r="H1312" s="63"/>
      <c r="I1312" s="72"/>
      <c r="J1312" s="71"/>
    </row>
    <row r="1313" spans="1:15" x14ac:dyDescent="0.25">
      <c r="A1313" s="63" t="str">
        <f>IF(AND(G1313="",H1313=""),"SUPPR",SAISIE!$B$3)</f>
        <v>SUPPR</v>
      </c>
      <c r="B1313" s="63" t="str">
        <f>IF(SAISIE!M91="","",IF(LEN(SAISIE!B91)=1,CONCATENATE("0",SAISIE!B91,"/",SAISIE!$B$4,"/",SAISIE!$B$5),CONCATENATE(SAISIE!B91,"/",SAISIE!$B$4,"/",SAISIE!$B$5)))</f>
        <v/>
      </c>
      <c r="C1313" s="74" t="str">
        <f>IF(SAISIE!M91="","",SAISIE!$M$8)</f>
        <v/>
      </c>
      <c r="D1313" s="74" t="str">
        <f>IF(SAISIE!M91="","",SAISIE!E91)</f>
        <v/>
      </c>
      <c r="E1313" s="74" t="str">
        <f>IF(SAISIE!M91="","",SAISIE!F91)</f>
        <v/>
      </c>
      <c r="F1313" s="75" t="str">
        <f>IF(SAISIE!$M91="","",IF(SAISIE!$N91="","",SAISIE!$N91))</f>
        <v/>
      </c>
      <c r="G1313" s="74" t="str">
        <f>IF(SAISIE!M91="","",SAISIE!M91)</f>
        <v/>
      </c>
      <c r="H1313" s="76"/>
      <c r="I1313" s="77"/>
      <c r="J1313" s="78"/>
    </row>
    <row r="1314" spans="1:15" x14ac:dyDescent="0.25">
      <c r="A1314" s="63" t="str">
        <f>IF(AND(G1314="",H1314=""),"SUPPR",SAISIE!$B$3)</f>
        <v>SUPPR</v>
      </c>
      <c r="B1314" s="64" t="str">
        <f>IF(SAISIE!B92="","",IF(LEN(SAISIE!B92)=1,CONCATENATE("0",SAISIE!B92,"/",SAISIE!$B$4,"/",SAISIE!$B$5),CONCATENATE(SAISIE!B92,"/",SAISIE!$B$4,"/",SAISIE!$B$5)))</f>
        <v/>
      </c>
      <c r="C1314" s="64" t="str">
        <f>IF(SAISIE!B92="","",CONCATENATE($M$2,SAISIE!C92))</f>
        <v/>
      </c>
      <c r="D1314" s="64" t="str">
        <f>IF(SAISIE!B92="","",SAISIE!E92)</f>
        <v/>
      </c>
      <c r="E1314" s="64" t="str">
        <f>IF(SAISIE!B92="","",SAISIE!F92)</f>
        <v/>
      </c>
      <c r="F1314" s="65" t="str">
        <f>IF(A1314="SUPPR","",IF(SAISIE!$N92="","",SAISIE!$N92))</f>
        <v/>
      </c>
      <c r="G1314" s="64"/>
      <c r="H1314" s="64" t="str">
        <f>IF(SAISIE!B92="","",SAISIE!D92)</f>
        <v/>
      </c>
      <c r="I1314" s="66"/>
      <c r="J1314" s="67" t="str">
        <f>IF(AZ92="","","")</f>
        <v/>
      </c>
      <c r="O1314" s="69">
        <f>O1298+1</f>
        <v>92</v>
      </c>
    </row>
    <row r="1315" spans="1:15" x14ac:dyDescent="0.25">
      <c r="A1315" s="63" t="str">
        <f>IF(AND(G1315="",H1315=""),"SUPPR",SAISIE!$B$3)</f>
        <v>SUPPR</v>
      </c>
      <c r="B1315" s="63" t="str">
        <f>IF(SAISIE!P92="","",IF(LEN(SAISIE!B92)=1,CONCATENATE("0",SAISIE!B92,"/",SAISIE!$B$4,"/",SAISIE!$B$5),CONCATENATE(SAISIE!B92,"/",SAISIE!$B$4,"/",SAISIE!$B$5)))</f>
        <v/>
      </c>
      <c r="C1315" s="63" t="str">
        <f>IF(SAISIE!P92="","",SAISIE!O92)</f>
        <v/>
      </c>
      <c r="D1315" s="63" t="str">
        <f>IF(SAISIE!P92="","",SAISIE!E92)</f>
        <v/>
      </c>
      <c r="E1315" s="63" t="str">
        <f>IF(SAISIE!P92="","",SAISIE!F92)</f>
        <v/>
      </c>
      <c r="F1315" s="70" t="str">
        <f>IF(SAISIE!$P92="","",IF(SAISIE!$N92="","",SAISIE!$N92))</f>
        <v/>
      </c>
      <c r="G1315" s="63" t="str">
        <f>IF(SAISIE!P92="","",SAISIE!P92)</f>
        <v/>
      </c>
      <c r="H1315" s="63"/>
      <c r="I1315" s="63" t="str">
        <f>IF(SAISIE!$P92="","",SAISIE!$Q92)</f>
        <v/>
      </c>
      <c r="J1315" s="71" t="str">
        <f>IF(COUNTBLANK(SAISIE!$J$6:$M$6)=4,"",IF(SAISIE!P92="","",IF(SAISIE!J92&gt;0,SAISIE!$J$6,IF(SAISIE!K92&gt;0,SAISIE!$K$6,IF(SAISIE!L92&gt;0,SAISIE!$L$6,IF(SAISIE!M92&gt;0,SAISIE!$M$6,""))))))</f>
        <v/>
      </c>
      <c r="O1315" s="59" t="s">
        <v>50</v>
      </c>
    </row>
    <row r="1316" spans="1:15" x14ac:dyDescent="0.25">
      <c r="A1316" s="63" t="str">
        <f>IF(AND(G1316="",H1316=""),"SUPPR",SAISIE!$B$3)</f>
        <v>SUPPR</v>
      </c>
      <c r="B1316" s="63" t="str">
        <f>IF(SAISIE!G92="","",IF(LEN(SAISIE!B92)=1,CONCATENATE("0",SAISIE!B92,"/",SAISIE!$B$4,"/",SAISIE!$B$5),CONCATENATE(SAISIE!B92,"/",SAISIE!$B$4,"/",SAISIE!$B$5)))</f>
        <v/>
      </c>
      <c r="C1316" s="63" t="str">
        <f>IF(SAISIE!G92="","",SAISIE!$G$8)</f>
        <v/>
      </c>
      <c r="D1316" s="63" t="str">
        <f>IF(SAISIE!G92="","",SAISIE!E92)</f>
        <v/>
      </c>
      <c r="E1316" s="63" t="str">
        <f>IF(SAISIE!G92="","",SAISIE!F92)</f>
        <v/>
      </c>
      <c r="F1316" s="70" t="str">
        <f>IF(SAISIE!$G92="","",IF(SAISIE!$N92="","",SAISIE!$N92))</f>
        <v/>
      </c>
      <c r="G1316" s="63" t="str">
        <f>IF(SAISIE!G92="","",SAISIE!G92)</f>
        <v/>
      </c>
      <c r="H1316" s="63"/>
      <c r="I1316" s="63" t="str">
        <f>IF(SAISIE!$G92="","",SAISIE!$Q92)</f>
        <v/>
      </c>
      <c r="J1316" s="71" t="str">
        <f>IF(COUNTBLANK(SAISIE!$J$6:$M$6)=4,"",IF(SAISIE!G92="","",IF(SAISIE!J92&gt;0,SAISIE!$J$6,IF(SAISIE!K92&gt;0,SAISIE!$K$6,IF(SAISIE!L92&gt;0,SAISIE!$L$6,IF(SAISIE!M92&gt;0,SAISIE!$M$6,""))))))</f>
        <v/>
      </c>
      <c r="O1316" s="59" t="s">
        <v>51</v>
      </c>
    </row>
    <row r="1317" spans="1:15" x14ac:dyDescent="0.25">
      <c r="A1317" s="63" t="str">
        <f>IF(AND(G1317="",H1317=""),"SUPPR",SAISIE!$B$3)</f>
        <v>SUPPR</v>
      </c>
      <c r="B1317" s="63" t="str">
        <f>IF(SAISIE!H92="","",IF(LEN(SAISIE!B92)=1,CONCATENATE("0",SAISIE!B92,"/",SAISIE!$B$4,"/",SAISIE!$B$5),CONCATENATE(SAISIE!B92,"/",SAISIE!$B$4,"/",SAISIE!$B$5)))</f>
        <v/>
      </c>
      <c r="C1317" s="63" t="str">
        <f>IF(SAISIE!H92="","",SAISIE!$H$8)</f>
        <v/>
      </c>
      <c r="D1317" s="63" t="str">
        <f>IF(SAISIE!H92="","",SAISIE!E92)</f>
        <v/>
      </c>
      <c r="E1317" s="63" t="str">
        <f>IF(SAISIE!H92="","",SAISIE!F92)</f>
        <v/>
      </c>
      <c r="F1317" s="70" t="str">
        <f>IF(SAISIE!$H92="","",IF(SAISIE!$N92="","",SAISIE!$N92))</f>
        <v/>
      </c>
      <c r="G1317" s="63" t="str">
        <f>IF(SAISIE!H92="","",SAISIE!H92)</f>
        <v/>
      </c>
      <c r="H1317" s="63"/>
      <c r="I1317" s="63" t="str">
        <f>IF(SAISIE!$H92="","",SAISIE!$Q92)</f>
        <v/>
      </c>
      <c r="J1317" s="71" t="str">
        <f>IF(COUNTBLANK(SAISIE!$J$6:$M$6)=4,"",IF(SAISIE!H92="","",IF(SAISIE!J92&gt;0,SAISIE!$J$6,IF(SAISIE!K92&gt;0,SAISIE!$K$6,IF(SAISIE!L92&gt;0,SAISIE!$L$6,IF(SAISIE!M92&gt;0,SAISIE!$M$6,""))))))</f>
        <v/>
      </c>
      <c r="O1317" s="59" t="s">
        <v>52</v>
      </c>
    </row>
    <row r="1318" spans="1:15" x14ac:dyDescent="0.25">
      <c r="A1318" s="63" t="str">
        <f>IF(AND(G1318="",H1318=""),"SUPPR",SAISIE!$B$3)</f>
        <v>SUPPR</v>
      </c>
      <c r="B1318" s="63" t="str">
        <f>IF(SAISIE!I92="","",IF(LEN(SAISIE!B92)=1,CONCATENATE("0",SAISIE!B92,"/",SAISIE!$B$4,"/",SAISIE!$B$5),CONCATENATE(SAISIE!B92,"/",SAISIE!$B$4,"/",SAISIE!$B$5)))</f>
        <v/>
      </c>
      <c r="C1318" s="63" t="str">
        <f>IF(SAISIE!I92="","",SAISIE!$I$8)</f>
        <v/>
      </c>
      <c r="D1318" s="63" t="str">
        <f>IF(SAISIE!I92="","",SAISIE!E92)</f>
        <v/>
      </c>
      <c r="E1318" s="63" t="str">
        <f>IF(SAISIE!I92="","",SAISIE!F92)</f>
        <v/>
      </c>
      <c r="F1318" s="70" t="str">
        <f>IF(SAISIE!$I92="","",IF(SAISIE!$N92="","",SAISIE!$N92))</f>
        <v/>
      </c>
      <c r="G1318" s="63" t="str">
        <f>IF(SAISIE!I92="","",SAISIE!I92)</f>
        <v/>
      </c>
      <c r="H1318" s="63"/>
      <c r="I1318" s="63" t="str">
        <f>IF(SAISIE!$I92="","",SAISIE!$Q92)</f>
        <v/>
      </c>
      <c r="J1318" s="71" t="str">
        <f>IF(COUNTBLANK(SAISIE!$J$6:$M$6)=4,"",IF(SAISIE!I92="","",IF(SAISIE!J92&gt;0,SAISIE!$J$6,IF(SAISIE!K92&gt;0,SAISIE!$K$6,IF(SAISIE!L92&gt;0,SAISIE!$L$6,IF(SAISIE!M92&gt;0,SAISIE!$M$6,""))))))</f>
        <v/>
      </c>
      <c r="O1318" s="59" t="s">
        <v>53</v>
      </c>
    </row>
    <row r="1319" spans="1:15" x14ac:dyDescent="0.25">
      <c r="A1319" s="63" t="e">
        <f>IF(AND(G1319="",H1319=""),"SUPPR",SAISIE!$B$3)</f>
        <v>#REF!</v>
      </c>
      <c r="B1319" s="63" t="e">
        <f>IF(SAISIE!#REF!="","",IF(LEN(SAISIE!B92)=1,CONCATENATE("0",SAISIE!B92,"/",SAISIE!$B$4,"/",SAISIE!$B$5),CONCATENATE(SAISIE!B92,"/",SAISIE!$B$4,"/",SAISIE!$B$5)))</f>
        <v>#REF!</v>
      </c>
      <c r="C1319" s="63" t="e">
        <f>IF(SAISIE!#REF!="","",SAISIE!#REF!)</f>
        <v>#REF!</v>
      </c>
      <c r="D1319" s="63" t="e">
        <f>IF(SAISIE!#REF!="","",SAISIE!E92)</f>
        <v>#REF!</v>
      </c>
      <c r="E1319" s="63" t="e">
        <f>IF(SAISIE!#REF!="","",SAISIE!F92)</f>
        <v>#REF!</v>
      </c>
      <c r="F1319" s="70" t="e">
        <f>IF(SAISIE!#REF!="","",IF(SAISIE!$N92="","",SAISIE!$N92))</f>
        <v>#REF!</v>
      </c>
      <c r="G1319" s="63" t="e">
        <f>IF(SAISIE!#REF!="","",SAISIE!#REF!)</f>
        <v>#REF!</v>
      </c>
      <c r="H1319" s="63"/>
      <c r="I1319" s="63" t="e">
        <f>IF(SAISIE!#REF!="","",SAISIE!$Q92)</f>
        <v>#REF!</v>
      </c>
      <c r="J1319" s="71" t="str">
        <f>IF(COUNTBLANK(SAISIE!$J$6:$M$6)=4,"",IF(SAISIE!#REF!="","",IF(SAISIE!J92&gt;0,SAISIE!$J$6,IF(SAISIE!K92&gt;0,SAISIE!$K$6,IF(SAISIE!L92&gt;0,SAISIE!$L$6,IF(SAISIE!M92&gt;0,SAISIE!$M$6,""))))))</f>
        <v/>
      </c>
      <c r="O1319" s="59" t="s">
        <v>54</v>
      </c>
    </row>
    <row r="1320" spans="1:15" x14ac:dyDescent="0.25">
      <c r="A1320" s="63" t="e">
        <f>IF(AND(G1320="",H1320=""),"SUPPR",SAISIE!$B$3)</f>
        <v>#REF!</v>
      </c>
      <c r="B1320" s="63" t="e">
        <f>IF(SAISIE!#REF!="","",IF(LEN(SAISIE!B92)=1,CONCATENATE("0",SAISIE!B92,"/",SAISIE!$B$4,"/",SAISIE!$B$5),CONCATENATE(SAISIE!B92,"/",SAISIE!$B$4,"/",SAISIE!$B$5)))</f>
        <v>#REF!</v>
      </c>
      <c r="C1320" s="63" t="e">
        <f>IF(SAISIE!#REF!="","",SAISIE!#REF!)</f>
        <v>#REF!</v>
      </c>
      <c r="D1320" s="63" t="e">
        <f>IF(SAISIE!#REF!="","",SAISIE!E92)</f>
        <v>#REF!</v>
      </c>
      <c r="E1320" s="63" t="e">
        <f>IF(SAISIE!#REF!="","",SAISIE!F92)</f>
        <v>#REF!</v>
      </c>
      <c r="F1320" s="70" t="e">
        <f>IF(SAISIE!#REF!="","",IF(SAISIE!$N92="","",SAISIE!$N92))</f>
        <v>#REF!</v>
      </c>
      <c r="G1320" s="63" t="e">
        <f>IF(SAISIE!#REF!="","",SAISIE!#REF!)</f>
        <v>#REF!</v>
      </c>
      <c r="H1320" s="63"/>
      <c r="I1320" s="63" t="e">
        <f>IF(SAISIE!#REF!="","",SAISIE!$Q92)</f>
        <v>#REF!</v>
      </c>
      <c r="J1320" s="71" t="str">
        <f>IF(COUNTBLANK(SAISIE!$J$6:$M$6)=4,"",IF(SAISIE!#REF!="","",IF(SAISIE!J92&gt;0,SAISIE!$J$6,IF(SAISIE!K92&gt;0,SAISIE!$K$6,IF(SAISIE!L92&gt;0,SAISIE!$L$6,IF(SAISIE!M92&gt;0,SAISIE!$M$6,""))))))</f>
        <v/>
      </c>
      <c r="O1320" s="59" t="s">
        <v>55</v>
      </c>
    </row>
    <row r="1321" spans="1:15" x14ac:dyDescent="0.25">
      <c r="A1321" s="63" t="e">
        <f>IF(AND(G1321="",H1321=""),"SUPPR",SAISIE!$B$3)</f>
        <v>#REF!</v>
      </c>
      <c r="B1321" s="63" t="e">
        <f>IF(SAISIE!#REF!="","",IF(LEN(SAISIE!B92)=1,CONCATENATE("0",SAISIE!B92,"/",SAISIE!$B$4,"/",SAISIE!$B$5),CONCATENATE(SAISIE!B92,"/",SAISIE!$B$4,"/",SAISIE!$B$5)))</f>
        <v>#REF!</v>
      </c>
      <c r="C1321" s="63" t="e">
        <f>IF(SAISIE!#REF!="","",SAISIE!#REF!)</f>
        <v>#REF!</v>
      </c>
      <c r="D1321" s="63" t="e">
        <f>IF(SAISIE!#REF!="","",SAISIE!E92)</f>
        <v>#REF!</v>
      </c>
      <c r="E1321" s="63" t="e">
        <f>IF(SAISIE!#REF!="","",SAISIE!F92)</f>
        <v>#REF!</v>
      </c>
      <c r="F1321" s="70" t="e">
        <f>IF(SAISIE!#REF!="","",IF(SAISIE!$N92="","",SAISIE!$N92))</f>
        <v>#REF!</v>
      </c>
      <c r="G1321" s="63" t="e">
        <f>IF(SAISIE!#REF!="","",SAISIE!#REF!)</f>
        <v>#REF!</v>
      </c>
      <c r="H1321" s="63"/>
      <c r="I1321" s="63" t="e">
        <f>IF(SAISIE!#REF!="","",SAISIE!$Q92)</f>
        <v>#REF!</v>
      </c>
      <c r="J1321" s="71" t="str">
        <f>IF(COUNTBLANK(SAISIE!$J$6:$M$6)=4,"",IF(SAISIE!#REF!="","",IF(SAISIE!J92&gt;0,SAISIE!$J$6,IF(SAISIE!K92&gt;0,SAISIE!$K$6,IF(SAISIE!L92&gt;0,SAISIE!$L$6,IF(SAISIE!M92&gt;0,SAISIE!$M$6,""))))))</f>
        <v/>
      </c>
      <c r="O1321" s="59" t="s">
        <v>56</v>
      </c>
    </row>
    <row r="1322" spans="1:15" x14ac:dyDescent="0.25">
      <c r="A1322" s="63" t="e">
        <f>IF(AND(G1322="",H1322=""),"SUPPR",SAISIE!$B$3)</f>
        <v>#REF!</v>
      </c>
      <c r="B1322" s="63" t="e">
        <f>IF(SAISIE!#REF!="","",IF(LEN(SAISIE!B92)=1,CONCATENATE("0",SAISIE!B92,"/",SAISIE!$B$4,"/",SAISIE!$B$5),CONCATENATE(SAISIE!B92,"/",SAISIE!$B$4,"/",SAISIE!$B$5)))</f>
        <v>#REF!</v>
      </c>
      <c r="C1322" s="63" t="e">
        <f>IF(SAISIE!#REF!="","",SAISIE!#REF!)</f>
        <v>#REF!</v>
      </c>
      <c r="D1322" s="63" t="e">
        <f>IF(SAISIE!#REF!="","",SAISIE!E92)</f>
        <v>#REF!</v>
      </c>
      <c r="E1322" s="63" t="e">
        <f>IF(SAISIE!#REF!="","",SAISIE!F92)</f>
        <v>#REF!</v>
      </c>
      <c r="F1322" s="70" t="e">
        <f>IF(SAISIE!#REF!="","",IF(SAISIE!$N92="","",SAISIE!$N92))</f>
        <v>#REF!</v>
      </c>
      <c r="G1322" s="63" t="e">
        <f>IF(SAISIE!#REF!="","",SAISIE!#REF!)</f>
        <v>#REF!</v>
      </c>
      <c r="H1322" s="63"/>
      <c r="I1322" s="63" t="e">
        <f>IF(SAISIE!#REF!="","",SAISIE!$Q92)</f>
        <v>#REF!</v>
      </c>
      <c r="J1322" s="71" t="str">
        <f>IF(COUNTBLANK(SAISIE!$J$6:$M$6)=4,"",IF(SAISIE!#REF!="","",IF(SAISIE!J92&gt;0,SAISIE!$J$6,IF(SAISIE!K92&gt;0,SAISIE!$K$6,IF(SAISIE!L92&gt;0,SAISIE!$L$6,IF(SAISIE!M92&gt;0,SAISIE!$M$6,""))))))</f>
        <v/>
      </c>
      <c r="O1322" s="59" t="s">
        <v>57</v>
      </c>
    </row>
    <row r="1323" spans="1:15" x14ac:dyDescent="0.25">
      <c r="A1323" s="63" t="e">
        <f>IF(AND(G1323="",H1323=""),"SUPPR",SAISIE!$B$3)</f>
        <v>#REF!</v>
      </c>
      <c r="B1323" s="63" t="e">
        <f>IF(SAISIE!#REF!="","",IF(LEN(SAISIE!B92)=1,CONCATENATE("0",SAISIE!B92,"/",SAISIE!$B$4,"/",SAISIE!$B$5),CONCATENATE(SAISIE!B92,"/",SAISIE!$B$4,"/",SAISIE!$B$5)))</f>
        <v>#REF!</v>
      </c>
      <c r="C1323" s="63" t="e">
        <f>IF(SAISIE!#REF!="","",SAISIE!#REF!)</f>
        <v>#REF!</v>
      </c>
      <c r="D1323" s="63" t="e">
        <f>IF(SAISIE!#REF!="","",SAISIE!E92)</f>
        <v>#REF!</v>
      </c>
      <c r="E1323" s="63" t="e">
        <f>IF(SAISIE!#REF!="","",SAISIE!F92)</f>
        <v>#REF!</v>
      </c>
      <c r="F1323" s="70" t="e">
        <f>IF(SAISIE!#REF!="","",IF(SAISIE!$N92="","",SAISIE!$N92))</f>
        <v>#REF!</v>
      </c>
      <c r="G1323" s="63" t="e">
        <f>IF(SAISIE!#REF!="","",SAISIE!#REF!)</f>
        <v>#REF!</v>
      </c>
      <c r="H1323" s="63"/>
      <c r="I1323" s="63" t="e">
        <f>IF(SAISIE!#REF!="","",SAISIE!$Q92)</f>
        <v>#REF!</v>
      </c>
      <c r="J1323" s="71" t="str">
        <f>IF(COUNTBLANK(SAISIE!$J$6:$M$6)=4,"",IF(SAISIE!#REF!="","",IF(SAISIE!J92&gt;0,SAISIE!$J$6,IF(SAISIE!K92&gt;0,SAISIE!$K$6,IF(SAISIE!L92&gt;0,SAISIE!$L$6,IF(SAISIE!M92&gt;0,SAISIE!$M$6,""))))))</f>
        <v/>
      </c>
      <c r="O1323" s="59" t="s">
        <v>58</v>
      </c>
    </row>
    <row r="1324" spans="1:15" x14ac:dyDescent="0.25">
      <c r="A1324" s="63" t="e">
        <f>IF(AND(G1324="",H1324=""),"SUPPR",SAISIE!$B$3)</f>
        <v>#REF!</v>
      </c>
      <c r="B1324" s="63" t="e">
        <f>IF(SAISIE!#REF!="","",IF(LEN(SAISIE!B92)=1,CONCATENATE("0",SAISIE!B92,"/",SAISIE!$B$4,"/",SAISIE!$B$5),CONCATENATE(SAISIE!B92,"/",SAISIE!$B$4,"/",SAISIE!$B$5)))</f>
        <v>#REF!</v>
      </c>
      <c r="C1324" s="63" t="e">
        <f>IF(SAISIE!#REF!="","",SAISIE!#REF!)</f>
        <v>#REF!</v>
      </c>
      <c r="D1324" s="63" t="e">
        <f>IF(SAISIE!#REF!="","",SAISIE!E92)</f>
        <v>#REF!</v>
      </c>
      <c r="E1324" s="63" t="e">
        <f>IF(SAISIE!#REF!="","",SAISIE!F92)</f>
        <v>#REF!</v>
      </c>
      <c r="F1324" s="70" t="e">
        <f>IF(SAISIE!#REF!="","",IF(SAISIE!$N92="","",SAISIE!$N92))</f>
        <v>#REF!</v>
      </c>
      <c r="G1324" s="63" t="e">
        <f>IF(SAISIE!#REF!="","",SAISIE!#REF!)</f>
        <v>#REF!</v>
      </c>
      <c r="H1324" s="63"/>
      <c r="I1324" s="63" t="e">
        <f>IF(SAISIE!#REF!="","",SAISIE!$Q92)</f>
        <v>#REF!</v>
      </c>
      <c r="J1324" s="71" t="str">
        <f>IF(COUNTBLANK(SAISIE!$J$6:$M$6)=4,"",IF(SAISIE!#REF!="","",IF(SAISIE!J92&gt;0,SAISIE!$J$6,IF(SAISIE!K92&gt;0,SAISIE!$K$6,IF(SAISIE!L92&gt;0,SAISIE!$L$6,IF(SAISIE!M92&gt;0,SAISIE!$M$6,""))))))</f>
        <v/>
      </c>
      <c r="O1324" s="59" t="s">
        <v>59</v>
      </c>
    </row>
    <row r="1325" spans="1:15" x14ac:dyDescent="0.25">
      <c r="A1325" s="63" t="e">
        <f>IF(AND(G1325="",H1325=""),"SUPPR",SAISIE!$B$3)</f>
        <v>#REF!</v>
      </c>
      <c r="B1325" s="63" t="e">
        <f>IF(SAISIE!#REF!="","",IF(LEN(SAISIE!B92)=1,CONCATENATE("0",SAISIE!B92,"/",SAISIE!$B$4,"/",SAISIE!$B$5),CONCATENATE(SAISIE!B92,"/",SAISIE!$B$4,"/",SAISIE!$B$5)))</f>
        <v>#REF!</v>
      </c>
      <c r="C1325" s="63" t="e">
        <f>IF(SAISIE!#REF!="","",SAISIE!#REF!)</f>
        <v>#REF!</v>
      </c>
      <c r="D1325" s="63" t="e">
        <f>IF(SAISIE!#REF!="","",SAISIE!E92)</f>
        <v>#REF!</v>
      </c>
      <c r="E1325" s="63" t="e">
        <f>IF(SAISIE!#REF!="","",SAISIE!F92)</f>
        <v>#REF!</v>
      </c>
      <c r="F1325" s="70" t="e">
        <f>IF(SAISIE!#REF!="","",IF(SAISIE!$N92="","",SAISIE!$N92))</f>
        <v>#REF!</v>
      </c>
      <c r="G1325" s="63" t="e">
        <f>IF(SAISIE!#REF!="","",SAISIE!#REF!)</f>
        <v>#REF!</v>
      </c>
      <c r="H1325" s="63"/>
      <c r="I1325" s="63" t="e">
        <f>IF(SAISIE!#REF!="","",SAISIE!$Q92)</f>
        <v>#REF!</v>
      </c>
      <c r="J1325" s="71" t="str">
        <f>IF(COUNTBLANK(SAISIE!$J$6:$M$6)=4,"",IF(SAISIE!#REF!="","",IF(SAISIE!J92&gt;0,SAISIE!$J$6,IF(SAISIE!K92&gt;0,SAISIE!$K$6,IF(SAISIE!L92&gt;0,SAISIE!$L$6,IF(SAISIE!M92&gt;0,SAISIE!$M$6,""))))))</f>
        <v/>
      </c>
      <c r="O1325" s="59" t="s">
        <v>60</v>
      </c>
    </row>
    <row r="1326" spans="1:15" x14ac:dyDescent="0.25">
      <c r="A1326" s="63" t="str">
        <f>IF(AND(G1326="",H1326=""),"SUPPR",SAISIE!$B$3)</f>
        <v>SUPPR</v>
      </c>
      <c r="B1326" s="63" t="str">
        <f>IF(SAISIE!J92="","",IF(LEN(SAISIE!B92)=1,CONCATENATE("0",SAISIE!B92,"/",SAISIE!$B$4,"/",SAISIE!$B$5),CONCATENATE(SAISIE!B92,"/",SAISIE!$B$4,"/",SAISIE!$B$5)))</f>
        <v/>
      </c>
      <c r="C1326" s="63" t="str">
        <f>IF(SAISIE!J92="","",SAISIE!$J$8)</f>
        <v/>
      </c>
      <c r="D1326" s="63" t="str">
        <f>IF(SAISIE!J92="","",SAISIE!E92)</f>
        <v/>
      </c>
      <c r="E1326" s="63" t="str">
        <f>IF(SAISIE!J92="","",SAISIE!F92)</f>
        <v/>
      </c>
      <c r="F1326" s="70" t="str">
        <f>IF(SAISIE!$J92="","",IF(SAISIE!$N92="","",SAISIE!$N92))</f>
        <v/>
      </c>
      <c r="G1326" s="63" t="str">
        <f>IF(SAISIE!J92="","",SAISIE!J92)</f>
        <v/>
      </c>
      <c r="H1326" s="63"/>
      <c r="I1326" s="72"/>
      <c r="J1326" s="71"/>
      <c r="O1326" s="73"/>
    </row>
    <row r="1327" spans="1:15" x14ac:dyDescent="0.25">
      <c r="A1327" s="63" t="str">
        <f>IF(AND(G1327="",H1327=""),"SUPPR",SAISIE!$B$3)</f>
        <v>SUPPR</v>
      </c>
      <c r="B1327" s="63" t="str">
        <f>IF(SAISIE!K92="","",IF(LEN(SAISIE!B92)=1,CONCATENATE("0",SAISIE!B92,"/",SAISIE!$B$4,"/",SAISIE!$B$5),CONCATENATE(SAISIE!B92,"/",SAISIE!$B$4,"/",SAISIE!$B$5)))</f>
        <v/>
      </c>
      <c r="C1327" s="63" t="str">
        <f>IF(SAISIE!K92="","",SAISIE!$K$8)</f>
        <v/>
      </c>
      <c r="D1327" s="63" t="str">
        <f>IF(SAISIE!K92="","",SAISIE!E92)</f>
        <v/>
      </c>
      <c r="E1327" s="63" t="str">
        <f>IF(SAISIE!K92="","",SAISIE!F92)</f>
        <v/>
      </c>
      <c r="F1327" s="70" t="str">
        <f>IF(SAISIE!$K92="","",IF(SAISIE!$N92="","",SAISIE!$N92))</f>
        <v/>
      </c>
      <c r="G1327" s="63" t="str">
        <f>IF(SAISIE!K92="","",SAISIE!K92)</f>
        <v/>
      </c>
      <c r="H1327" s="63"/>
      <c r="I1327" s="72"/>
      <c r="J1327" s="71"/>
    </row>
    <row r="1328" spans="1:15" x14ac:dyDescent="0.25">
      <c r="A1328" s="63" t="str">
        <f>IF(AND(G1328="",H1328=""),"SUPPR",SAISIE!$B$3)</f>
        <v>SUPPR</v>
      </c>
      <c r="B1328" s="63" t="str">
        <f>IF(SAISIE!L92="","",IF(LEN(SAISIE!B92)=1,CONCATENATE("0",SAISIE!B92,"/",SAISIE!$B$4,"/",SAISIE!$B$5),CONCATENATE(SAISIE!B92,"/",SAISIE!$B$4,"/",SAISIE!$B$5)))</f>
        <v/>
      </c>
      <c r="C1328" s="63" t="str">
        <f>IF(SAISIE!L92="","",SAISIE!$L$8)</f>
        <v/>
      </c>
      <c r="D1328" s="63" t="str">
        <f>IF(SAISIE!L92="","",SAISIE!E92)</f>
        <v/>
      </c>
      <c r="E1328" s="63" t="str">
        <f>IF(SAISIE!L92="","",SAISIE!F92)</f>
        <v/>
      </c>
      <c r="F1328" s="70" t="str">
        <f>IF(SAISIE!$L92="","",IF(SAISIE!$N92="","",SAISIE!$N92))</f>
        <v/>
      </c>
      <c r="G1328" s="63" t="str">
        <f>IF(SAISIE!L92="","",SAISIE!L92)</f>
        <v/>
      </c>
      <c r="H1328" s="63"/>
      <c r="I1328" s="72"/>
      <c r="J1328" s="71"/>
    </row>
    <row r="1329" spans="1:15" x14ac:dyDescent="0.25">
      <c r="A1329" s="63" t="str">
        <f>IF(AND(G1329="",H1329=""),"SUPPR",SAISIE!$B$3)</f>
        <v>SUPPR</v>
      </c>
      <c r="B1329" s="63" t="str">
        <f>IF(SAISIE!M92="","",IF(LEN(SAISIE!B92)=1,CONCATENATE("0",SAISIE!B92,"/",SAISIE!$B$4,"/",SAISIE!$B$5),CONCATENATE(SAISIE!B92,"/",SAISIE!$B$4,"/",SAISIE!$B$5)))</f>
        <v/>
      </c>
      <c r="C1329" s="74" t="str">
        <f>IF(SAISIE!M92="","",SAISIE!$M$8)</f>
        <v/>
      </c>
      <c r="D1329" s="74" t="str">
        <f>IF(SAISIE!M92="","",SAISIE!E92)</f>
        <v/>
      </c>
      <c r="E1329" s="74" t="str">
        <f>IF(SAISIE!M92="","",SAISIE!F92)</f>
        <v/>
      </c>
      <c r="F1329" s="75" t="str">
        <f>IF(SAISIE!$M92="","",IF(SAISIE!$N92="","",SAISIE!$N92))</f>
        <v/>
      </c>
      <c r="G1329" s="74" t="str">
        <f>IF(SAISIE!M92="","",SAISIE!M92)</f>
        <v/>
      </c>
      <c r="H1329" s="76"/>
      <c r="I1329" s="77"/>
      <c r="J1329" s="78"/>
    </row>
    <row r="1330" spans="1:15" x14ac:dyDescent="0.25">
      <c r="A1330" s="63" t="str">
        <f>IF(AND(G1330="",H1330=""),"SUPPR",SAISIE!$B$3)</f>
        <v>SUPPR</v>
      </c>
      <c r="B1330" s="64" t="str">
        <f>IF(SAISIE!B93="","",IF(LEN(SAISIE!B93)=1,CONCATENATE("0",SAISIE!B93,"/",SAISIE!$B$4,"/",SAISIE!$B$5),CONCATENATE(SAISIE!B93,"/",SAISIE!$B$4,"/",SAISIE!$B$5)))</f>
        <v/>
      </c>
      <c r="C1330" s="64" t="str">
        <f>IF(SAISIE!B93="","",CONCATENATE($M$2,SAISIE!C93))</f>
        <v/>
      </c>
      <c r="D1330" s="64" t="str">
        <f>IF(SAISIE!B93="","",SAISIE!E93)</f>
        <v/>
      </c>
      <c r="E1330" s="64" t="str">
        <f>IF(SAISIE!B93="","",SAISIE!F93)</f>
        <v/>
      </c>
      <c r="F1330" s="65" t="str">
        <f>IF(A1330="SUPPR","",IF(SAISIE!$N93="","",SAISIE!$N93))</f>
        <v/>
      </c>
      <c r="G1330" s="64"/>
      <c r="H1330" s="64" t="str">
        <f>IF(SAISIE!B93="","",SAISIE!D93)</f>
        <v/>
      </c>
      <c r="I1330" s="66"/>
      <c r="J1330" s="67" t="str">
        <f>IF(AZ93="","","")</f>
        <v/>
      </c>
      <c r="O1330" s="69">
        <f>O1314+1</f>
        <v>93</v>
      </c>
    </row>
    <row r="1331" spans="1:15" x14ac:dyDescent="0.25">
      <c r="A1331" s="63" t="str">
        <f>IF(AND(G1331="",H1331=""),"SUPPR",SAISIE!$B$3)</f>
        <v>SUPPR</v>
      </c>
      <c r="B1331" s="63" t="str">
        <f>IF(SAISIE!P93="","",IF(LEN(SAISIE!B93)=1,CONCATENATE("0",SAISIE!B93,"/",SAISIE!$B$4,"/",SAISIE!$B$5),CONCATENATE(SAISIE!B93,"/",SAISIE!$B$4,"/",SAISIE!$B$5)))</f>
        <v/>
      </c>
      <c r="C1331" s="63" t="str">
        <f>IF(SAISIE!P93="","",SAISIE!O93)</f>
        <v/>
      </c>
      <c r="D1331" s="63" t="str">
        <f>IF(SAISIE!P93="","",SAISIE!E93)</f>
        <v/>
      </c>
      <c r="E1331" s="63" t="str">
        <f>IF(SAISIE!P93="","",SAISIE!F93)</f>
        <v/>
      </c>
      <c r="F1331" s="70" t="str">
        <f>IF(SAISIE!$P93="","",IF(SAISIE!$N93="","",SAISIE!$N93))</f>
        <v/>
      </c>
      <c r="G1331" s="63" t="str">
        <f>IF(SAISIE!P93="","",SAISIE!P93)</f>
        <v/>
      </c>
      <c r="H1331" s="63"/>
      <c r="I1331" s="63" t="str">
        <f>IF(SAISIE!$P93="","",SAISIE!$Q93)</f>
        <v/>
      </c>
      <c r="J1331" s="71" t="str">
        <f>IF(COUNTBLANK(SAISIE!$J$6:$M$6)=4,"",IF(SAISIE!P93="","",IF(SAISIE!J93&gt;0,SAISIE!$J$6,IF(SAISIE!K93&gt;0,SAISIE!$K$6,IF(SAISIE!L93&gt;0,SAISIE!$L$6,IF(SAISIE!M93&gt;0,SAISIE!$M$6,""))))))</f>
        <v/>
      </c>
      <c r="O1331" s="59" t="s">
        <v>50</v>
      </c>
    </row>
    <row r="1332" spans="1:15" x14ac:dyDescent="0.25">
      <c r="A1332" s="63" t="str">
        <f>IF(AND(G1332="",H1332=""),"SUPPR",SAISIE!$B$3)</f>
        <v>SUPPR</v>
      </c>
      <c r="B1332" s="63" t="str">
        <f>IF(SAISIE!G93="","",IF(LEN(SAISIE!B93)=1,CONCATENATE("0",SAISIE!B93,"/",SAISIE!$B$4,"/",SAISIE!$B$5),CONCATENATE(SAISIE!B93,"/",SAISIE!$B$4,"/",SAISIE!$B$5)))</f>
        <v/>
      </c>
      <c r="C1332" s="63" t="str">
        <f>IF(SAISIE!G93="","",SAISIE!$G$8)</f>
        <v/>
      </c>
      <c r="D1332" s="63" t="str">
        <f>IF(SAISIE!G93="","",SAISIE!E93)</f>
        <v/>
      </c>
      <c r="E1332" s="63" t="str">
        <f>IF(SAISIE!G93="","",SAISIE!F93)</f>
        <v/>
      </c>
      <c r="F1332" s="70" t="str">
        <f>IF(SAISIE!$G93="","",IF(SAISIE!$N93="","",SAISIE!$N93))</f>
        <v/>
      </c>
      <c r="G1332" s="63" t="str">
        <f>IF(SAISIE!G93="","",SAISIE!G93)</f>
        <v/>
      </c>
      <c r="H1332" s="63"/>
      <c r="I1332" s="63" t="str">
        <f>IF(SAISIE!$G93="","",SAISIE!$Q93)</f>
        <v/>
      </c>
      <c r="J1332" s="71" t="str">
        <f>IF(COUNTBLANK(SAISIE!$J$6:$M$6)=4,"",IF(SAISIE!G93="","",IF(SAISIE!J93&gt;0,SAISIE!$J$6,IF(SAISIE!K93&gt;0,SAISIE!$K$6,IF(SAISIE!L93&gt;0,SAISIE!$L$6,IF(SAISIE!M93&gt;0,SAISIE!$M$6,""))))))</f>
        <v/>
      </c>
      <c r="O1332" s="59" t="s">
        <v>51</v>
      </c>
    </row>
    <row r="1333" spans="1:15" x14ac:dyDescent="0.25">
      <c r="A1333" s="63" t="str">
        <f>IF(AND(G1333="",H1333=""),"SUPPR",SAISIE!$B$3)</f>
        <v>SUPPR</v>
      </c>
      <c r="B1333" s="63" t="str">
        <f>IF(SAISIE!H93="","",IF(LEN(SAISIE!B93)=1,CONCATENATE("0",SAISIE!B93,"/",SAISIE!$B$4,"/",SAISIE!$B$5),CONCATENATE(SAISIE!B93,"/",SAISIE!$B$4,"/",SAISIE!$B$5)))</f>
        <v/>
      </c>
      <c r="C1333" s="63" t="str">
        <f>IF(SAISIE!H93="","",SAISIE!$H$8)</f>
        <v/>
      </c>
      <c r="D1333" s="63" t="str">
        <f>IF(SAISIE!H93="","",SAISIE!E93)</f>
        <v/>
      </c>
      <c r="E1333" s="63" t="str">
        <f>IF(SAISIE!H93="","",SAISIE!F93)</f>
        <v/>
      </c>
      <c r="F1333" s="70" t="str">
        <f>IF(SAISIE!$H93="","",IF(SAISIE!$N93="","",SAISIE!$N93))</f>
        <v/>
      </c>
      <c r="G1333" s="63" t="str">
        <f>IF(SAISIE!H93="","",SAISIE!H93)</f>
        <v/>
      </c>
      <c r="H1333" s="63"/>
      <c r="I1333" s="63" t="str">
        <f>IF(SAISIE!$H93="","",SAISIE!$Q93)</f>
        <v/>
      </c>
      <c r="J1333" s="71" t="str">
        <f>IF(COUNTBLANK(SAISIE!$J$6:$M$6)=4,"",IF(SAISIE!H93="","",IF(SAISIE!J93&gt;0,SAISIE!$J$6,IF(SAISIE!K93&gt;0,SAISIE!$K$6,IF(SAISIE!L93&gt;0,SAISIE!$L$6,IF(SAISIE!M93&gt;0,SAISIE!$M$6,""))))))</f>
        <v/>
      </c>
      <c r="O1333" s="59" t="s">
        <v>52</v>
      </c>
    </row>
    <row r="1334" spans="1:15" x14ac:dyDescent="0.25">
      <c r="A1334" s="63" t="str">
        <f>IF(AND(G1334="",H1334=""),"SUPPR",SAISIE!$B$3)</f>
        <v>SUPPR</v>
      </c>
      <c r="B1334" s="63" t="str">
        <f>IF(SAISIE!I93="","",IF(LEN(SAISIE!B93)=1,CONCATENATE("0",SAISIE!B93,"/",SAISIE!$B$4,"/",SAISIE!$B$5),CONCATENATE(SAISIE!B93,"/",SAISIE!$B$4,"/",SAISIE!$B$5)))</f>
        <v/>
      </c>
      <c r="C1334" s="63" t="str">
        <f>IF(SAISIE!I93="","",SAISIE!$I$8)</f>
        <v/>
      </c>
      <c r="D1334" s="63" t="str">
        <f>IF(SAISIE!I93="","",SAISIE!E93)</f>
        <v/>
      </c>
      <c r="E1334" s="63" t="str">
        <f>IF(SAISIE!I93="","",SAISIE!F93)</f>
        <v/>
      </c>
      <c r="F1334" s="70" t="str">
        <f>IF(SAISIE!$I93="","",IF(SAISIE!$N93="","",SAISIE!$N93))</f>
        <v/>
      </c>
      <c r="G1334" s="63" t="str">
        <f>IF(SAISIE!I93="","",SAISIE!I93)</f>
        <v/>
      </c>
      <c r="H1334" s="63"/>
      <c r="I1334" s="63" t="str">
        <f>IF(SAISIE!$I93="","",SAISIE!$Q93)</f>
        <v/>
      </c>
      <c r="J1334" s="71" t="str">
        <f>IF(COUNTBLANK(SAISIE!$J$6:$M$6)=4,"",IF(SAISIE!I93="","",IF(SAISIE!J93&gt;0,SAISIE!$J$6,IF(SAISIE!K93&gt;0,SAISIE!$K$6,IF(SAISIE!L93&gt;0,SAISIE!$L$6,IF(SAISIE!M93&gt;0,SAISIE!$M$6,""))))))</f>
        <v/>
      </c>
      <c r="O1334" s="59" t="s">
        <v>53</v>
      </c>
    </row>
    <row r="1335" spans="1:15" x14ac:dyDescent="0.25">
      <c r="A1335" s="63" t="e">
        <f>IF(AND(G1335="",H1335=""),"SUPPR",SAISIE!$B$3)</f>
        <v>#REF!</v>
      </c>
      <c r="B1335" s="63" t="e">
        <f>IF(SAISIE!#REF!="","",IF(LEN(SAISIE!B93)=1,CONCATENATE("0",SAISIE!B93,"/",SAISIE!$B$4,"/",SAISIE!$B$5),CONCATENATE(SAISIE!B93,"/",SAISIE!$B$4,"/",SAISIE!$B$5)))</f>
        <v>#REF!</v>
      </c>
      <c r="C1335" s="63" t="e">
        <f>IF(SAISIE!#REF!="","",SAISIE!#REF!)</f>
        <v>#REF!</v>
      </c>
      <c r="D1335" s="63" t="e">
        <f>IF(SAISIE!#REF!="","",SAISIE!E93)</f>
        <v>#REF!</v>
      </c>
      <c r="E1335" s="63" t="e">
        <f>IF(SAISIE!#REF!="","",SAISIE!F93)</f>
        <v>#REF!</v>
      </c>
      <c r="F1335" s="70" t="e">
        <f>IF(SAISIE!#REF!="","",IF(SAISIE!$N93="","",SAISIE!$N93))</f>
        <v>#REF!</v>
      </c>
      <c r="G1335" s="63" t="e">
        <f>IF(SAISIE!#REF!="","",SAISIE!#REF!)</f>
        <v>#REF!</v>
      </c>
      <c r="H1335" s="63"/>
      <c r="I1335" s="63" t="e">
        <f>IF(SAISIE!#REF!="","",SAISIE!$Q93)</f>
        <v>#REF!</v>
      </c>
      <c r="J1335" s="71" t="str">
        <f>IF(COUNTBLANK(SAISIE!$J$6:$M$6)=4,"",IF(SAISIE!#REF!="","",IF(SAISIE!J93&gt;0,SAISIE!$J$6,IF(SAISIE!K93&gt;0,SAISIE!$K$6,IF(SAISIE!L93&gt;0,SAISIE!$L$6,IF(SAISIE!M93&gt;0,SAISIE!$M$6,""))))))</f>
        <v/>
      </c>
      <c r="O1335" s="59" t="s">
        <v>54</v>
      </c>
    </row>
    <row r="1336" spans="1:15" x14ac:dyDescent="0.25">
      <c r="A1336" s="63" t="e">
        <f>IF(AND(G1336="",H1336=""),"SUPPR",SAISIE!$B$3)</f>
        <v>#REF!</v>
      </c>
      <c r="B1336" s="63" t="e">
        <f>IF(SAISIE!#REF!="","",IF(LEN(SAISIE!B93)=1,CONCATENATE("0",SAISIE!B93,"/",SAISIE!$B$4,"/",SAISIE!$B$5),CONCATENATE(SAISIE!B93,"/",SAISIE!$B$4,"/",SAISIE!$B$5)))</f>
        <v>#REF!</v>
      </c>
      <c r="C1336" s="63" t="e">
        <f>IF(SAISIE!#REF!="","",SAISIE!#REF!)</f>
        <v>#REF!</v>
      </c>
      <c r="D1336" s="63" t="e">
        <f>IF(SAISIE!#REF!="","",SAISIE!E93)</f>
        <v>#REF!</v>
      </c>
      <c r="E1336" s="63" t="e">
        <f>IF(SAISIE!#REF!="","",SAISIE!F93)</f>
        <v>#REF!</v>
      </c>
      <c r="F1336" s="70" t="e">
        <f>IF(SAISIE!#REF!="","",IF(SAISIE!$N93="","",SAISIE!$N93))</f>
        <v>#REF!</v>
      </c>
      <c r="G1336" s="63" t="e">
        <f>IF(SAISIE!#REF!="","",SAISIE!#REF!)</f>
        <v>#REF!</v>
      </c>
      <c r="H1336" s="63"/>
      <c r="I1336" s="63" t="e">
        <f>IF(SAISIE!#REF!="","",SAISIE!$Q93)</f>
        <v>#REF!</v>
      </c>
      <c r="J1336" s="71" t="str">
        <f>IF(COUNTBLANK(SAISIE!$J$6:$M$6)=4,"",IF(SAISIE!#REF!="","",IF(SAISIE!J93&gt;0,SAISIE!$J$6,IF(SAISIE!K93&gt;0,SAISIE!$K$6,IF(SAISIE!L93&gt;0,SAISIE!$L$6,IF(SAISIE!M93&gt;0,SAISIE!$M$6,""))))))</f>
        <v/>
      </c>
      <c r="O1336" s="59" t="s">
        <v>55</v>
      </c>
    </row>
    <row r="1337" spans="1:15" x14ac:dyDescent="0.25">
      <c r="A1337" s="63" t="e">
        <f>IF(AND(G1337="",H1337=""),"SUPPR",SAISIE!$B$3)</f>
        <v>#REF!</v>
      </c>
      <c r="B1337" s="63" t="e">
        <f>IF(SAISIE!#REF!="","",IF(LEN(SAISIE!B93)=1,CONCATENATE("0",SAISIE!B93,"/",SAISIE!$B$4,"/",SAISIE!$B$5),CONCATENATE(SAISIE!B93,"/",SAISIE!$B$4,"/",SAISIE!$B$5)))</f>
        <v>#REF!</v>
      </c>
      <c r="C1337" s="63" t="e">
        <f>IF(SAISIE!#REF!="","",SAISIE!#REF!)</f>
        <v>#REF!</v>
      </c>
      <c r="D1337" s="63" t="e">
        <f>IF(SAISIE!#REF!="","",SAISIE!E93)</f>
        <v>#REF!</v>
      </c>
      <c r="E1337" s="63" t="e">
        <f>IF(SAISIE!#REF!="","",SAISIE!F93)</f>
        <v>#REF!</v>
      </c>
      <c r="F1337" s="70" t="e">
        <f>IF(SAISIE!#REF!="","",IF(SAISIE!$N93="","",SAISIE!$N93))</f>
        <v>#REF!</v>
      </c>
      <c r="G1337" s="63" t="e">
        <f>IF(SAISIE!#REF!="","",SAISIE!#REF!)</f>
        <v>#REF!</v>
      </c>
      <c r="H1337" s="63"/>
      <c r="I1337" s="63" t="e">
        <f>IF(SAISIE!#REF!="","",SAISIE!$Q93)</f>
        <v>#REF!</v>
      </c>
      <c r="J1337" s="71" t="str">
        <f>IF(COUNTBLANK(SAISIE!$J$6:$M$6)=4,"",IF(SAISIE!#REF!="","",IF(SAISIE!J93&gt;0,SAISIE!$J$6,IF(SAISIE!K93&gt;0,SAISIE!$K$6,IF(SAISIE!L93&gt;0,SAISIE!$L$6,IF(SAISIE!M93&gt;0,SAISIE!$M$6,""))))))</f>
        <v/>
      </c>
      <c r="O1337" s="59" t="s">
        <v>56</v>
      </c>
    </row>
    <row r="1338" spans="1:15" x14ac:dyDescent="0.25">
      <c r="A1338" s="63" t="e">
        <f>IF(AND(G1338="",H1338=""),"SUPPR",SAISIE!$B$3)</f>
        <v>#REF!</v>
      </c>
      <c r="B1338" s="63" t="e">
        <f>IF(SAISIE!#REF!="","",IF(LEN(SAISIE!B93)=1,CONCATENATE("0",SAISIE!B93,"/",SAISIE!$B$4,"/",SAISIE!$B$5),CONCATENATE(SAISIE!B93,"/",SAISIE!$B$4,"/",SAISIE!$B$5)))</f>
        <v>#REF!</v>
      </c>
      <c r="C1338" s="63" t="e">
        <f>IF(SAISIE!#REF!="","",SAISIE!#REF!)</f>
        <v>#REF!</v>
      </c>
      <c r="D1338" s="63" t="e">
        <f>IF(SAISIE!#REF!="","",SAISIE!E93)</f>
        <v>#REF!</v>
      </c>
      <c r="E1338" s="63" t="e">
        <f>IF(SAISIE!#REF!="","",SAISIE!F93)</f>
        <v>#REF!</v>
      </c>
      <c r="F1338" s="70" t="e">
        <f>IF(SAISIE!#REF!="","",IF(SAISIE!$N93="","",SAISIE!$N93))</f>
        <v>#REF!</v>
      </c>
      <c r="G1338" s="63" t="e">
        <f>IF(SAISIE!#REF!="","",SAISIE!#REF!)</f>
        <v>#REF!</v>
      </c>
      <c r="H1338" s="63"/>
      <c r="I1338" s="63" t="e">
        <f>IF(SAISIE!#REF!="","",SAISIE!$Q93)</f>
        <v>#REF!</v>
      </c>
      <c r="J1338" s="71" t="str">
        <f>IF(COUNTBLANK(SAISIE!$J$6:$M$6)=4,"",IF(SAISIE!#REF!="","",IF(SAISIE!J93&gt;0,SAISIE!$J$6,IF(SAISIE!K93&gt;0,SAISIE!$K$6,IF(SAISIE!L93&gt;0,SAISIE!$L$6,IF(SAISIE!M93&gt;0,SAISIE!$M$6,""))))))</f>
        <v/>
      </c>
      <c r="O1338" s="59" t="s">
        <v>57</v>
      </c>
    </row>
    <row r="1339" spans="1:15" x14ac:dyDescent="0.25">
      <c r="A1339" s="63" t="e">
        <f>IF(AND(G1339="",H1339=""),"SUPPR",SAISIE!$B$3)</f>
        <v>#REF!</v>
      </c>
      <c r="B1339" s="63" t="e">
        <f>IF(SAISIE!#REF!="","",IF(LEN(SAISIE!B93)=1,CONCATENATE("0",SAISIE!B93,"/",SAISIE!$B$4,"/",SAISIE!$B$5),CONCATENATE(SAISIE!B93,"/",SAISIE!$B$4,"/",SAISIE!$B$5)))</f>
        <v>#REF!</v>
      </c>
      <c r="C1339" s="63" t="e">
        <f>IF(SAISIE!#REF!="","",SAISIE!#REF!)</f>
        <v>#REF!</v>
      </c>
      <c r="D1339" s="63" t="e">
        <f>IF(SAISIE!#REF!="","",SAISIE!E93)</f>
        <v>#REF!</v>
      </c>
      <c r="E1339" s="63" t="e">
        <f>IF(SAISIE!#REF!="","",SAISIE!F93)</f>
        <v>#REF!</v>
      </c>
      <c r="F1339" s="70" t="e">
        <f>IF(SAISIE!#REF!="","",IF(SAISIE!$N93="","",SAISIE!$N93))</f>
        <v>#REF!</v>
      </c>
      <c r="G1339" s="63" t="e">
        <f>IF(SAISIE!#REF!="","",SAISIE!#REF!)</f>
        <v>#REF!</v>
      </c>
      <c r="H1339" s="63"/>
      <c r="I1339" s="63" t="e">
        <f>IF(SAISIE!#REF!="","",SAISIE!$Q93)</f>
        <v>#REF!</v>
      </c>
      <c r="J1339" s="71" t="str">
        <f>IF(COUNTBLANK(SAISIE!$J$6:$M$6)=4,"",IF(SAISIE!#REF!="","",IF(SAISIE!J93&gt;0,SAISIE!$J$6,IF(SAISIE!K93&gt;0,SAISIE!$K$6,IF(SAISIE!L93&gt;0,SAISIE!$L$6,IF(SAISIE!M93&gt;0,SAISIE!$M$6,""))))))</f>
        <v/>
      </c>
      <c r="O1339" s="59" t="s">
        <v>58</v>
      </c>
    </row>
    <row r="1340" spans="1:15" x14ac:dyDescent="0.25">
      <c r="A1340" s="63" t="e">
        <f>IF(AND(G1340="",H1340=""),"SUPPR",SAISIE!$B$3)</f>
        <v>#REF!</v>
      </c>
      <c r="B1340" s="63" t="e">
        <f>IF(SAISIE!#REF!="","",IF(LEN(SAISIE!B93)=1,CONCATENATE("0",SAISIE!B93,"/",SAISIE!$B$4,"/",SAISIE!$B$5),CONCATENATE(SAISIE!B93,"/",SAISIE!$B$4,"/",SAISIE!$B$5)))</f>
        <v>#REF!</v>
      </c>
      <c r="C1340" s="63" t="e">
        <f>IF(SAISIE!#REF!="","",SAISIE!#REF!)</f>
        <v>#REF!</v>
      </c>
      <c r="D1340" s="63" t="e">
        <f>IF(SAISIE!#REF!="","",SAISIE!E93)</f>
        <v>#REF!</v>
      </c>
      <c r="E1340" s="63" t="e">
        <f>IF(SAISIE!#REF!="","",SAISIE!F93)</f>
        <v>#REF!</v>
      </c>
      <c r="F1340" s="70" t="e">
        <f>IF(SAISIE!#REF!="","",IF(SAISIE!$N93="","",SAISIE!$N93))</f>
        <v>#REF!</v>
      </c>
      <c r="G1340" s="63" t="e">
        <f>IF(SAISIE!#REF!="","",SAISIE!#REF!)</f>
        <v>#REF!</v>
      </c>
      <c r="H1340" s="63"/>
      <c r="I1340" s="63" t="e">
        <f>IF(SAISIE!#REF!="","",SAISIE!$Q93)</f>
        <v>#REF!</v>
      </c>
      <c r="J1340" s="71" t="str">
        <f>IF(COUNTBLANK(SAISIE!$J$6:$M$6)=4,"",IF(SAISIE!#REF!="","",IF(SAISIE!J93&gt;0,SAISIE!$J$6,IF(SAISIE!K93&gt;0,SAISIE!$K$6,IF(SAISIE!L93&gt;0,SAISIE!$L$6,IF(SAISIE!M93&gt;0,SAISIE!$M$6,""))))))</f>
        <v/>
      </c>
      <c r="O1340" s="59" t="s">
        <v>59</v>
      </c>
    </row>
    <row r="1341" spans="1:15" x14ac:dyDescent="0.25">
      <c r="A1341" s="63" t="e">
        <f>IF(AND(G1341="",H1341=""),"SUPPR",SAISIE!$B$3)</f>
        <v>#REF!</v>
      </c>
      <c r="B1341" s="63" t="e">
        <f>IF(SAISIE!#REF!="","",IF(LEN(SAISIE!B93)=1,CONCATENATE("0",SAISIE!B93,"/",SAISIE!$B$4,"/",SAISIE!$B$5),CONCATENATE(SAISIE!B93,"/",SAISIE!$B$4,"/",SAISIE!$B$5)))</f>
        <v>#REF!</v>
      </c>
      <c r="C1341" s="63" t="e">
        <f>IF(SAISIE!#REF!="","",SAISIE!#REF!)</f>
        <v>#REF!</v>
      </c>
      <c r="D1341" s="63" t="e">
        <f>IF(SAISIE!#REF!="","",SAISIE!E93)</f>
        <v>#REF!</v>
      </c>
      <c r="E1341" s="63" t="e">
        <f>IF(SAISIE!#REF!="","",SAISIE!F93)</f>
        <v>#REF!</v>
      </c>
      <c r="F1341" s="70" t="e">
        <f>IF(SAISIE!#REF!="","",IF(SAISIE!$N93="","",SAISIE!$N93))</f>
        <v>#REF!</v>
      </c>
      <c r="G1341" s="63" t="e">
        <f>IF(SAISIE!#REF!="","",SAISIE!#REF!)</f>
        <v>#REF!</v>
      </c>
      <c r="H1341" s="63"/>
      <c r="I1341" s="63" t="e">
        <f>IF(SAISIE!#REF!="","",SAISIE!$Q93)</f>
        <v>#REF!</v>
      </c>
      <c r="J1341" s="71" t="str">
        <f>IF(COUNTBLANK(SAISIE!$J$6:$M$6)=4,"",IF(SAISIE!#REF!="","",IF(SAISIE!J93&gt;0,SAISIE!$J$6,IF(SAISIE!K93&gt;0,SAISIE!$K$6,IF(SAISIE!L93&gt;0,SAISIE!$L$6,IF(SAISIE!M93&gt;0,SAISIE!$M$6,""))))))</f>
        <v/>
      </c>
      <c r="O1341" s="59" t="s">
        <v>60</v>
      </c>
    </row>
    <row r="1342" spans="1:15" x14ac:dyDescent="0.25">
      <c r="A1342" s="63" t="str">
        <f>IF(AND(G1342="",H1342=""),"SUPPR",SAISIE!$B$3)</f>
        <v>SUPPR</v>
      </c>
      <c r="B1342" s="63" t="str">
        <f>IF(SAISIE!J93="","",IF(LEN(SAISIE!B93)=1,CONCATENATE("0",SAISIE!B93,"/",SAISIE!$B$4,"/",SAISIE!$B$5),CONCATENATE(SAISIE!B93,"/",SAISIE!$B$4,"/",SAISIE!$B$5)))</f>
        <v/>
      </c>
      <c r="C1342" s="63" t="str">
        <f>IF(SAISIE!J93="","",SAISIE!$J$8)</f>
        <v/>
      </c>
      <c r="D1342" s="63" t="str">
        <f>IF(SAISIE!J93="","",SAISIE!E93)</f>
        <v/>
      </c>
      <c r="E1342" s="63" t="str">
        <f>IF(SAISIE!J93="","",SAISIE!F93)</f>
        <v/>
      </c>
      <c r="F1342" s="70" t="str">
        <f>IF(SAISIE!$J93="","",IF(SAISIE!$N93="","",SAISIE!$N93))</f>
        <v/>
      </c>
      <c r="G1342" s="63" t="str">
        <f>IF(SAISIE!J93="","",SAISIE!J93)</f>
        <v/>
      </c>
      <c r="H1342" s="63"/>
      <c r="I1342" s="72"/>
      <c r="J1342" s="71"/>
      <c r="O1342" s="73"/>
    </row>
    <row r="1343" spans="1:15" x14ac:dyDescent="0.25">
      <c r="A1343" s="63" t="str">
        <f>IF(AND(G1343="",H1343=""),"SUPPR",SAISIE!$B$3)</f>
        <v>SUPPR</v>
      </c>
      <c r="B1343" s="63" t="str">
        <f>IF(SAISIE!K93="","",IF(LEN(SAISIE!B93)=1,CONCATENATE("0",SAISIE!B93,"/",SAISIE!$B$4,"/",SAISIE!$B$5),CONCATENATE(SAISIE!B93,"/",SAISIE!$B$4,"/",SAISIE!$B$5)))</f>
        <v/>
      </c>
      <c r="C1343" s="63" t="str">
        <f>IF(SAISIE!K93="","",SAISIE!$K$8)</f>
        <v/>
      </c>
      <c r="D1343" s="63" t="str">
        <f>IF(SAISIE!K93="","",SAISIE!E93)</f>
        <v/>
      </c>
      <c r="E1343" s="63" t="str">
        <f>IF(SAISIE!K93="","",SAISIE!F93)</f>
        <v/>
      </c>
      <c r="F1343" s="70" t="str">
        <f>IF(SAISIE!$K93="","",IF(SAISIE!$N93="","",SAISIE!$N93))</f>
        <v/>
      </c>
      <c r="G1343" s="63" t="str">
        <f>IF(SAISIE!K93="","",SAISIE!K93)</f>
        <v/>
      </c>
      <c r="H1343" s="63"/>
      <c r="I1343" s="72"/>
      <c r="J1343" s="71"/>
    </row>
    <row r="1344" spans="1:15" x14ac:dyDescent="0.25">
      <c r="A1344" s="63" t="str">
        <f>IF(AND(G1344="",H1344=""),"SUPPR",SAISIE!$B$3)</f>
        <v>SUPPR</v>
      </c>
      <c r="B1344" s="63" t="str">
        <f>IF(SAISIE!L93="","",IF(LEN(SAISIE!B93)=1,CONCATENATE("0",SAISIE!B93,"/",SAISIE!$B$4,"/",SAISIE!$B$5),CONCATENATE(SAISIE!B93,"/",SAISIE!$B$4,"/",SAISIE!$B$5)))</f>
        <v/>
      </c>
      <c r="C1344" s="63" t="str">
        <f>IF(SAISIE!L93="","",SAISIE!$L$8)</f>
        <v/>
      </c>
      <c r="D1344" s="63" t="str">
        <f>IF(SAISIE!L93="","",SAISIE!E93)</f>
        <v/>
      </c>
      <c r="E1344" s="63" t="str">
        <f>IF(SAISIE!L93="","",SAISIE!F93)</f>
        <v/>
      </c>
      <c r="F1344" s="70" t="str">
        <f>IF(SAISIE!$L93="","",IF(SAISIE!$N93="","",SAISIE!$N93))</f>
        <v/>
      </c>
      <c r="G1344" s="63" t="str">
        <f>IF(SAISIE!L93="","",SAISIE!L93)</f>
        <v/>
      </c>
      <c r="H1344" s="63"/>
      <c r="I1344" s="72"/>
      <c r="J1344" s="71"/>
    </row>
    <row r="1345" spans="1:15" x14ac:dyDescent="0.25">
      <c r="A1345" s="63" t="str">
        <f>IF(AND(G1345="",H1345=""),"SUPPR",SAISIE!$B$3)</f>
        <v>SUPPR</v>
      </c>
      <c r="B1345" s="63" t="str">
        <f>IF(SAISIE!M93="","",IF(LEN(SAISIE!B93)=1,CONCATENATE("0",SAISIE!B93,"/",SAISIE!$B$4,"/",SAISIE!$B$5),CONCATENATE(SAISIE!B93,"/",SAISIE!$B$4,"/",SAISIE!$B$5)))</f>
        <v/>
      </c>
      <c r="C1345" s="74" t="str">
        <f>IF(SAISIE!M93="","",SAISIE!$M$8)</f>
        <v/>
      </c>
      <c r="D1345" s="74" t="str">
        <f>IF(SAISIE!M93="","",SAISIE!E93)</f>
        <v/>
      </c>
      <c r="E1345" s="74" t="str">
        <f>IF(SAISIE!M93="","",SAISIE!F93)</f>
        <v/>
      </c>
      <c r="F1345" s="75" t="str">
        <f>IF(SAISIE!$M93="","",IF(SAISIE!$N93="","",SAISIE!$N93))</f>
        <v/>
      </c>
      <c r="G1345" s="74" t="str">
        <f>IF(SAISIE!M93="","",SAISIE!M93)</f>
        <v/>
      </c>
      <c r="H1345" s="76"/>
      <c r="I1345" s="77"/>
      <c r="J1345" s="78"/>
    </row>
    <row r="1346" spans="1:15" x14ac:dyDescent="0.25">
      <c r="A1346" s="63" t="str">
        <f>IF(AND(G1346="",H1346=""),"SUPPR",SAISIE!$B$3)</f>
        <v>SUPPR</v>
      </c>
      <c r="B1346" s="64" t="str">
        <f>IF(SAISIE!B94="","",IF(LEN(SAISIE!B94)=1,CONCATENATE("0",SAISIE!B94,"/",SAISIE!$B$4,"/",SAISIE!$B$5),CONCATENATE(SAISIE!B94,"/",SAISIE!$B$4,"/",SAISIE!$B$5)))</f>
        <v/>
      </c>
      <c r="C1346" s="64" t="str">
        <f>IF(SAISIE!B94="","",CONCATENATE($M$2,SAISIE!C94))</f>
        <v/>
      </c>
      <c r="D1346" s="64" t="str">
        <f>IF(SAISIE!B94="","",SAISIE!E94)</f>
        <v/>
      </c>
      <c r="E1346" s="64" t="str">
        <f>IF(SAISIE!B94="","",SAISIE!F94)</f>
        <v/>
      </c>
      <c r="F1346" s="65" t="str">
        <f>IF(A1346="SUPPR","",IF(SAISIE!$N94="","",SAISIE!$N94))</f>
        <v/>
      </c>
      <c r="G1346" s="64"/>
      <c r="H1346" s="64" t="str">
        <f>IF(SAISIE!B94="","",SAISIE!D94)</f>
        <v/>
      </c>
      <c r="I1346" s="66"/>
      <c r="J1346" s="67" t="str">
        <f>IF(AZ94="","","")</f>
        <v/>
      </c>
      <c r="O1346" s="69">
        <f>O1330+1</f>
        <v>94</v>
      </c>
    </row>
    <row r="1347" spans="1:15" x14ac:dyDescent="0.25">
      <c r="A1347" s="63" t="str">
        <f>IF(AND(G1347="",H1347=""),"SUPPR",SAISIE!$B$3)</f>
        <v>SUPPR</v>
      </c>
      <c r="B1347" s="63" t="str">
        <f>IF(SAISIE!P94="","",IF(LEN(SAISIE!B94)=1,CONCATENATE("0",SAISIE!B94,"/",SAISIE!$B$4,"/",SAISIE!$B$5),CONCATENATE(SAISIE!B94,"/",SAISIE!$B$4,"/",SAISIE!$B$5)))</f>
        <v/>
      </c>
      <c r="C1347" s="63" t="str">
        <f>IF(SAISIE!P94="","",SAISIE!O94)</f>
        <v/>
      </c>
      <c r="D1347" s="63" t="str">
        <f>IF(SAISIE!P94="","",SAISIE!E94)</f>
        <v/>
      </c>
      <c r="E1347" s="63" t="str">
        <f>IF(SAISIE!P94="","",SAISIE!F94)</f>
        <v/>
      </c>
      <c r="F1347" s="70" t="str">
        <f>IF(SAISIE!$P94="","",IF(SAISIE!$N94="","",SAISIE!$N94))</f>
        <v/>
      </c>
      <c r="G1347" s="63" t="str">
        <f>IF(SAISIE!P94="","",SAISIE!P94)</f>
        <v/>
      </c>
      <c r="H1347" s="63"/>
      <c r="I1347" s="63" t="str">
        <f>IF(SAISIE!$P94="","",SAISIE!$Q94)</f>
        <v/>
      </c>
      <c r="J1347" s="71" t="str">
        <f>IF(COUNTBLANK(SAISIE!$J$6:$M$6)=4,"",IF(SAISIE!P94="","",IF(SAISIE!J94&gt;0,SAISIE!$J$6,IF(SAISIE!K94&gt;0,SAISIE!$K$6,IF(SAISIE!L94&gt;0,SAISIE!$L$6,IF(SAISIE!M94&gt;0,SAISIE!$M$6,""))))))</f>
        <v/>
      </c>
      <c r="O1347" s="59" t="s">
        <v>50</v>
      </c>
    </row>
    <row r="1348" spans="1:15" x14ac:dyDescent="0.25">
      <c r="A1348" s="63" t="str">
        <f>IF(AND(G1348="",H1348=""),"SUPPR",SAISIE!$B$3)</f>
        <v>SUPPR</v>
      </c>
      <c r="B1348" s="63" t="str">
        <f>IF(SAISIE!G94="","",IF(LEN(SAISIE!B94)=1,CONCATENATE("0",SAISIE!B94,"/",SAISIE!$B$4,"/",SAISIE!$B$5),CONCATENATE(SAISIE!B94,"/",SAISIE!$B$4,"/",SAISIE!$B$5)))</f>
        <v/>
      </c>
      <c r="C1348" s="63" t="str">
        <f>IF(SAISIE!G94="","",SAISIE!$G$8)</f>
        <v/>
      </c>
      <c r="D1348" s="63" t="str">
        <f>IF(SAISIE!G94="","",SAISIE!E94)</f>
        <v/>
      </c>
      <c r="E1348" s="63" t="str">
        <f>IF(SAISIE!G94="","",SAISIE!F94)</f>
        <v/>
      </c>
      <c r="F1348" s="70" t="str">
        <f>IF(SAISIE!$G94="","",IF(SAISIE!$N94="","",SAISIE!$N94))</f>
        <v/>
      </c>
      <c r="G1348" s="63" t="str">
        <f>IF(SAISIE!G94="","",SAISIE!G94)</f>
        <v/>
      </c>
      <c r="H1348" s="63"/>
      <c r="I1348" s="63" t="str">
        <f>IF(SAISIE!$G94="","",SAISIE!$Q94)</f>
        <v/>
      </c>
      <c r="J1348" s="71" t="str">
        <f>IF(COUNTBLANK(SAISIE!$J$6:$M$6)=4,"",IF(SAISIE!G94="","",IF(SAISIE!J94&gt;0,SAISIE!$J$6,IF(SAISIE!K94&gt;0,SAISIE!$K$6,IF(SAISIE!L94&gt;0,SAISIE!$L$6,IF(SAISIE!M94&gt;0,SAISIE!$M$6,""))))))</f>
        <v/>
      </c>
      <c r="O1348" s="59" t="s">
        <v>51</v>
      </c>
    </row>
    <row r="1349" spans="1:15" x14ac:dyDescent="0.25">
      <c r="A1349" s="63" t="str">
        <f>IF(AND(G1349="",H1349=""),"SUPPR",SAISIE!$B$3)</f>
        <v>SUPPR</v>
      </c>
      <c r="B1349" s="63" t="str">
        <f>IF(SAISIE!H94="","",IF(LEN(SAISIE!B94)=1,CONCATENATE("0",SAISIE!B94,"/",SAISIE!$B$4,"/",SAISIE!$B$5),CONCATENATE(SAISIE!B94,"/",SAISIE!$B$4,"/",SAISIE!$B$5)))</f>
        <v/>
      </c>
      <c r="C1349" s="63" t="str">
        <f>IF(SAISIE!H94="","",SAISIE!$H$8)</f>
        <v/>
      </c>
      <c r="D1349" s="63" t="str">
        <f>IF(SAISIE!H94="","",SAISIE!E94)</f>
        <v/>
      </c>
      <c r="E1349" s="63" t="str">
        <f>IF(SAISIE!H94="","",SAISIE!F94)</f>
        <v/>
      </c>
      <c r="F1349" s="70" t="str">
        <f>IF(SAISIE!$H94="","",IF(SAISIE!$N94="","",SAISIE!$N94))</f>
        <v/>
      </c>
      <c r="G1349" s="63" t="str">
        <f>IF(SAISIE!H94="","",SAISIE!H94)</f>
        <v/>
      </c>
      <c r="H1349" s="63"/>
      <c r="I1349" s="63" t="str">
        <f>IF(SAISIE!$H94="","",SAISIE!$Q94)</f>
        <v/>
      </c>
      <c r="J1349" s="71" t="str">
        <f>IF(COUNTBLANK(SAISIE!$J$6:$M$6)=4,"",IF(SAISIE!H94="","",IF(SAISIE!J94&gt;0,SAISIE!$J$6,IF(SAISIE!K94&gt;0,SAISIE!$K$6,IF(SAISIE!L94&gt;0,SAISIE!$L$6,IF(SAISIE!M94&gt;0,SAISIE!$M$6,""))))))</f>
        <v/>
      </c>
      <c r="O1349" s="59" t="s">
        <v>52</v>
      </c>
    </row>
    <row r="1350" spans="1:15" x14ac:dyDescent="0.25">
      <c r="A1350" s="63" t="str">
        <f>IF(AND(G1350="",H1350=""),"SUPPR",SAISIE!$B$3)</f>
        <v>SUPPR</v>
      </c>
      <c r="B1350" s="63" t="str">
        <f>IF(SAISIE!I94="","",IF(LEN(SAISIE!B94)=1,CONCATENATE("0",SAISIE!B94,"/",SAISIE!$B$4,"/",SAISIE!$B$5),CONCATENATE(SAISIE!B94,"/",SAISIE!$B$4,"/",SAISIE!$B$5)))</f>
        <v/>
      </c>
      <c r="C1350" s="63" t="str">
        <f>IF(SAISIE!I94="","",SAISIE!$I$8)</f>
        <v/>
      </c>
      <c r="D1350" s="63" t="str">
        <f>IF(SAISIE!I94="","",SAISIE!E94)</f>
        <v/>
      </c>
      <c r="E1350" s="63" t="str">
        <f>IF(SAISIE!I94="","",SAISIE!F94)</f>
        <v/>
      </c>
      <c r="F1350" s="70" t="str">
        <f>IF(SAISIE!$I94="","",IF(SAISIE!$N94="","",SAISIE!$N94))</f>
        <v/>
      </c>
      <c r="G1350" s="63" t="str">
        <f>IF(SAISIE!I94="","",SAISIE!I94)</f>
        <v/>
      </c>
      <c r="H1350" s="63"/>
      <c r="I1350" s="63" t="str">
        <f>IF(SAISIE!$I94="","",SAISIE!$Q94)</f>
        <v/>
      </c>
      <c r="J1350" s="71" t="str">
        <f>IF(COUNTBLANK(SAISIE!$J$6:$M$6)=4,"",IF(SAISIE!I94="","",IF(SAISIE!J94&gt;0,SAISIE!$J$6,IF(SAISIE!K94&gt;0,SAISIE!$K$6,IF(SAISIE!L94&gt;0,SAISIE!$L$6,IF(SAISIE!M94&gt;0,SAISIE!$M$6,""))))))</f>
        <v/>
      </c>
      <c r="O1350" s="59" t="s">
        <v>53</v>
      </c>
    </row>
    <row r="1351" spans="1:15" x14ac:dyDescent="0.25">
      <c r="A1351" s="63" t="e">
        <f>IF(AND(G1351="",H1351=""),"SUPPR",SAISIE!$B$3)</f>
        <v>#REF!</v>
      </c>
      <c r="B1351" s="63" t="e">
        <f>IF(SAISIE!#REF!="","",IF(LEN(SAISIE!B94)=1,CONCATENATE("0",SAISIE!B94,"/",SAISIE!$B$4,"/",SAISIE!$B$5),CONCATENATE(SAISIE!B94,"/",SAISIE!$B$4,"/",SAISIE!$B$5)))</f>
        <v>#REF!</v>
      </c>
      <c r="C1351" s="63" t="e">
        <f>IF(SAISIE!#REF!="","",SAISIE!#REF!)</f>
        <v>#REF!</v>
      </c>
      <c r="D1351" s="63" t="e">
        <f>IF(SAISIE!#REF!="","",SAISIE!E94)</f>
        <v>#REF!</v>
      </c>
      <c r="E1351" s="63" t="e">
        <f>IF(SAISIE!#REF!="","",SAISIE!F94)</f>
        <v>#REF!</v>
      </c>
      <c r="F1351" s="70" t="e">
        <f>IF(SAISIE!#REF!="","",IF(SAISIE!$N94="","",SAISIE!$N94))</f>
        <v>#REF!</v>
      </c>
      <c r="G1351" s="63" t="e">
        <f>IF(SAISIE!#REF!="","",SAISIE!#REF!)</f>
        <v>#REF!</v>
      </c>
      <c r="H1351" s="63"/>
      <c r="I1351" s="63" t="e">
        <f>IF(SAISIE!#REF!="","",SAISIE!$Q94)</f>
        <v>#REF!</v>
      </c>
      <c r="J1351" s="71" t="str">
        <f>IF(COUNTBLANK(SAISIE!$J$6:$M$6)=4,"",IF(SAISIE!#REF!="","",IF(SAISIE!J94&gt;0,SAISIE!$J$6,IF(SAISIE!K94&gt;0,SAISIE!$K$6,IF(SAISIE!L94&gt;0,SAISIE!$L$6,IF(SAISIE!M94&gt;0,SAISIE!$M$6,""))))))</f>
        <v/>
      </c>
      <c r="O1351" s="59" t="s">
        <v>54</v>
      </c>
    </row>
    <row r="1352" spans="1:15" x14ac:dyDescent="0.25">
      <c r="A1352" s="63" t="e">
        <f>IF(AND(G1352="",H1352=""),"SUPPR",SAISIE!$B$3)</f>
        <v>#REF!</v>
      </c>
      <c r="B1352" s="63" t="e">
        <f>IF(SAISIE!#REF!="","",IF(LEN(SAISIE!B94)=1,CONCATENATE("0",SAISIE!B94,"/",SAISIE!$B$4,"/",SAISIE!$B$5),CONCATENATE(SAISIE!B94,"/",SAISIE!$B$4,"/",SAISIE!$B$5)))</f>
        <v>#REF!</v>
      </c>
      <c r="C1352" s="63" t="e">
        <f>IF(SAISIE!#REF!="","",SAISIE!#REF!)</f>
        <v>#REF!</v>
      </c>
      <c r="D1352" s="63" t="e">
        <f>IF(SAISIE!#REF!="","",SAISIE!E94)</f>
        <v>#REF!</v>
      </c>
      <c r="E1352" s="63" t="e">
        <f>IF(SAISIE!#REF!="","",SAISIE!F94)</f>
        <v>#REF!</v>
      </c>
      <c r="F1352" s="70" t="e">
        <f>IF(SAISIE!#REF!="","",IF(SAISIE!$N94="","",SAISIE!$N94))</f>
        <v>#REF!</v>
      </c>
      <c r="G1352" s="63" t="e">
        <f>IF(SAISIE!#REF!="","",SAISIE!#REF!)</f>
        <v>#REF!</v>
      </c>
      <c r="H1352" s="63"/>
      <c r="I1352" s="63" t="e">
        <f>IF(SAISIE!#REF!="","",SAISIE!$Q94)</f>
        <v>#REF!</v>
      </c>
      <c r="J1352" s="71" t="str">
        <f>IF(COUNTBLANK(SAISIE!$J$6:$M$6)=4,"",IF(SAISIE!#REF!="","",IF(SAISIE!J94&gt;0,SAISIE!$J$6,IF(SAISIE!K94&gt;0,SAISIE!$K$6,IF(SAISIE!L94&gt;0,SAISIE!$L$6,IF(SAISIE!M94&gt;0,SAISIE!$M$6,""))))))</f>
        <v/>
      </c>
      <c r="O1352" s="59" t="s">
        <v>55</v>
      </c>
    </row>
    <row r="1353" spans="1:15" x14ac:dyDescent="0.25">
      <c r="A1353" s="63" t="e">
        <f>IF(AND(G1353="",H1353=""),"SUPPR",SAISIE!$B$3)</f>
        <v>#REF!</v>
      </c>
      <c r="B1353" s="63" t="e">
        <f>IF(SAISIE!#REF!="","",IF(LEN(SAISIE!B94)=1,CONCATENATE("0",SAISIE!B94,"/",SAISIE!$B$4,"/",SAISIE!$B$5),CONCATENATE(SAISIE!B94,"/",SAISIE!$B$4,"/",SAISIE!$B$5)))</f>
        <v>#REF!</v>
      </c>
      <c r="C1353" s="63" t="e">
        <f>IF(SAISIE!#REF!="","",SAISIE!#REF!)</f>
        <v>#REF!</v>
      </c>
      <c r="D1353" s="63" t="e">
        <f>IF(SAISIE!#REF!="","",SAISIE!E94)</f>
        <v>#REF!</v>
      </c>
      <c r="E1353" s="63" t="e">
        <f>IF(SAISIE!#REF!="","",SAISIE!F94)</f>
        <v>#REF!</v>
      </c>
      <c r="F1353" s="70" t="e">
        <f>IF(SAISIE!#REF!="","",IF(SAISIE!$N94="","",SAISIE!$N94))</f>
        <v>#REF!</v>
      </c>
      <c r="G1353" s="63" t="e">
        <f>IF(SAISIE!#REF!="","",SAISIE!#REF!)</f>
        <v>#REF!</v>
      </c>
      <c r="H1353" s="63"/>
      <c r="I1353" s="63" t="e">
        <f>IF(SAISIE!#REF!="","",SAISIE!$Q94)</f>
        <v>#REF!</v>
      </c>
      <c r="J1353" s="71" t="str">
        <f>IF(COUNTBLANK(SAISIE!$J$6:$M$6)=4,"",IF(SAISIE!#REF!="","",IF(SAISIE!J94&gt;0,SAISIE!$J$6,IF(SAISIE!K94&gt;0,SAISIE!$K$6,IF(SAISIE!L94&gt;0,SAISIE!$L$6,IF(SAISIE!M94&gt;0,SAISIE!$M$6,""))))))</f>
        <v/>
      </c>
      <c r="O1353" s="59" t="s">
        <v>56</v>
      </c>
    </row>
    <row r="1354" spans="1:15" x14ac:dyDescent="0.25">
      <c r="A1354" s="63" t="e">
        <f>IF(AND(G1354="",H1354=""),"SUPPR",SAISIE!$B$3)</f>
        <v>#REF!</v>
      </c>
      <c r="B1354" s="63" t="e">
        <f>IF(SAISIE!#REF!="","",IF(LEN(SAISIE!B94)=1,CONCATENATE("0",SAISIE!B94,"/",SAISIE!$B$4,"/",SAISIE!$B$5),CONCATENATE(SAISIE!B94,"/",SAISIE!$B$4,"/",SAISIE!$B$5)))</f>
        <v>#REF!</v>
      </c>
      <c r="C1354" s="63" t="e">
        <f>IF(SAISIE!#REF!="","",SAISIE!#REF!)</f>
        <v>#REF!</v>
      </c>
      <c r="D1354" s="63" t="e">
        <f>IF(SAISIE!#REF!="","",SAISIE!E94)</f>
        <v>#REF!</v>
      </c>
      <c r="E1354" s="63" t="e">
        <f>IF(SAISIE!#REF!="","",SAISIE!F94)</f>
        <v>#REF!</v>
      </c>
      <c r="F1354" s="70" t="e">
        <f>IF(SAISIE!#REF!="","",IF(SAISIE!$N94="","",SAISIE!$N94))</f>
        <v>#REF!</v>
      </c>
      <c r="G1354" s="63" t="e">
        <f>IF(SAISIE!#REF!="","",SAISIE!#REF!)</f>
        <v>#REF!</v>
      </c>
      <c r="H1354" s="63"/>
      <c r="I1354" s="63" t="e">
        <f>IF(SAISIE!#REF!="","",SAISIE!$Q94)</f>
        <v>#REF!</v>
      </c>
      <c r="J1354" s="71" t="str">
        <f>IF(COUNTBLANK(SAISIE!$J$6:$M$6)=4,"",IF(SAISIE!#REF!="","",IF(SAISIE!J94&gt;0,SAISIE!$J$6,IF(SAISIE!K94&gt;0,SAISIE!$K$6,IF(SAISIE!L94&gt;0,SAISIE!$L$6,IF(SAISIE!M94&gt;0,SAISIE!$M$6,""))))))</f>
        <v/>
      </c>
      <c r="O1354" s="59" t="s">
        <v>57</v>
      </c>
    </row>
    <row r="1355" spans="1:15" x14ac:dyDescent="0.25">
      <c r="A1355" s="63" t="e">
        <f>IF(AND(G1355="",H1355=""),"SUPPR",SAISIE!$B$3)</f>
        <v>#REF!</v>
      </c>
      <c r="B1355" s="63" t="e">
        <f>IF(SAISIE!#REF!="","",IF(LEN(SAISIE!B94)=1,CONCATENATE("0",SAISIE!B94,"/",SAISIE!$B$4,"/",SAISIE!$B$5),CONCATENATE(SAISIE!B94,"/",SAISIE!$B$4,"/",SAISIE!$B$5)))</f>
        <v>#REF!</v>
      </c>
      <c r="C1355" s="63" t="e">
        <f>IF(SAISIE!#REF!="","",SAISIE!#REF!)</f>
        <v>#REF!</v>
      </c>
      <c r="D1355" s="63" t="e">
        <f>IF(SAISIE!#REF!="","",SAISIE!E94)</f>
        <v>#REF!</v>
      </c>
      <c r="E1355" s="63" t="e">
        <f>IF(SAISIE!#REF!="","",SAISIE!F94)</f>
        <v>#REF!</v>
      </c>
      <c r="F1355" s="70" t="e">
        <f>IF(SAISIE!#REF!="","",IF(SAISIE!$N94="","",SAISIE!$N94))</f>
        <v>#REF!</v>
      </c>
      <c r="G1355" s="63" t="e">
        <f>IF(SAISIE!#REF!="","",SAISIE!#REF!)</f>
        <v>#REF!</v>
      </c>
      <c r="H1355" s="63"/>
      <c r="I1355" s="63" t="e">
        <f>IF(SAISIE!#REF!="","",SAISIE!$Q94)</f>
        <v>#REF!</v>
      </c>
      <c r="J1355" s="71" t="str">
        <f>IF(COUNTBLANK(SAISIE!$J$6:$M$6)=4,"",IF(SAISIE!#REF!="","",IF(SAISIE!J94&gt;0,SAISIE!$J$6,IF(SAISIE!K94&gt;0,SAISIE!$K$6,IF(SAISIE!L94&gt;0,SAISIE!$L$6,IF(SAISIE!M94&gt;0,SAISIE!$M$6,""))))))</f>
        <v/>
      </c>
      <c r="O1355" s="59" t="s">
        <v>58</v>
      </c>
    </row>
    <row r="1356" spans="1:15" x14ac:dyDescent="0.25">
      <c r="A1356" s="63" t="e">
        <f>IF(AND(G1356="",H1356=""),"SUPPR",SAISIE!$B$3)</f>
        <v>#REF!</v>
      </c>
      <c r="B1356" s="63" t="e">
        <f>IF(SAISIE!#REF!="","",IF(LEN(SAISIE!B94)=1,CONCATENATE("0",SAISIE!B94,"/",SAISIE!$B$4,"/",SAISIE!$B$5),CONCATENATE(SAISIE!B94,"/",SAISIE!$B$4,"/",SAISIE!$B$5)))</f>
        <v>#REF!</v>
      </c>
      <c r="C1356" s="63" t="e">
        <f>IF(SAISIE!#REF!="","",SAISIE!#REF!)</f>
        <v>#REF!</v>
      </c>
      <c r="D1356" s="63" t="e">
        <f>IF(SAISIE!#REF!="","",SAISIE!E94)</f>
        <v>#REF!</v>
      </c>
      <c r="E1356" s="63" t="e">
        <f>IF(SAISIE!#REF!="","",SAISIE!F94)</f>
        <v>#REF!</v>
      </c>
      <c r="F1356" s="70" t="e">
        <f>IF(SAISIE!#REF!="","",IF(SAISIE!$N94="","",SAISIE!$N94))</f>
        <v>#REF!</v>
      </c>
      <c r="G1356" s="63" t="e">
        <f>IF(SAISIE!#REF!="","",SAISIE!#REF!)</f>
        <v>#REF!</v>
      </c>
      <c r="H1356" s="63"/>
      <c r="I1356" s="63" t="e">
        <f>IF(SAISIE!#REF!="","",SAISIE!$Q94)</f>
        <v>#REF!</v>
      </c>
      <c r="J1356" s="71" t="str">
        <f>IF(COUNTBLANK(SAISIE!$J$6:$M$6)=4,"",IF(SAISIE!#REF!="","",IF(SAISIE!J94&gt;0,SAISIE!$J$6,IF(SAISIE!K94&gt;0,SAISIE!$K$6,IF(SAISIE!L94&gt;0,SAISIE!$L$6,IF(SAISIE!M94&gt;0,SAISIE!$M$6,""))))))</f>
        <v/>
      </c>
      <c r="O1356" s="59" t="s">
        <v>59</v>
      </c>
    </row>
    <row r="1357" spans="1:15" x14ac:dyDescent="0.25">
      <c r="A1357" s="63" t="e">
        <f>IF(AND(G1357="",H1357=""),"SUPPR",SAISIE!$B$3)</f>
        <v>#REF!</v>
      </c>
      <c r="B1357" s="63" t="e">
        <f>IF(SAISIE!#REF!="","",IF(LEN(SAISIE!B94)=1,CONCATENATE("0",SAISIE!B94,"/",SAISIE!$B$4,"/",SAISIE!$B$5),CONCATENATE(SAISIE!B94,"/",SAISIE!$B$4,"/",SAISIE!$B$5)))</f>
        <v>#REF!</v>
      </c>
      <c r="C1357" s="63" t="e">
        <f>IF(SAISIE!#REF!="","",SAISIE!#REF!)</f>
        <v>#REF!</v>
      </c>
      <c r="D1357" s="63" t="e">
        <f>IF(SAISIE!#REF!="","",SAISIE!E94)</f>
        <v>#REF!</v>
      </c>
      <c r="E1357" s="63" t="e">
        <f>IF(SAISIE!#REF!="","",SAISIE!F94)</f>
        <v>#REF!</v>
      </c>
      <c r="F1357" s="70" t="e">
        <f>IF(SAISIE!#REF!="","",IF(SAISIE!$N94="","",SAISIE!$N94))</f>
        <v>#REF!</v>
      </c>
      <c r="G1357" s="63" t="e">
        <f>IF(SAISIE!#REF!="","",SAISIE!#REF!)</f>
        <v>#REF!</v>
      </c>
      <c r="H1357" s="63"/>
      <c r="I1357" s="63" t="e">
        <f>IF(SAISIE!#REF!="","",SAISIE!$Q94)</f>
        <v>#REF!</v>
      </c>
      <c r="J1357" s="71" t="str">
        <f>IF(COUNTBLANK(SAISIE!$J$6:$M$6)=4,"",IF(SAISIE!#REF!="","",IF(SAISIE!J94&gt;0,SAISIE!$J$6,IF(SAISIE!K94&gt;0,SAISIE!$K$6,IF(SAISIE!L94&gt;0,SAISIE!$L$6,IF(SAISIE!M94&gt;0,SAISIE!$M$6,""))))))</f>
        <v/>
      </c>
      <c r="O1357" s="59" t="s">
        <v>60</v>
      </c>
    </row>
    <row r="1358" spans="1:15" x14ac:dyDescent="0.25">
      <c r="A1358" s="63" t="str">
        <f>IF(AND(G1358="",H1358=""),"SUPPR",SAISIE!$B$3)</f>
        <v>SUPPR</v>
      </c>
      <c r="B1358" s="63" t="str">
        <f>IF(SAISIE!J94="","",IF(LEN(SAISIE!B94)=1,CONCATENATE("0",SAISIE!B94,"/",SAISIE!$B$4,"/",SAISIE!$B$5),CONCATENATE(SAISIE!B94,"/",SAISIE!$B$4,"/",SAISIE!$B$5)))</f>
        <v/>
      </c>
      <c r="C1358" s="63" t="str">
        <f>IF(SAISIE!J94="","",SAISIE!$J$8)</f>
        <v/>
      </c>
      <c r="D1358" s="63" t="str">
        <f>IF(SAISIE!J94="","",SAISIE!E94)</f>
        <v/>
      </c>
      <c r="E1358" s="63" t="str">
        <f>IF(SAISIE!J94="","",SAISIE!F94)</f>
        <v/>
      </c>
      <c r="F1358" s="70" t="str">
        <f>IF(SAISIE!$J94="","",IF(SAISIE!$N94="","",SAISIE!$N94))</f>
        <v/>
      </c>
      <c r="G1358" s="63" t="str">
        <f>IF(SAISIE!J94="","",SAISIE!J94)</f>
        <v/>
      </c>
      <c r="H1358" s="63"/>
      <c r="I1358" s="72"/>
      <c r="J1358" s="71"/>
      <c r="O1358" s="73"/>
    </row>
    <row r="1359" spans="1:15" x14ac:dyDescent="0.25">
      <c r="A1359" s="63" t="str">
        <f>IF(AND(G1359="",H1359=""),"SUPPR",SAISIE!$B$3)</f>
        <v>SUPPR</v>
      </c>
      <c r="B1359" s="63" t="str">
        <f>IF(SAISIE!K94="","",IF(LEN(SAISIE!B94)=1,CONCATENATE("0",SAISIE!B94,"/",SAISIE!$B$4,"/",SAISIE!$B$5),CONCATENATE(SAISIE!B94,"/",SAISIE!$B$4,"/",SAISIE!$B$5)))</f>
        <v/>
      </c>
      <c r="C1359" s="63" t="str">
        <f>IF(SAISIE!K94="","",SAISIE!$K$8)</f>
        <v/>
      </c>
      <c r="D1359" s="63" t="str">
        <f>IF(SAISIE!K94="","",SAISIE!E94)</f>
        <v/>
      </c>
      <c r="E1359" s="63" t="str">
        <f>IF(SAISIE!K94="","",SAISIE!F94)</f>
        <v/>
      </c>
      <c r="F1359" s="70" t="str">
        <f>IF(SAISIE!$K94="","",IF(SAISIE!$N94="","",SAISIE!$N94))</f>
        <v/>
      </c>
      <c r="G1359" s="63" t="str">
        <f>IF(SAISIE!K94="","",SAISIE!K94)</f>
        <v/>
      </c>
      <c r="H1359" s="63"/>
      <c r="I1359" s="72"/>
      <c r="J1359" s="71"/>
    </row>
    <row r="1360" spans="1:15" x14ac:dyDescent="0.25">
      <c r="A1360" s="63" t="str">
        <f>IF(AND(G1360="",H1360=""),"SUPPR",SAISIE!$B$3)</f>
        <v>SUPPR</v>
      </c>
      <c r="B1360" s="63" t="str">
        <f>IF(SAISIE!L94="","",IF(LEN(SAISIE!B94)=1,CONCATENATE("0",SAISIE!B94,"/",SAISIE!$B$4,"/",SAISIE!$B$5),CONCATENATE(SAISIE!B94,"/",SAISIE!$B$4,"/",SAISIE!$B$5)))</f>
        <v/>
      </c>
      <c r="C1360" s="63" t="str">
        <f>IF(SAISIE!L94="","",SAISIE!$L$8)</f>
        <v/>
      </c>
      <c r="D1360" s="63" t="str">
        <f>IF(SAISIE!L94="","",SAISIE!E94)</f>
        <v/>
      </c>
      <c r="E1360" s="63" t="str">
        <f>IF(SAISIE!L94="","",SAISIE!F94)</f>
        <v/>
      </c>
      <c r="F1360" s="70" t="str">
        <f>IF(SAISIE!$L94="","",IF(SAISIE!$N94="","",SAISIE!$N94))</f>
        <v/>
      </c>
      <c r="G1360" s="63" t="str">
        <f>IF(SAISIE!L94="","",SAISIE!L94)</f>
        <v/>
      </c>
      <c r="H1360" s="63"/>
      <c r="I1360" s="72"/>
      <c r="J1360" s="71"/>
    </row>
    <row r="1361" spans="1:15" x14ac:dyDescent="0.25">
      <c r="A1361" s="63" t="str">
        <f>IF(AND(G1361="",H1361=""),"SUPPR",SAISIE!$B$3)</f>
        <v>SUPPR</v>
      </c>
      <c r="B1361" s="63" t="str">
        <f>IF(SAISIE!M94="","",IF(LEN(SAISIE!B94)=1,CONCATENATE("0",SAISIE!B94,"/",SAISIE!$B$4,"/",SAISIE!$B$5),CONCATENATE(SAISIE!B94,"/",SAISIE!$B$4,"/",SAISIE!$B$5)))</f>
        <v/>
      </c>
      <c r="C1361" s="74" t="str">
        <f>IF(SAISIE!M94="","",SAISIE!$M$8)</f>
        <v/>
      </c>
      <c r="D1361" s="74" t="str">
        <f>IF(SAISIE!M94="","",SAISIE!E94)</f>
        <v/>
      </c>
      <c r="E1361" s="74" t="str">
        <f>IF(SAISIE!M94="","",SAISIE!F94)</f>
        <v/>
      </c>
      <c r="F1361" s="75" t="str">
        <f>IF(SAISIE!$M94="","",IF(SAISIE!$N94="","",SAISIE!$N94))</f>
        <v/>
      </c>
      <c r="G1361" s="74" t="str">
        <f>IF(SAISIE!M94="","",SAISIE!M94)</f>
        <v/>
      </c>
      <c r="H1361" s="76"/>
      <c r="I1361" s="77"/>
      <c r="J1361" s="78"/>
    </row>
    <row r="1362" spans="1:15" x14ac:dyDescent="0.25">
      <c r="A1362" s="63" t="str">
        <f>IF(AND(G1362="",H1362=""),"SUPPR",SAISIE!$B$3)</f>
        <v>SUPPR</v>
      </c>
      <c r="B1362" s="64" t="str">
        <f>IF(SAISIE!B95="","",IF(LEN(SAISIE!B95)=1,CONCATENATE("0",SAISIE!B95,"/",SAISIE!$B$4,"/",SAISIE!$B$5),CONCATENATE(SAISIE!B95,"/",SAISIE!$B$4,"/",SAISIE!$B$5)))</f>
        <v/>
      </c>
      <c r="C1362" s="64" t="str">
        <f>IF(SAISIE!B95="","",CONCATENATE($M$2,SAISIE!C95))</f>
        <v/>
      </c>
      <c r="D1362" s="64" t="str">
        <f>IF(SAISIE!B95="","",SAISIE!E95)</f>
        <v/>
      </c>
      <c r="E1362" s="64" t="str">
        <f>IF(SAISIE!B95="","",SAISIE!F95)</f>
        <v/>
      </c>
      <c r="F1362" s="65" t="str">
        <f>IF(A1362="SUPPR","",IF(SAISIE!$N95="","",SAISIE!$N95))</f>
        <v/>
      </c>
      <c r="G1362" s="64"/>
      <c r="H1362" s="64" t="str">
        <f>IF(SAISIE!B95="","",SAISIE!D95)</f>
        <v/>
      </c>
      <c r="I1362" s="66"/>
      <c r="J1362" s="67" t="str">
        <f>IF(AZ95="","","")</f>
        <v/>
      </c>
      <c r="O1362" s="69">
        <f>O1346+1</f>
        <v>95</v>
      </c>
    </row>
    <row r="1363" spans="1:15" x14ac:dyDescent="0.25">
      <c r="A1363" s="63" t="str">
        <f>IF(AND(G1363="",H1363=""),"SUPPR",SAISIE!$B$3)</f>
        <v>SUPPR</v>
      </c>
      <c r="B1363" s="63" t="str">
        <f>IF(SAISIE!P95="","",IF(LEN(SAISIE!B95)=1,CONCATENATE("0",SAISIE!B95,"/",SAISIE!$B$4,"/",SAISIE!$B$5),CONCATENATE(SAISIE!B95,"/",SAISIE!$B$4,"/",SAISIE!$B$5)))</f>
        <v/>
      </c>
      <c r="C1363" s="63" t="str">
        <f>IF(SAISIE!P95="","",SAISIE!O95)</f>
        <v/>
      </c>
      <c r="D1363" s="63" t="str">
        <f>IF(SAISIE!P95="","",SAISIE!E95)</f>
        <v/>
      </c>
      <c r="E1363" s="63" t="str">
        <f>IF(SAISIE!P95="","",SAISIE!F95)</f>
        <v/>
      </c>
      <c r="F1363" s="70" t="str">
        <f>IF(SAISIE!$P95="","",IF(SAISIE!$N95="","",SAISIE!$N95))</f>
        <v/>
      </c>
      <c r="G1363" s="63" t="str">
        <f>IF(SAISIE!P95="","",SAISIE!P95)</f>
        <v/>
      </c>
      <c r="H1363" s="63"/>
      <c r="I1363" s="63" t="str">
        <f>IF(SAISIE!$P95="","",SAISIE!$Q95)</f>
        <v/>
      </c>
      <c r="J1363" s="71" t="str">
        <f>IF(COUNTBLANK(SAISIE!$J$6:$M$6)=4,"",IF(SAISIE!P95="","",IF(SAISIE!J95&gt;0,SAISIE!$J$6,IF(SAISIE!K95&gt;0,SAISIE!$K$6,IF(SAISIE!L95&gt;0,SAISIE!$L$6,IF(SAISIE!M95&gt;0,SAISIE!$M$6,""))))))</f>
        <v/>
      </c>
      <c r="O1363" s="59" t="s">
        <v>50</v>
      </c>
    </row>
    <row r="1364" spans="1:15" x14ac:dyDescent="0.25">
      <c r="A1364" s="63" t="str">
        <f>IF(AND(G1364="",H1364=""),"SUPPR",SAISIE!$B$3)</f>
        <v>SUPPR</v>
      </c>
      <c r="B1364" s="63" t="str">
        <f>IF(SAISIE!G95="","",IF(LEN(SAISIE!B95)=1,CONCATENATE("0",SAISIE!B95,"/",SAISIE!$B$4,"/",SAISIE!$B$5),CONCATENATE(SAISIE!B95,"/",SAISIE!$B$4,"/",SAISIE!$B$5)))</f>
        <v/>
      </c>
      <c r="C1364" s="63" t="str">
        <f>IF(SAISIE!G95="","",SAISIE!$G$8)</f>
        <v/>
      </c>
      <c r="D1364" s="63" t="str">
        <f>IF(SAISIE!G95="","",SAISIE!E95)</f>
        <v/>
      </c>
      <c r="E1364" s="63" t="str">
        <f>IF(SAISIE!G95="","",SAISIE!F95)</f>
        <v/>
      </c>
      <c r="F1364" s="70" t="str">
        <f>IF(SAISIE!$G95="","",IF(SAISIE!$N95="","",SAISIE!$N95))</f>
        <v/>
      </c>
      <c r="G1364" s="63" t="str">
        <f>IF(SAISIE!G95="","",SAISIE!G95)</f>
        <v/>
      </c>
      <c r="H1364" s="63"/>
      <c r="I1364" s="63" t="str">
        <f>IF(SAISIE!$G95="","",SAISIE!$Q95)</f>
        <v/>
      </c>
      <c r="J1364" s="71" t="str">
        <f>IF(COUNTBLANK(SAISIE!$J$6:$M$6)=4,"",IF(SAISIE!G95="","",IF(SAISIE!J95&gt;0,SAISIE!$J$6,IF(SAISIE!K95&gt;0,SAISIE!$K$6,IF(SAISIE!L95&gt;0,SAISIE!$L$6,IF(SAISIE!M95&gt;0,SAISIE!$M$6,""))))))</f>
        <v/>
      </c>
      <c r="O1364" s="59" t="s">
        <v>51</v>
      </c>
    </row>
    <row r="1365" spans="1:15" x14ac:dyDescent="0.25">
      <c r="A1365" s="63" t="str">
        <f>IF(AND(G1365="",H1365=""),"SUPPR",SAISIE!$B$3)</f>
        <v>SUPPR</v>
      </c>
      <c r="B1365" s="63" t="str">
        <f>IF(SAISIE!H95="","",IF(LEN(SAISIE!B95)=1,CONCATENATE("0",SAISIE!B95,"/",SAISIE!$B$4,"/",SAISIE!$B$5),CONCATENATE(SAISIE!B95,"/",SAISIE!$B$4,"/",SAISIE!$B$5)))</f>
        <v/>
      </c>
      <c r="C1365" s="63" t="str">
        <f>IF(SAISIE!H95="","",SAISIE!$H$8)</f>
        <v/>
      </c>
      <c r="D1365" s="63" t="str">
        <f>IF(SAISIE!H95="","",SAISIE!E95)</f>
        <v/>
      </c>
      <c r="E1365" s="63" t="str">
        <f>IF(SAISIE!H95="","",SAISIE!F95)</f>
        <v/>
      </c>
      <c r="F1365" s="70" t="str">
        <f>IF(SAISIE!$H95="","",IF(SAISIE!$N95="","",SAISIE!$N95))</f>
        <v/>
      </c>
      <c r="G1365" s="63" t="str">
        <f>IF(SAISIE!H95="","",SAISIE!H95)</f>
        <v/>
      </c>
      <c r="H1365" s="63"/>
      <c r="I1365" s="63" t="str">
        <f>IF(SAISIE!$H95="","",SAISIE!$Q95)</f>
        <v/>
      </c>
      <c r="J1365" s="71" t="str">
        <f>IF(COUNTBLANK(SAISIE!$J$6:$M$6)=4,"",IF(SAISIE!H95="","",IF(SAISIE!J95&gt;0,SAISIE!$J$6,IF(SAISIE!K95&gt;0,SAISIE!$K$6,IF(SAISIE!L95&gt;0,SAISIE!$L$6,IF(SAISIE!M95&gt;0,SAISIE!$M$6,""))))))</f>
        <v/>
      </c>
      <c r="O1365" s="59" t="s">
        <v>52</v>
      </c>
    </row>
    <row r="1366" spans="1:15" x14ac:dyDescent="0.25">
      <c r="A1366" s="63" t="str">
        <f>IF(AND(G1366="",H1366=""),"SUPPR",SAISIE!$B$3)</f>
        <v>SUPPR</v>
      </c>
      <c r="B1366" s="63" t="str">
        <f>IF(SAISIE!I95="","",IF(LEN(SAISIE!B95)=1,CONCATENATE("0",SAISIE!B95,"/",SAISIE!$B$4,"/",SAISIE!$B$5),CONCATENATE(SAISIE!B95,"/",SAISIE!$B$4,"/",SAISIE!$B$5)))</f>
        <v/>
      </c>
      <c r="C1366" s="63" t="str">
        <f>IF(SAISIE!I95="","",SAISIE!$I$8)</f>
        <v/>
      </c>
      <c r="D1366" s="63" t="str">
        <f>IF(SAISIE!I95="","",SAISIE!E95)</f>
        <v/>
      </c>
      <c r="E1366" s="63" t="str">
        <f>IF(SAISIE!I95="","",SAISIE!F95)</f>
        <v/>
      </c>
      <c r="F1366" s="70" t="str">
        <f>IF(SAISIE!$I95="","",IF(SAISIE!$N95="","",SAISIE!$N95))</f>
        <v/>
      </c>
      <c r="G1366" s="63" t="str">
        <f>IF(SAISIE!I95="","",SAISIE!I95)</f>
        <v/>
      </c>
      <c r="H1366" s="63"/>
      <c r="I1366" s="63" t="str">
        <f>IF(SAISIE!$I95="","",SAISIE!$Q95)</f>
        <v/>
      </c>
      <c r="J1366" s="71" t="str">
        <f>IF(COUNTBLANK(SAISIE!$J$6:$M$6)=4,"",IF(SAISIE!I95="","",IF(SAISIE!J95&gt;0,SAISIE!$J$6,IF(SAISIE!K95&gt;0,SAISIE!$K$6,IF(SAISIE!L95&gt;0,SAISIE!$L$6,IF(SAISIE!M95&gt;0,SAISIE!$M$6,""))))))</f>
        <v/>
      </c>
      <c r="O1366" s="59" t="s">
        <v>53</v>
      </c>
    </row>
    <row r="1367" spans="1:15" x14ac:dyDescent="0.25">
      <c r="A1367" s="63" t="e">
        <f>IF(AND(G1367="",H1367=""),"SUPPR",SAISIE!$B$3)</f>
        <v>#REF!</v>
      </c>
      <c r="B1367" s="63" t="e">
        <f>IF(SAISIE!#REF!="","",IF(LEN(SAISIE!B95)=1,CONCATENATE("0",SAISIE!B95,"/",SAISIE!$B$4,"/",SAISIE!$B$5),CONCATENATE(SAISIE!B95,"/",SAISIE!$B$4,"/",SAISIE!$B$5)))</f>
        <v>#REF!</v>
      </c>
      <c r="C1367" s="63" t="e">
        <f>IF(SAISIE!#REF!="","",SAISIE!#REF!)</f>
        <v>#REF!</v>
      </c>
      <c r="D1367" s="63" t="e">
        <f>IF(SAISIE!#REF!="","",SAISIE!E95)</f>
        <v>#REF!</v>
      </c>
      <c r="E1367" s="63" t="e">
        <f>IF(SAISIE!#REF!="","",SAISIE!F95)</f>
        <v>#REF!</v>
      </c>
      <c r="F1367" s="70" t="e">
        <f>IF(SAISIE!#REF!="","",IF(SAISIE!$N95="","",SAISIE!$N95))</f>
        <v>#REF!</v>
      </c>
      <c r="G1367" s="63" t="e">
        <f>IF(SAISIE!#REF!="","",SAISIE!#REF!)</f>
        <v>#REF!</v>
      </c>
      <c r="H1367" s="63"/>
      <c r="I1367" s="63" t="e">
        <f>IF(SAISIE!#REF!="","",SAISIE!$Q95)</f>
        <v>#REF!</v>
      </c>
      <c r="J1367" s="71" t="str">
        <f>IF(COUNTBLANK(SAISIE!$J$6:$M$6)=4,"",IF(SAISIE!#REF!="","",IF(SAISIE!J95&gt;0,SAISIE!$J$6,IF(SAISIE!K95&gt;0,SAISIE!$K$6,IF(SAISIE!L95&gt;0,SAISIE!$L$6,IF(SAISIE!M95&gt;0,SAISIE!$M$6,""))))))</f>
        <v/>
      </c>
      <c r="O1367" s="59" t="s">
        <v>54</v>
      </c>
    </row>
    <row r="1368" spans="1:15" x14ac:dyDescent="0.25">
      <c r="A1368" s="63" t="e">
        <f>IF(AND(G1368="",H1368=""),"SUPPR",SAISIE!$B$3)</f>
        <v>#REF!</v>
      </c>
      <c r="B1368" s="63" t="e">
        <f>IF(SAISIE!#REF!="","",IF(LEN(SAISIE!B95)=1,CONCATENATE("0",SAISIE!B95,"/",SAISIE!$B$4,"/",SAISIE!$B$5),CONCATENATE(SAISIE!B95,"/",SAISIE!$B$4,"/",SAISIE!$B$5)))</f>
        <v>#REF!</v>
      </c>
      <c r="C1368" s="63" t="e">
        <f>IF(SAISIE!#REF!="","",SAISIE!#REF!)</f>
        <v>#REF!</v>
      </c>
      <c r="D1368" s="63" t="e">
        <f>IF(SAISIE!#REF!="","",SAISIE!E95)</f>
        <v>#REF!</v>
      </c>
      <c r="E1368" s="63" t="e">
        <f>IF(SAISIE!#REF!="","",SAISIE!F95)</f>
        <v>#REF!</v>
      </c>
      <c r="F1368" s="70" t="e">
        <f>IF(SAISIE!#REF!="","",IF(SAISIE!$N95="","",SAISIE!$N95))</f>
        <v>#REF!</v>
      </c>
      <c r="G1368" s="63" t="e">
        <f>IF(SAISIE!#REF!="","",SAISIE!#REF!)</f>
        <v>#REF!</v>
      </c>
      <c r="H1368" s="63"/>
      <c r="I1368" s="63" t="e">
        <f>IF(SAISIE!#REF!="","",SAISIE!$Q95)</f>
        <v>#REF!</v>
      </c>
      <c r="J1368" s="71" t="str">
        <f>IF(COUNTBLANK(SAISIE!$J$6:$M$6)=4,"",IF(SAISIE!#REF!="","",IF(SAISIE!J95&gt;0,SAISIE!$J$6,IF(SAISIE!K95&gt;0,SAISIE!$K$6,IF(SAISIE!L95&gt;0,SAISIE!$L$6,IF(SAISIE!M95&gt;0,SAISIE!$M$6,""))))))</f>
        <v/>
      </c>
      <c r="O1368" s="59" t="s">
        <v>55</v>
      </c>
    </row>
    <row r="1369" spans="1:15" x14ac:dyDescent="0.25">
      <c r="A1369" s="63" t="e">
        <f>IF(AND(G1369="",H1369=""),"SUPPR",SAISIE!$B$3)</f>
        <v>#REF!</v>
      </c>
      <c r="B1369" s="63" t="e">
        <f>IF(SAISIE!#REF!="","",IF(LEN(SAISIE!B95)=1,CONCATENATE("0",SAISIE!B95,"/",SAISIE!$B$4,"/",SAISIE!$B$5),CONCATENATE(SAISIE!B95,"/",SAISIE!$B$4,"/",SAISIE!$B$5)))</f>
        <v>#REF!</v>
      </c>
      <c r="C1369" s="63" t="e">
        <f>IF(SAISIE!#REF!="","",SAISIE!#REF!)</f>
        <v>#REF!</v>
      </c>
      <c r="D1369" s="63" t="e">
        <f>IF(SAISIE!#REF!="","",SAISIE!E95)</f>
        <v>#REF!</v>
      </c>
      <c r="E1369" s="63" t="e">
        <f>IF(SAISIE!#REF!="","",SAISIE!F95)</f>
        <v>#REF!</v>
      </c>
      <c r="F1369" s="70" t="e">
        <f>IF(SAISIE!#REF!="","",IF(SAISIE!$N95="","",SAISIE!$N95))</f>
        <v>#REF!</v>
      </c>
      <c r="G1369" s="63" t="e">
        <f>IF(SAISIE!#REF!="","",SAISIE!#REF!)</f>
        <v>#REF!</v>
      </c>
      <c r="H1369" s="63"/>
      <c r="I1369" s="63" t="e">
        <f>IF(SAISIE!#REF!="","",SAISIE!$Q95)</f>
        <v>#REF!</v>
      </c>
      <c r="J1369" s="71" t="str">
        <f>IF(COUNTBLANK(SAISIE!$J$6:$M$6)=4,"",IF(SAISIE!#REF!="","",IF(SAISIE!J95&gt;0,SAISIE!$J$6,IF(SAISIE!K95&gt;0,SAISIE!$K$6,IF(SAISIE!L95&gt;0,SAISIE!$L$6,IF(SAISIE!M95&gt;0,SAISIE!$M$6,""))))))</f>
        <v/>
      </c>
      <c r="O1369" s="59" t="s">
        <v>56</v>
      </c>
    </row>
    <row r="1370" spans="1:15" x14ac:dyDescent="0.25">
      <c r="A1370" s="63" t="e">
        <f>IF(AND(G1370="",H1370=""),"SUPPR",SAISIE!$B$3)</f>
        <v>#REF!</v>
      </c>
      <c r="B1370" s="63" t="e">
        <f>IF(SAISIE!#REF!="","",IF(LEN(SAISIE!B95)=1,CONCATENATE("0",SAISIE!B95,"/",SAISIE!$B$4,"/",SAISIE!$B$5),CONCATENATE(SAISIE!B95,"/",SAISIE!$B$4,"/",SAISIE!$B$5)))</f>
        <v>#REF!</v>
      </c>
      <c r="C1370" s="63" t="e">
        <f>IF(SAISIE!#REF!="","",SAISIE!#REF!)</f>
        <v>#REF!</v>
      </c>
      <c r="D1370" s="63" t="e">
        <f>IF(SAISIE!#REF!="","",SAISIE!E95)</f>
        <v>#REF!</v>
      </c>
      <c r="E1370" s="63" t="e">
        <f>IF(SAISIE!#REF!="","",SAISIE!F95)</f>
        <v>#REF!</v>
      </c>
      <c r="F1370" s="70" t="e">
        <f>IF(SAISIE!#REF!="","",IF(SAISIE!$N95="","",SAISIE!$N95))</f>
        <v>#REF!</v>
      </c>
      <c r="G1370" s="63" t="e">
        <f>IF(SAISIE!#REF!="","",SAISIE!#REF!)</f>
        <v>#REF!</v>
      </c>
      <c r="H1370" s="63"/>
      <c r="I1370" s="63" t="e">
        <f>IF(SAISIE!#REF!="","",SAISIE!$Q95)</f>
        <v>#REF!</v>
      </c>
      <c r="J1370" s="71" t="str">
        <f>IF(COUNTBLANK(SAISIE!$J$6:$M$6)=4,"",IF(SAISIE!#REF!="","",IF(SAISIE!J95&gt;0,SAISIE!$J$6,IF(SAISIE!K95&gt;0,SAISIE!$K$6,IF(SAISIE!L95&gt;0,SAISIE!$L$6,IF(SAISIE!M95&gt;0,SAISIE!$M$6,""))))))</f>
        <v/>
      </c>
      <c r="O1370" s="59" t="s">
        <v>57</v>
      </c>
    </row>
    <row r="1371" spans="1:15" x14ac:dyDescent="0.25">
      <c r="A1371" s="63" t="e">
        <f>IF(AND(G1371="",H1371=""),"SUPPR",SAISIE!$B$3)</f>
        <v>#REF!</v>
      </c>
      <c r="B1371" s="63" t="e">
        <f>IF(SAISIE!#REF!="","",IF(LEN(SAISIE!B95)=1,CONCATENATE("0",SAISIE!B95,"/",SAISIE!$B$4,"/",SAISIE!$B$5),CONCATENATE(SAISIE!B95,"/",SAISIE!$B$4,"/",SAISIE!$B$5)))</f>
        <v>#REF!</v>
      </c>
      <c r="C1371" s="63" t="e">
        <f>IF(SAISIE!#REF!="","",SAISIE!#REF!)</f>
        <v>#REF!</v>
      </c>
      <c r="D1371" s="63" t="e">
        <f>IF(SAISIE!#REF!="","",SAISIE!E95)</f>
        <v>#REF!</v>
      </c>
      <c r="E1371" s="63" t="e">
        <f>IF(SAISIE!#REF!="","",SAISIE!F95)</f>
        <v>#REF!</v>
      </c>
      <c r="F1371" s="70" t="e">
        <f>IF(SAISIE!#REF!="","",IF(SAISIE!$N95="","",SAISIE!$N95))</f>
        <v>#REF!</v>
      </c>
      <c r="G1371" s="63" t="e">
        <f>IF(SAISIE!#REF!="","",SAISIE!#REF!)</f>
        <v>#REF!</v>
      </c>
      <c r="H1371" s="63"/>
      <c r="I1371" s="63" t="e">
        <f>IF(SAISIE!#REF!="","",SAISIE!$Q95)</f>
        <v>#REF!</v>
      </c>
      <c r="J1371" s="71" t="str">
        <f>IF(COUNTBLANK(SAISIE!$J$6:$M$6)=4,"",IF(SAISIE!#REF!="","",IF(SAISIE!J95&gt;0,SAISIE!$J$6,IF(SAISIE!K95&gt;0,SAISIE!$K$6,IF(SAISIE!L95&gt;0,SAISIE!$L$6,IF(SAISIE!M95&gt;0,SAISIE!$M$6,""))))))</f>
        <v/>
      </c>
      <c r="O1371" s="59" t="s">
        <v>58</v>
      </c>
    </row>
    <row r="1372" spans="1:15" x14ac:dyDescent="0.25">
      <c r="A1372" s="63" t="e">
        <f>IF(AND(G1372="",H1372=""),"SUPPR",SAISIE!$B$3)</f>
        <v>#REF!</v>
      </c>
      <c r="B1372" s="63" t="e">
        <f>IF(SAISIE!#REF!="","",IF(LEN(SAISIE!B95)=1,CONCATENATE("0",SAISIE!B95,"/",SAISIE!$B$4,"/",SAISIE!$B$5),CONCATENATE(SAISIE!B95,"/",SAISIE!$B$4,"/",SAISIE!$B$5)))</f>
        <v>#REF!</v>
      </c>
      <c r="C1372" s="63" t="e">
        <f>IF(SAISIE!#REF!="","",SAISIE!#REF!)</f>
        <v>#REF!</v>
      </c>
      <c r="D1372" s="63" t="e">
        <f>IF(SAISIE!#REF!="","",SAISIE!E95)</f>
        <v>#REF!</v>
      </c>
      <c r="E1372" s="63" t="e">
        <f>IF(SAISIE!#REF!="","",SAISIE!F95)</f>
        <v>#REF!</v>
      </c>
      <c r="F1372" s="70" t="e">
        <f>IF(SAISIE!#REF!="","",IF(SAISIE!$N95="","",SAISIE!$N95))</f>
        <v>#REF!</v>
      </c>
      <c r="G1372" s="63" t="e">
        <f>IF(SAISIE!#REF!="","",SAISIE!#REF!)</f>
        <v>#REF!</v>
      </c>
      <c r="H1372" s="63"/>
      <c r="I1372" s="63" t="e">
        <f>IF(SAISIE!#REF!="","",SAISIE!$Q95)</f>
        <v>#REF!</v>
      </c>
      <c r="J1372" s="71" t="str">
        <f>IF(COUNTBLANK(SAISIE!$J$6:$M$6)=4,"",IF(SAISIE!#REF!="","",IF(SAISIE!J95&gt;0,SAISIE!$J$6,IF(SAISIE!K95&gt;0,SAISIE!$K$6,IF(SAISIE!L95&gt;0,SAISIE!$L$6,IF(SAISIE!M95&gt;0,SAISIE!$M$6,""))))))</f>
        <v/>
      </c>
      <c r="O1372" s="59" t="s">
        <v>59</v>
      </c>
    </row>
    <row r="1373" spans="1:15" x14ac:dyDescent="0.25">
      <c r="A1373" s="63" t="e">
        <f>IF(AND(G1373="",H1373=""),"SUPPR",SAISIE!$B$3)</f>
        <v>#REF!</v>
      </c>
      <c r="B1373" s="63" t="e">
        <f>IF(SAISIE!#REF!="","",IF(LEN(SAISIE!B95)=1,CONCATENATE("0",SAISIE!B95,"/",SAISIE!$B$4,"/",SAISIE!$B$5),CONCATENATE(SAISIE!B95,"/",SAISIE!$B$4,"/",SAISIE!$B$5)))</f>
        <v>#REF!</v>
      </c>
      <c r="C1373" s="63" t="e">
        <f>IF(SAISIE!#REF!="","",SAISIE!#REF!)</f>
        <v>#REF!</v>
      </c>
      <c r="D1373" s="63" t="e">
        <f>IF(SAISIE!#REF!="","",SAISIE!E95)</f>
        <v>#REF!</v>
      </c>
      <c r="E1373" s="63" t="e">
        <f>IF(SAISIE!#REF!="","",SAISIE!F95)</f>
        <v>#REF!</v>
      </c>
      <c r="F1373" s="70" t="e">
        <f>IF(SAISIE!#REF!="","",IF(SAISIE!$N95="","",SAISIE!$N95))</f>
        <v>#REF!</v>
      </c>
      <c r="G1373" s="63" t="e">
        <f>IF(SAISIE!#REF!="","",SAISIE!#REF!)</f>
        <v>#REF!</v>
      </c>
      <c r="H1373" s="63"/>
      <c r="I1373" s="63" t="e">
        <f>IF(SAISIE!#REF!="","",SAISIE!$Q95)</f>
        <v>#REF!</v>
      </c>
      <c r="J1373" s="71" t="str">
        <f>IF(COUNTBLANK(SAISIE!$J$6:$M$6)=4,"",IF(SAISIE!#REF!="","",IF(SAISIE!J95&gt;0,SAISIE!$J$6,IF(SAISIE!K95&gt;0,SAISIE!$K$6,IF(SAISIE!L95&gt;0,SAISIE!$L$6,IF(SAISIE!M95&gt;0,SAISIE!$M$6,""))))))</f>
        <v/>
      </c>
      <c r="O1373" s="59" t="s">
        <v>60</v>
      </c>
    </row>
    <row r="1374" spans="1:15" x14ac:dyDescent="0.25">
      <c r="A1374" s="63" t="str">
        <f>IF(AND(G1374="",H1374=""),"SUPPR",SAISIE!$B$3)</f>
        <v>SUPPR</v>
      </c>
      <c r="B1374" s="63" t="str">
        <f>IF(SAISIE!J95="","",IF(LEN(SAISIE!B95)=1,CONCATENATE("0",SAISIE!B95,"/",SAISIE!$B$4,"/",SAISIE!$B$5),CONCATENATE(SAISIE!B95,"/",SAISIE!$B$4,"/",SAISIE!$B$5)))</f>
        <v/>
      </c>
      <c r="C1374" s="63" t="str">
        <f>IF(SAISIE!J95="","",SAISIE!$J$8)</f>
        <v/>
      </c>
      <c r="D1374" s="63" t="str">
        <f>IF(SAISIE!J95="","",SAISIE!E95)</f>
        <v/>
      </c>
      <c r="E1374" s="63" t="str">
        <f>IF(SAISIE!J95="","",SAISIE!F95)</f>
        <v/>
      </c>
      <c r="F1374" s="70" t="str">
        <f>IF(SAISIE!$J95="","",IF(SAISIE!$N95="","",SAISIE!$N95))</f>
        <v/>
      </c>
      <c r="G1374" s="63" t="str">
        <f>IF(SAISIE!J95="","",SAISIE!J95)</f>
        <v/>
      </c>
      <c r="H1374" s="63"/>
      <c r="I1374" s="72"/>
      <c r="J1374" s="71"/>
      <c r="O1374" s="73"/>
    </row>
    <row r="1375" spans="1:15" x14ac:dyDescent="0.25">
      <c r="A1375" s="63" t="str">
        <f>IF(AND(G1375="",H1375=""),"SUPPR",SAISIE!$B$3)</f>
        <v>SUPPR</v>
      </c>
      <c r="B1375" s="63" t="str">
        <f>IF(SAISIE!K95="","",IF(LEN(SAISIE!B95)=1,CONCATENATE("0",SAISIE!B95,"/",SAISIE!$B$4,"/",SAISIE!$B$5),CONCATENATE(SAISIE!B95,"/",SAISIE!$B$4,"/",SAISIE!$B$5)))</f>
        <v/>
      </c>
      <c r="C1375" s="63" t="str">
        <f>IF(SAISIE!K95="","",SAISIE!$K$8)</f>
        <v/>
      </c>
      <c r="D1375" s="63" t="str">
        <f>IF(SAISIE!K95="","",SAISIE!E95)</f>
        <v/>
      </c>
      <c r="E1375" s="63" t="str">
        <f>IF(SAISIE!K95="","",SAISIE!F95)</f>
        <v/>
      </c>
      <c r="F1375" s="70" t="str">
        <f>IF(SAISIE!$K95="","",IF(SAISIE!$N95="","",SAISIE!$N95))</f>
        <v/>
      </c>
      <c r="G1375" s="63" t="str">
        <f>IF(SAISIE!K95="","",SAISIE!K95)</f>
        <v/>
      </c>
      <c r="H1375" s="63"/>
      <c r="I1375" s="72"/>
      <c r="J1375" s="71"/>
    </row>
    <row r="1376" spans="1:15" x14ac:dyDescent="0.25">
      <c r="A1376" s="63" t="str">
        <f>IF(AND(G1376="",H1376=""),"SUPPR",SAISIE!$B$3)</f>
        <v>SUPPR</v>
      </c>
      <c r="B1376" s="63" t="str">
        <f>IF(SAISIE!L95="","",IF(LEN(SAISIE!B95)=1,CONCATENATE("0",SAISIE!B95,"/",SAISIE!$B$4,"/",SAISIE!$B$5),CONCATENATE(SAISIE!B95,"/",SAISIE!$B$4,"/",SAISIE!$B$5)))</f>
        <v/>
      </c>
      <c r="C1376" s="63" t="str">
        <f>IF(SAISIE!L95="","",SAISIE!$L$8)</f>
        <v/>
      </c>
      <c r="D1376" s="63" t="str">
        <f>IF(SAISIE!L95="","",SAISIE!E95)</f>
        <v/>
      </c>
      <c r="E1376" s="63" t="str">
        <f>IF(SAISIE!L95="","",SAISIE!F95)</f>
        <v/>
      </c>
      <c r="F1376" s="70" t="str">
        <f>IF(SAISIE!$L95="","",IF(SAISIE!$N95="","",SAISIE!$N95))</f>
        <v/>
      </c>
      <c r="G1376" s="63" t="str">
        <f>IF(SAISIE!L95="","",SAISIE!L95)</f>
        <v/>
      </c>
      <c r="H1376" s="63"/>
      <c r="I1376" s="72"/>
      <c r="J1376" s="71"/>
    </row>
    <row r="1377" spans="1:15" x14ac:dyDescent="0.25">
      <c r="A1377" s="63" t="str">
        <f>IF(AND(G1377="",H1377=""),"SUPPR",SAISIE!$B$3)</f>
        <v>SUPPR</v>
      </c>
      <c r="B1377" s="63" t="str">
        <f>IF(SAISIE!M95="","",IF(LEN(SAISIE!B95)=1,CONCATENATE("0",SAISIE!B95,"/",SAISIE!$B$4,"/",SAISIE!$B$5),CONCATENATE(SAISIE!B95,"/",SAISIE!$B$4,"/",SAISIE!$B$5)))</f>
        <v/>
      </c>
      <c r="C1377" s="74" t="str">
        <f>IF(SAISIE!M95="","",SAISIE!$M$8)</f>
        <v/>
      </c>
      <c r="D1377" s="74" t="str">
        <f>IF(SAISIE!M95="","",SAISIE!E95)</f>
        <v/>
      </c>
      <c r="E1377" s="74" t="str">
        <f>IF(SAISIE!M95="","",SAISIE!F95)</f>
        <v/>
      </c>
      <c r="F1377" s="75" t="str">
        <f>IF(SAISIE!$M95="","",IF(SAISIE!$N95="","",SAISIE!$N95))</f>
        <v/>
      </c>
      <c r="G1377" s="74" t="str">
        <f>IF(SAISIE!M95="","",SAISIE!M95)</f>
        <v/>
      </c>
      <c r="H1377" s="76"/>
      <c r="I1377" s="77"/>
      <c r="J1377" s="78"/>
    </row>
    <row r="1378" spans="1:15" x14ac:dyDescent="0.25">
      <c r="A1378" s="63" t="str">
        <f>IF(AND(G1378="",H1378=""),"SUPPR",SAISIE!$B$3)</f>
        <v>SUPPR</v>
      </c>
      <c r="B1378" s="64" t="str">
        <f>IF(SAISIE!B96="","",IF(LEN(SAISIE!B96)=1,CONCATENATE("0",SAISIE!B96,"/",SAISIE!$B$4,"/",SAISIE!$B$5),CONCATENATE(SAISIE!B96,"/",SAISIE!$B$4,"/",SAISIE!$B$5)))</f>
        <v/>
      </c>
      <c r="C1378" s="64" t="str">
        <f>IF(SAISIE!B96="","",CONCATENATE($M$2,SAISIE!C96))</f>
        <v/>
      </c>
      <c r="D1378" s="64" t="str">
        <f>IF(SAISIE!B96="","",SAISIE!E96)</f>
        <v/>
      </c>
      <c r="E1378" s="64" t="str">
        <f>IF(SAISIE!B96="","",SAISIE!F96)</f>
        <v/>
      </c>
      <c r="F1378" s="65" t="str">
        <f>IF(A1378="SUPPR","",IF(SAISIE!N96="","",SAISIE!N96))</f>
        <v/>
      </c>
      <c r="G1378" s="64"/>
      <c r="H1378" s="64" t="str">
        <f>IF(SAISIE!B96="","",SAISIE!D96)</f>
        <v/>
      </c>
      <c r="I1378" s="66"/>
      <c r="J1378" s="67" t="str">
        <f>IF(AZ96="","","")</f>
        <v/>
      </c>
      <c r="O1378" s="69">
        <f>O1362+1</f>
        <v>96</v>
      </c>
    </row>
    <row r="1379" spans="1:15" x14ac:dyDescent="0.25">
      <c r="A1379" s="63" t="str">
        <f>IF(AND(G1379="",H1379=""),"SUPPR",SAISIE!$B$3)</f>
        <v>SUPPR</v>
      </c>
      <c r="B1379" s="63" t="str">
        <f>IF(SAISIE!P96="","",IF(LEN(SAISIE!B96)=1,CONCATENATE("0",SAISIE!B96,"/",SAISIE!$B$4,"/",SAISIE!$B$5),CONCATENATE(SAISIE!B96,"/",SAISIE!$B$4,"/",SAISIE!$B$5)))</f>
        <v/>
      </c>
      <c r="C1379" s="63" t="str">
        <f>IF(SAISIE!P96="","",SAISIE!O96)</f>
        <v/>
      </c>
      <c r="D1379" s="63" t="str">
        <f>IF(SAISIE!P96="","",SAISIE!E96)</f>
        <v/>
      </c>
      <c r="E1379" s="63" t="str">
        <f>IF(SAISIE!P96="","",SAISIE!F96)</f>
        <v/>
      </c>
      <c r="F1379" s="70" t="str">
        <f>IF(SAISIE!$P96="","",IF(SAISIE!$N96="","",SAISIE!$N96))</f>
        <v/>
      </c>
      <c r="G1379" s="63" t="str">
        <f>IF(SAISIE!P96="","",SAISIE!P96)</f>
        <v/>
      </c>
      <c r="H1379" s="63"/>
      <c r="I1379" s="63" t="str">
        <f>IF(SAISIE!$P96="","",SAISIE!$Q96)</f>
        <v/>
      </c>
      <c r="J1379" s="71" t="str">
        <f>IF(COUNTBLANK(SAISIE!$J$6:$M$6)=4,"",IF(SAISIE!P96="","",IF(SAISIE!J96&gt;0,SAISIE!$J$6,IF(SAISIE!K96&gt;0,SAISIE!$K$6,IF(SAISIE!L96&gt;0,SAISIE!$L$6,IF(SAISIE!M96&gt;0,SAISIE!$M$6,""))))))</f>
        <v/>
      </c>
      <c r="O1379" s="59" t="s">
        <v>50</v>
      </c>
    </row>
    <row r="1380" spans="1:15" x14ac:dyDescent="0.25">
      <c r="A1380" s="63" t="str">
        <f>IF(AND(G1380="",H1380=""),"SUPPR",SAISIE!$B$3)</f>
        <v>SUPPR</v>
      </c>
      <c r="B1380" s="63" t="str">
        <f>IF(SAISIE!G96="","",IF(LEN(SAISIE!B96)=1,CONCATENATE("0",SAISIE!B96,"/",SAISIE!$B$4,"/",SAISIE!$B$5),CONCATENATE(SAISIE!B96,"/",SAISIE!$B$4,"/",SAISIE!$B$5)))</f>
        <v/>
      </c>
      <c r="C1380" s="63" t="str">
        <f>IF(SAISIE!G96="","",SAISIE!$G$8)</f>
        <v/>
      </c>
      <c r="D1380" s="63" t="str">
        <f>IF(SAISIE!G96="","",SAISIE!E96)</f>
        <v/>
      </c>
      <c r="E1380" s="63" t="str">
        <f>IF(SAISIE!G96="","",SAISIE!F96)</f>
        <v/>
      </c>
      <c r="F1380" s="70" t="str">
        <f>IF(SAISIE!$G96="","",IF(SAISIE!$N96="","",SAISIE!$N96))</f>
        <v/>
      </c>
      <c r="G1380" s="63" t="str">
        <f>IF(SAISIE!G96="","",SAISIE!G96)</f>
        <v/>
      </c>
      <c r="H1380" s="63"/>
      <c r="I1380" s="63" t="str">
        <f>IF(SAISIE!$G96="","",SAISIE!$Q96)</f>
        <v/>
      </c>
      <c r="J1380" s="71" t="str">
        <f>IF(COUNTBLANK(SAISIE!$J$6:$M$6)=4,"",IF(SAISIE!G96="","",IF(SAISIE!J96&gt;0,SAISIE!$J$6,IF(SAISIE!K96&gt;0,SAISIE!$K$6,IF(SAISIE!L96&gt;0,SAISIE!$L$6,IF(SAISIE!M96&gt;0,SAISIE!$M$6,""))))))</f>
        <v/>
      </c>
      <c r="O1380" s="59" t="s">
        <v>51</v>
      </c>
    </row>
    <row r="1381" spans="1:15" x14ac:dyDescent="0.25">
      <c r="A1381" s="63" t="str">
        <f>IF(AND(G1381="",H1381=""),"SUPPR",SAISIE!$B$3)</f>
        <v>SUPPR</v>
      </c>
      <c r="B1381" s="63" t="str">
        <f>IF(SAISIE!H96="","",IF(LEN(SAISIE!B96)=1,CONCATENATE("0",SAISIE!B96,"/",SAISIE!$B$4,"/",SAISIE!$B$5),CONCATENATE(SAISIE!B96,"/",SAISIE!$B$4,"/",SAISIE!$B$5)))</f>
        <v/>
      </c>
      <c r="C1381" s="63" t="str">
        <f>IF(SAISIE!H96="","",SAISIE!$H$8)</f>
        <v/>
      </c>
      <c r="D1381" s="63" t="str">
        <f>IF(SAISIE!H96="","",SAISIE!E96)</f>
        <v/>
      </c>
      <c r="E1381" s="63" t="str">
        <f>IF(SAISIE!H96="","",SAISIE!F96)</f>
        <v/>
      </c>
      <c r="F1381" s="70" t="str">
        <f>IF(SAISIE!$H96="","",IF(SAISIE!$N96="","",SAISIE!$N96))</f>
        <v/>
      </c>
      <c r="G1381" s="63" t="str">
        <f>IF(SAISIE!H96="","",SAISIE!H96)</f>
        <v/>
      </c>
      <c r="H1381" s="63"/>
      <c r="I1381" s="63" t="str">
        <f>IF(SAISIE!$H96="","",SAISIE!$Q96)</f>
        <v/>
      </c>
      <c r="J1381" s="71" t="str">
        <f>IF(COUNTBLANK(SAISIE!$J$6:$M$6)=4,"",IF(SAISIE!H96="","",IF(SAISIE!J96&gt;0,SAISIE!$J$6,IF(SAISIE!K96&gt;0,SAISIE!$K$6,IF(SAISIE!L96&gt;0,SAISIE!$L$6,IF(SAISIE!M96&gt;0,SAISIE!$M$6,""))))))</f>
        <v/>
      </c>
      <c r="O1381" s="59" t="s">
        <v>52</v>
      </c>
    </row>
    <row r="1382" spans="1:15" x14ac:dyDescent="0.25">
      <c r="A1382" s="63" t="str">
        <f>IF(AND(G1382="",H1382=""),"SUPPR",SAISIE!$B$3)</f>
        <v>SUPPR</v>
      </c>
      <c r="B1382" s="63" t="str">
        <f>IF(SAISIE!I96="","",IF(LEN(SAISIE!B96)=1,CONCATENATE("0",SAISIE!B96,"/",SAISIE!$B$4,"/",SAISIE!$B$5),CONCATENATE(SAISIE!B96,"/",SAISIE!$B$4,"/",SAISIE!$B$5)))</f>
        <v/>
      </c>
      <c r="C1382" s="63" t="str">
        <f>IF(SAISIE!I96="","",SAISIE!$I$8)</f>
        <v/>
      </c>
      <c r="D1382" s="63" t="str">
        <f>IF(SAISIE!I96="","",SAISIE!E96)</f>
        <v/>
      </c>
      <c r="E1382" s="63" t="str">
        <f>IF(SAISIE!I96="","",SAISIE!F96)</f>
        <v/>
      </c>
      <c r="F1382" s="70" t="str">
        <f>IF(SAISIE!$I96="","",IF(SAISIE!$N96="","",SAISIE!$N96))</f>
        <v/>
      </c>
      <c r="G1382" s="63" t="str">
        <f>IF(SAISIE!I96="","",SAISIE!I96)</f>
        <v/>
      </c>
      <c r="H1382" s="63"/>
      <c r="I1382" s="63" t="str">
        <f>IF(SAISIE!$I96="","",SAISIE!$Q96)</f>
        <v/>
      </c>
      <c r="J1382" s="71" t="str">
        <f>IF(COUNTBLANK(SAISIE!$J$6:$M$6)=4,"",IF(SAISIE!I96="","",IF(SAISIE!J96&gt;0,SAISIE!$J$6,IF(SAISIE!K96&gt;0,SAISIE!$K$6,IF(SAISIE!L96&gt;0,SAISIE!$L$6,IF(SAISIE!M96&gt;0,SAISIE!$M$6,""))))))</f>
        <v/>
      </c>
      <c r="O1382" s="59" t="s">
        <v>53</v>
      </c>
    </row>
    <row r="1383" spans="1:15" x14ac:dyDescent="0.25">
      <c r="A1383" s="63" t="e">
        <f>IF(AND(G1383="",H1383=""),"SUPPR",SAISIE!$B$3)</f>
        <v>#REF!</v>
      </c>
      <c r="B1383" s="63" t="e">
        <f>IF(SAISIE!#REF!="","",IF(LEN(SAISIE!B96)=1,CONCATENATE("0",SAISIE!B96,"/",SAISIE!$B$4,"/",SAISIE!$B$5),CONCATENATE(SAISIE!B96,"/",SAISIE!$B$4,"/",SAISIE!$B$5)))</f>
        <v>#REF!</v>
      </c>
      <c r="C1383" s="63" t="e">
        <f>IF(SAISIE!#REF!="","",SAISIE!#REF!)</f>
        <v>#REF!</v>
      </c>
      <c r="D1383" s="63" t="e">
        <f>IF(SAISIE!#REF!="","",SAISIE!E96)</f>
        <v>#REF!</v>
      </c>
      <c r="E1383" s="63" t="e">
        <f>IF(SAISIE!#REF!="","",SAISIE!F96)</f>
        <v>#REF!</v>
      </c>
      <c r="F1383" s="70" t="e">
        <f>IF(SAISIE!#REF!="","",IF(SAISIE!$N96="","",SAISIE!$N96))</f>
        <v>#REF!</v>
      </c>
      <c r="G1383" s="63" t="e">
        <f>IF(SAISIE!#REF!="","",SAISIE!#REF!)</f>
        <v>#REF!</v>
      </c>
      <c r="H1383" s="63"/>
      <c r="I1383" s="63" t="e">
        <f>IF(SAISIE!#REF!="","",SAISIE!$Q96)</f>
        <v>#REF!</v>
      </c>
      <c r="J1383" s="71" t="str">
        <f>IF(COUNTBLANK(SAISIE!$J$6:$M$6)=4,"",IF(SAISIE!#REF!="","",IF(SAISIE!J96&gt;0,SAISIE!$J$6,IF(SAISIE!K96&gt;0,SAISIE!$K$6,IF(SAISIE!L96&gt;0,SAISIE!$L$6,IF(SAISIE!M96&gt;0,SAISIE!$M$6,""))))))</f>
        <v/>
      </c>
      <c r="O1383" s="59" t="s">
        <v>54</v>
      </c>
    </row>
    <row r="1384" spans="1:15" x14ac:dyDescent="0.25">
      <c r="A1384" s="63" t="e">
        <f>IF(AND(G1384="",H1384=""),"SUPPR",SAISIE!$B$3)</f>
        <v>#REF!</v>
      </c>
      <c r="B1384" s="63" t="e">
        <f>IF(SAISIE!#REF!="","",IF(LEN(SAISIE!B96)=1,CONCATENATE("0",SAISIE!B96,"/",SAISIE!$B$4,"/",SAISIE!$B$5),CONCATENATE(SAISIE!B96,"/",SAISIE!$B$4,"/",SAISIE!$B$5)))</f>
        <v>#REF!</v>
      </c>
      <c r="C1384" s="63" t="e">
        <f>IF(SAISIE!#REF!="","",SAISIE!#REF!)</f>
        <v>#REF!</v>
      </c>
      <c r="D1384" s="63" t="e">
        <f>IF(SAISIE!#REF!="","",SAISIE!E96)</f>
        <v>#REF!</v>
      </c>
      <c r="E1384" s="63" t="e">
        <f>IF(SAISIE!#REF!="","",SAISIE!F96)</f>
        <v>#REF!</v>
      </c>
      <c r="F1384" s="70" t="e">
        <f>IF(SAISIE!#REF!="","",IF(SAISIE!$N96="","",SAISIE!$N96))</f>
        <v>#REF!</v>
      </c>
      <c r="G1384" s="63" t="e">
        <f>IF(SAISIE!#REF!="","",SAISIE!#REF!)</f>
        <v>#REF!</v>
      </c>
      <c r="H1384" s="63"/>
      <c r="I1384" s="63" t="e">
        <f>IF(SAISIE!#REF!="","",SAISIE!$Q96)</f>
        <v>#REF!</v>
      </c>
      <c r="J1384" s="71" t="str">
        <f>IF(COUNTBLANK(SAISIE!$J$6:$M$6)=4,"",IF(SAISIE!#REF!="","",IF(SAISIE!J96&gt;0,SAISIE!$J$6,IF(SAISIE!K96&gt;0,SAISIE!$K$6,IF(SAISIE!L96&gt;0,SAISIE!$L$6,IF(SAISIE!M96&gt;0,SAISIE!$M$6,""))))))</f>
        <v/>
      </c>
      <c r="O1384" s="59" t="s">
        <v>55</v>
      </c>
    </row>
    <row r="1385" spans="1:15" x14ac:dyDescent="0.25">
      <c r="A1385" s="63" t="e">
        <f>IF(AND(G1385="",H1385=""),"SUPPR",SAISIE!$B$3)</f>
        <v>#REF!</v>
      </c>
      <c r="B1385" s="63" t="e">
        <f>IF(SAISIE!#REF!="","",IF(LEN(SAISIE!B96)=1,CONCATENATE("0",SAISIE!B96,"/",SAISIE!$B$4,"/",SAISIE!$B$5),CONCATENATE(SAISIE!B96,"/",SAISIE!$B$4,"/",SAISIE!$B$5)))</f>
        <v>#REF!</v>
      </c>
      <c r="C1385" s="63" t="e">
        <f>IF(SAISIE!#REF!="","",SAISIE!#REF!)</f>
        <v>#REF!</v>
      </c>
      <c r="D1385" s="63" t="e">
        <f>IF(SAISIE!#REF!="","",SAISIE!E96)</f>
        <v>#REF!</v>
      </c>
      <c r="E1385" s="63" t="e">
        <f>IF(SAISIE!#REF!="","",SAISIE!F96)</f>
        <v>#REF!</v>
      </c>
      <c r="F1385" s="70" t="e">
        <f>IF(SAISIE!#REF!="","",IF(SAISIE!$N96="","",SAISIE!$N96))</f>
        <v>#REF!</v>
      </c>
      <c r="G1385" s="63" t="e">
        <f>IF(SAISIE!#REF!="","",SAISIE!#REF!)</f>
        <v>#REF!</v>
      </c>
      <c r="H1385" s="63"/>
      <c r="I1385" s="63" t="e">
        <f>IF(SAISIE!#REF!="","",SAISIE!$Q96)</f>
        <v>#REF!</v>
      </c>
      <c r="J1385" s="71" t="str">
        <f>IF(COUNTBLANK(SAISIE!$J$6:$M$6)=4,"",IF(SAISIE!#REF!="","",IF(SAISIE!J96&gt;0,SAISIE!$J$6,IF(SAISIE!K96&gt;0,SAISIE!$K$6,IF(SAISIE!L96&gt;0,SAISIE!$L$6,IF(SAISIE!M96&gt;0,SAISIE!$M$6,""))))))</f>
        <v/>
      </c>
      <c r="O1385" s="59" t="s">
        <v>56</v>
      </c>
    </row>
    <row r="1386" spans="1:15" x14ac:dyDescent="0.25">
      <c r="A1386" s="63" t="e">
        <f>IF(AND(G1386="",H1386=""),"SUPPR",SAISIE!$B$3)</f>
        <v>#REF!</v>
      </c>
      <c r="B1386" s="63" t="e">
        <f>IF(SAISIE!#REF!="","",IF(LEN(SAISIE!B96)=1,CONCATENATE("0",SAISIE!B96,"/",SAISIE!$B$4,"/",SAISIE!$B$5),CONCATENATE(SAISIE!B96,"/",SAISIE!$B$4,"/",SAISIE!$B$5)))</f>
        <v>#REF!</v>
      </c>
      <c r="C1386" s="63" t="e">
        <f>IF(SAISIE!#REF!="","",SAISIE!#REF!)</f>
        <v>#REF!</v>
      </c>
      <c r="D1386" s="63" t="e">
        <f>IF(SAISIE!#REF!="","",SAISIE!E96)</f>
        <v>#REF!</v>
      </c>
      <c r="E1386" s="63" t="e">
        <f>IF(SAISIE!#REF!="","",SAISIE!F96)</f>
        <v>#REF!</v>
      </c>
      <c r="F1386" s="70" t="e">
        <f>IF(SAISIE!#REF!="","",IF(SAISIE!$N96="","",SAISIE!$N96))</f>
        <v>#REF!</v>
      </c>
      <c r="G1386" s="63" t="e">
        <f>IF(SAISIE!#REF!="","",SAISIE!#REF!)</f>
        <v>#REF!</v>
      </c>
      <c r="H1386" s="63"/>
      <c r="I1386" s="63" t="e">
        <f>IF(SAISIE!#REF!="","",SAISIE!$Q96)</f>
        <v>#REF!</v>
      </c>
      <c r="J1386" s="71" t="str">
        <f>IF(COUNTBLANK(SAISIE!$J$6:$M$6)=4,"",IF(SAISIE!#REF!="","",IF(SAISIE!J96&gt;0,SAISIE!$J$6,IF(SAISIE!K96&gt;0,SAISIE!$K$6,IF(SAISIE!L96&gt;0,SAISIE!$L$6,IF(SAISIE!M96&gt;0,SAISIE!$M$6,""))))))</f>
        <v/>
      </c>
      <c r="O1386" s="59" t="s">
        <v>57</v>
      </c>
    </row>
    <row r="1387" spans="1:15" x14ac:dyDescent="0.25">
      <c r="A1387" s="63" t="e">
        <f>IF(AND(G1387="",H1387=""),"SUPPR",SAISIE!$B$3)</f>
        <v>#REF!</v>
      </c>
      <c r="B1387" s="63" t="e">
        <f>IF(SAISIE!#REF!="","",IF(LEN(SAISIE!B96)=1,CONCATENATE("0",SAISIE!B96,"/",SAISIE!$B$4,"/",SAISIE!$B$5),CONCATENATE(SAISIE!B96,"/",SAISIE!$B$4,"/",SAISIE!$B$5)))</f>
        <v>#REF!</v>
      </c>
      <c r="C1387" s="63" t="e">
        <f>IF(SAISIE!#REF!="","",SAISIE!#REF!)</f>
        <v>#REF!</v>
      </c>
      <c r="D1387" s="63" t="e">
        <f>IF(SAISIE!#REF!="","",SAISIE!E96)</f>
        <v>#REF!</v>
      </c>
      <c r="E1387" s="63" t="e">
        <f>IF(SAISIE!#REF!="","",SAISIE!F96)</f>
        <v>#REF!</v>
      </c>
      <c r="F1387" s="70" t="e">
        <f>IF(SAISIE!#REF!="","",IF(SAISIE!$N96="","",SAISIE!$N96))</f>
        <v>#REF!</v>
      </c>
      <c r="G1387" s="63" t="e">
        <f>IF(SAISIE!#REF!="","",SAISIE!#REF!)</f>
        <v>#REF!</v>
      </c>
      <c r="H1387" s="63"/>
      <c r="I1387" s="63" t="e">
        <f>IF(SAISIE!#REF!="","",SAISIE!$Q96)</f>
        <v>#REF!</v>
      </c>
      <c r="J1387" s="71" t="str">
        <f>IF(COUNTBLANK(SAISIE!$J$6:$M$6)=4,"",IF(SAISIE!#REF!="","",IF(SAISIE!J96&gt;0,SAISIE!$J$6,IF(SAISIE!K96&gt;0,SAISIE!$K$6,IF(SAISIE!L96&gt;0,SAISIE!$L$6,IF(SAISIE!M96&gt;0,SAISIE!$M$6,""))))))</f>
        <v/>
      </c>
      <c r="O1387" s="59" t="s">
        <v>58</v>
      </c>
    </row>
    <row r="1388" spans="1:15" x14ac:dyDescent="0.25">
      <c r="A1388" s="63" t="e">
        <f>IF(AND(G1388="",H1388=""),"SUPPR",SAISIE!$B$3)</f>
        <v>#REF!</v>
      </c>
      <c r="B1388" s="63" t="e">
        <f>IF(SAISIE!#REF!="","",IF(LEN(SAISIE!B96)=1,CONCATENATE("0",SAISIE!B96,"/",SAISIE!$B$4,"/",SAISIE!$B$5),CONCATENATE(SAISIE!B96,"/",SAISIE!$B$4,"/",SAISIE!$B$5)))</f>
        <v>#REF!</v>
      </c>
      <c r="C1388" s="63" t="e">
        <f>IF(SAISIE!#REF!="","",SAISIE!#REF!)</f>
        <v>#REF!</v>
      </c>
      <c r="D1388" s="63" t="e">
        <f>IF(SAISIE!#REF!="","",SAISIE!E96)</f>
        <v>#REF!</v>
      </c>
      <c r="E1388" s="63" t="e">
        <f>IF(SAISIE!#REF!="","",SAISIE!F96)</f>
        <v>#REF!</v>
      </c>
      <c r="F1388" s="70" t="e">
        <f>IF(SAISIE!#REF!="","",IF(SAISIE!$N96="","",SAISIE!$N96))</f>
        <v>#REF!</v>
      </c>
      <c r="G1388" s="63" t="e">
        <f>IF(SAISIE!#REF!="","",SAISIE!#REF!)</f>
        <v>#REF!</v>
      </c>
      <c r="H1388" s="63"/>
      <c r="I1388" s="63" t="e">
        <f>IF(SAISIE!#REF!="","",SAISIE!$Q96)</f>
        <v>#REF!</v>
      </c>
      <c r="J1388" s="71" t="str">
        <f>IF(COUNTBLANK(SAISIE!$J$6:$M$6)=4,"",IF(SAISIE!#REF!="","",IF(SAISIE!J96&gt;0,SAISIE!$J$6,IF(SAISIE!K96&gt;0,SAISIE!$K$6,IF(SAISIE!L96&gt;0,SAISIE!$L$6,IF(SAISIE!M96&gt;0,SAISIE!$M$6,""))))))</f>
        <v/>
      </c>
      <c r="O1388" s="59" t="s">
        <v>59</v>
      </c>
    </row>
    <row r="1389" spans="1:15" x14ac:dyDescent="0.25">
      <c r="A1389" s="63" t="e">
        <f>IF(AND(G1389="",H1389=""),"SUPPR",SAISIE!$B$3)</f>
        <v>#REF!</v>
      </c>
      <c r="B1389" s="63" t="e">
        <f>IF(SAISIE!#REF!="","",IF(LEN(SAISIE!B96)=1,CONCATENATE("0",SAISIE!B96,"/",SAISIE!$B$4,"/",SAISIE!$B$5),CONCATENATE(SAISIE!B96,"/",SAISIE!$B$4,"/",SAISIE!$B$5)))</f>
        <v>#REF!</v>
      </c>
      <c r="C1389" s="63" t="e">
        <f>IF(SAISIE!#REF!="","",SAISIE!#REF!)</f>
        <v>#REF!</v>
      </c>
      <c r="D1389" s="63" t="e">
        <f>IF(SAISIE!#REF!="","",SAISIE!E96)</f>
        <v>#REF!</v>
      </c>
      <c r="E1389" s="63" t="e">
        <f>IF(SAISIE!#REF!="","",SAISIE!F96)</f>
        <v>#REF!</v>
      </c>
      <c r="F1389" s="70" t="e">
        <f>IF(SAISIE!#REF!="","",IF(SAISIE!$N96="","",SAISIE!$N96))</f>
        <v>#REF!</v>
      </c>
      <c r="G1389" s="63" t="e">
        <f>IF(SAISIE!#REF!="","",SAISIE!#REF!)</f>
        <v>#REF!</v>
      </c>
      <c r="H1389" s="63"/>
      <c r="I1389" s="63" t="e">
        <f>IF(SAISIE!#REF!="","",SAISIE!$Q96)</f>
        <v>#REF!</v>
      </c>
      <c r="J1389" s="71" t="str">
        <f>IF(COUNTBLANK(SAISIE!$J$6:$M$6)=4,"",IF(SAISIE!#REF!="","",IF(SAISIE!J96&gt;0,SAISIE!$J$6,IF(SAISIE!K96&gt;0,SAISIE!$K$6,IF(SAISIE!L96&gt;0,SAISIE!$L$6,IF(SAISIE!M96&gt;0,SAISIE!$M$6,""))))))</f>
        <v/>
      </c>
      <c r="O1389" s="59" t="s">
        <v>60</v>
      </c>
    </row>
    <row r="1390" spans="1:15" x14ac:dyDescent="0.25">
      <c r="A1390" s="63" t="str">
        <f>IF(AND(G1390="",H1390=""),"SUPPR",SAISIE!$B$3)</f>
        <v>SUPPR</v>
      </c>
      <c r="B1390" s="63" t="str">
        <f>IF(SAISIE!J96="","",IF(LEN(SAISIE!B96)=1,CONCATENATE("0",SAISIE!B96,"/",SAISIE!$B$4,"/",SAISIE!$B$5),CONCATENATE(SAISIE!B96,"/",SAISIE!$B$4,"/",SAISIE!$B$5)))</f>
        <v/>
      </c>
      <c r="C1390" s="63" t="str">
        <f>IF(SAISIE!J96="","",SAISIE!$J$8)</f>
        <v/>
      </c>
      <c r="D1390" s="63" t="str">
        <f>IF(SAISIE!J96="","",SAISIE!E96)</f>
        <v/>
      </c>
      <c r="E1390" s="63" t="str">
        <f>IF(SAISIE!J96="","",SAISIE!F96)</f>
        <v/>
      </c>
      <c r="F1390" s="70" t="str">
        <f>IF(SAISIE!$J96="","",IF(SAISIE!$N96="","",SAISIE!$N96))</f>
        <v/>
      </c>
      <c r="G1390" s="63" t="str">
        <f>IF(SAISIE!J96="","",SAISIE!J96)</f>
        <v/>
      </c>
      <c r="H1390" s="63"/>
      <c r="I1390" s="72"/>
      <c r="J1390" s="71"/>
      <c r="O1390" s="73"/>
    </row>
    <row r="1391" spans="1:15" x14ac:dyDescent="0.25">
      <c r="A1391" s="63" t="str">
        <f>IF(AND(G1391="",H1391=""),"SUPPR",SAISIE!$B$3)</f>
        <v>SUPPR</v>
      </c>
      <c r="B1391" s="63" t="str">
        <f>IF(SAISIE!K96="","",IF(LEN(SAISIE!B96)=1,CONCATENATE("0",SAISIE!B96,"/",SAISIE!$B$4,"/",SAISIE!$B$5),CONCATENATE(SAISIE!B96,"/",SAISIE!$B$4,"/",SAISIE!$B$5)))</f>
        <v/>
      </c>
      <c r="C1391" s="63" t="str">
        <f>IF(SAISIE!K96="","",SAISIE!$K$8)</f>
        <v/>
      </c>
      <c r="D1391" s="63" t="str">
        <f>IF(SAISIE!K96="","",SAISIE!E96)</f>
        <v/>
      </c>
      <c r="E1391" s="63" t="str">
        <f>IF(SAISIE!K96="","",SAISIE!F96)</f>
        <v/>
      </c>
      <c r="F1391" s="70" t="str">
        <f>IF(SAISIE!$K96="","",IF(SAISIE!$N96="","",SAISIE!$N96))</f>
        <v/>
      </c>
      <c r="G1391" s="63" t="str">
        <f>IF(SAISIE!K96="","",SAISIE!K96)</f>
        <v/>
      </c>
      <c r="H1391" s="63"/>
      <c r="I1391" s="72"/>
      <c r="J1391" s="71"/>
    </row>
    <row r="1392" spans="1:15" x14ac:dyDescent="0.25">
      <c r="A1392" s="63" t="str">
        <f>IF(AND(G1392="",H1392=""),"SUPPR",SAISIE!$B$3)</f>
        <v>SUPPR</v>
      </c>
      <c r="B1392" s="63" t="str">
        <f>IF(SAISIE!L96="","",IF(LEN(SAISIE!B96)=1,CONCATENATE("0",SAISIE!B96,"/",SAISIE!$B$4,"/",SAISIE!$B$5),CONCATENATE(SAISIE!B96,"/",SAISIE!$B$4,"/",SAISIE!$B$5)))</f>
        <v/>
      </c>
      <c r="C1392" s="63" t="str">
        <f>IF(SAISIE!L96="","",SAISIE!$L$8)</f>
        <v/>
      </c>
      <c r="D1392" s="63" t="str">
        <f>IF(SAISIE!L96="","",SAISIE!E96)</f>
        <v/>
      </c>
      <c r="E1392" s="63" t="str">
        <f>IF(SAISIE!L96="","",SAISIE!F96)</f>
        <v/>
      </c>
      <c r="F1392" s="70" t="str">
        <f>IF(SAISIE!$L96="","",IF(SAISIE!$N96="","",SAISIE!$N96))</f>
        <v/>
      </c>
      <c r="G1392" s="63" t="str">
        <f>IF(SAISIE!L96="","",SAISIE!L96)</f>
        <v/>
      </c>
      <c r="H1392" s="63"/>
      <c r="I1392" s="72"/>
      <c r="J1392" s="71"/>
    </row>
    <row r="1393" spans="1:15" x14ac:dyDescent="0.25">
      <c r="A1393" s="63" t="str">
        <f>IF(AND(G1393="",H1393=""),"SUPPR",SAISIE!$B$3)</f>
        <v>SUPPR</v>
      </c>
      <c r="B1393" s="63" t="str">
        <f>IF(SAISIE!M96="","",IF(LEN(SAISIE!B96)=1,CONCATENATE("0",SAISIE!B96,"/",SAISIE!$B$4,"/",SAISIE!$B$5),CONCATENATE(SAISIE!B96,"/",SAISIE!$B$4,"/",SAISIE!$B$5)))</f>
        <v/>
      </c>
      <c r="C1393" s="74" t="str">
        <f>IF(SAISIE!M96="","",SAISIE!$M$8)</f>
        <v/>
      </c>
      <c r="D1393" s="74" t="str">
        <f>IF(SAISIE!M96="","",SAISIE!E96)</f>
        <v/>
      </c>
      <c r="E1393" s="74" t="str">
        <f>IF(SAISIE!M96="","",SAISIE!F96)</f>
        <v/>
      </c>
      <c r="F1393" s="75" t="str">
        <f>IF(SAISIE!$M96="","",IF(SAISIE!$N96="","",SAISIE!$N96))</f>
        <v/>
      </c>
      <c r="G1393" s="74" t="str">
        <f>IF(SAISIE!M96="","",SAISIE!M96)</f>
        <v/>
      </c>
      <c r="H1393" s="76"/>
      <c r="I1393" s="77"/>
      <c r="J1393" s="78"/>
    </row>
    <row r="1394" spans="1:15" x14ac:dyDescent="0.25">
      <c r="A1394" s="63" t="str">
        <f>IF(AND(G1394="",H1394=""),"SUPPR",SAISIE!$B$3)</f>
        <v>SUPPR</v>
      </c>
      <c r="B1394" s="64" t="str">
        <f>IF(SAISIE!B97="","",IF(LEN(SAISIE!B97)=1,CONCATENATE("0",SAISIE!B97,"/",SAISIE!$B$4,"/",SAISIE!$B$5),CONCATENATE(SAISIE!B97,"/",SAISIE!$B$4,"/",SAISIE!$B$5)))</f>
        <v/>
      </c>
      <c r="C1394" s="64" t="str">
        <f>IF(SAISIE!B97="","",CONCATENATE($M$2,SAISIE!C97))</f>
        <v/>
      </c>
      <c r="D1394" s="64" t="str">
        <f>IF(SAISIE!B97="","",SAISIE!E97)</f>
        <v/>
      </c>
      <c r="E1394" s="64" t="str">
        <f>IF(SAISIE!B97="","",SAISIE!F97)</f>
        <v/>
      </c>
      <c r="F1394" s="65" t="str">
        <f>IF(A1394="SUPPR","",IF(SAISIE!$N97="","",SAISIE!$N97))</f>
        <v/>
      </c>
      <c r="G1394" s="64"/>
      <c r="H1394" s="64" t="str">
        <f>IF(SAISIE!B97="","",SAISIE!D97)</f>
        <v/>
      </c>
      <c r="I1394" s="66"/>
      <c r="J1394" s="67" t="str">
        <f>IF(AZ97="","","")</f>
        <v/>
      </c>
      <c r="O1394" s="69">
        <f>O1378+1</f>
        <v>97</v>
      </c>
    </row>
    <row r="1395" spans="1:15" x14ac:dyDescent="0.25">
      <c r="A1395" s="63" t="str">
        <f>IF(AND(G1395="",H1395=""),"SUPPR",SAISIE!$B$3)</f>
        <v>SUPPR</v>
      </c>
      <c r="B1395" s="63" t="str">
        <f>IF(SAISIE!P97="","",IF(LEN(SAISIE!B97)=1,CONCATENATE("0",SAISIE!B97,"/",SAISIE!$B$4,"/",SAISIE!$B$5),CONCATENATE(SAISIE!B97,"/",SAISIE!$B$4,"/",SAISIE!$B$5)))</f>
        <v/>
      </c>
      <c r="C1395" s="63" t="str">
        <f>IF(SAISIE!P97="","",SAISIE!O97)</f>
        <v/>
      </c>
      <c r="D1395" s="63" t="str">
        <f>IF(SAISIE!P97="","",SAISIE!E97)</f>
        <v/>
      </c>
      <c r="E1395" s="63" t="str">
        <f>IF(SAISIE!P97="","",SAISIE!F97)</f>
        <v/>
      </c>
      <c r="F1395" s="70" t="str">
        <f>IF(SAISIE!$P97="","",IF(SAISIE!$N97="","",SAISIE!$N97))</f>
        <v/>
      </c>
      <c r="G1395" s="63" t="str">
        <f>IF(SAISIE!P97="","",SAISIE!P97)</f>
        <v/>
      </c>
      <c r="H1395" s="63"/>
      <c r="I1395" s="63" t="str">
        <f>IF(SAISIE!$P97="","",SAISIE!$Q97)</f>
        <v/>
      </c>
      <c r="J1395" s="71" t="str">
        <f>IF(COUNTBLANK(SAISIE!$J$6:$M$6)=4,"",IF(SAISIE!P97="","",IF(SAISIE!J97&gt;0,SAISIE!$J$6,IF(SAISIE!K97&gt;0,SAISIE!$K$6,IF(SAISIE!L97&gt;0,SAISIE!$L$6,IF(SAISIE!M97&gt;0,SAISIE!$M$6,""))))))</f>
        <v/>
      </c>
      <c r="O1395" s="59" t="s">
        <v>50</v>
      </c>
    </row>
    <row r="1396" spans="1:15" x14ac:dyDescent="0.25">
      <c r="A1396" s="63" t="str">
        <f>IF(AND(G1396="",H1396=""),"SUPPR",SAISIE!$B$3)</f>
        <v>SUPPR</v>
      </c>
      <c r="B1396" s="63" t="str">
        <f>IF(SAISIE!G97="","",IF(LEN(SAISIE!B97)=1,CONCATENATE("0",SAISIE!B97,"/",SAISIE!$B$4,"/",SAISIE!$B$5),CONCATENATE(SAISIE!B97,"/",SAISIE!$B$4,"/",SAISIE!$B$5)))</f>
        <v/>
      </c>
      <c r="C1396" s="63" t="str">
        <f>IF(SAISIE!G97="","",SAISIE!$G$8)</f>
        <v/>
      </c>
      <c r="D1396" s="63" t="str">
        <f>IF(SAISIE!G97="","",SAISIE!E97)</f>
        <v/>
      </c>
      <c r="E1396" s="63" t="str">
        <f>IF(SAISIE!G97="","",SAISIE!F97)</f>
        <v/>
      </c>
      <c r="F1396" s="70" t="str">
        <f>IF(SAISIE!$G97="","",IF(SAISIE!$N97="","",SAISIE!$N97))</f>
        <v/>
      </c>
      <c r="G1396" s="63" t="str">
        <f>IF(SAISIE!G97="","",SAISIE!G97)</f>
        <v/>
      </c>
      <c r="H1396" s="63"/>
      <c r="I1396" s="63" t="str">
        <f>IF(SAISIE!$G97="","",SAISIE!$Q97)</f>
        <v/>
      </c>
      <c r="J1396" s="71" t="str">
        <f>IF(COUNTBLANK(SAISIE!$J$6:$M$6)=4,"",IF(SAISIE!G97="","",IF(SAISIE!J97&gt;0,SAISIE!$J$6,IF(SAISIE!K97&gt;0,SAISIE!$K$6,IF(SAISIE!L97&gt;0,SAISIE!$L$6,IF(SAISIE!M97&gt;0,SAISIE!$M$6,""))))))</f>
        <v/>
      </c>
      <c r="O1396" s="59" t="s">
        <v>51</v>
      </c>
    </row>
    <row r="1397" spans="1:15" x14ac:dyDescent="0.25">
      <c r="A1397" s="63" t="str">
        <f>IF(AND(G1397="",H1397=""),"SUPPR",SAISIE!$B$3)</f>
        <v>SUPPR</v>
      </c>
      <c r="B1397" s="63" t="str">
        <f>IF(SAISIE!H97="","",IF(LEN(SAISIE!B97)=1,CONCATENATE("0",SAISIE!B97,"/",SAISIE!$B$4,"/",SAISIE!$B$5),CONCATENATE(SAISIE!B97,"/",SAISIE!$B$4,"/",SAISIE!$B$5)))</f>
        <v/>
      </c>
      <c r="C1397" s="63" t="str">
        <f>IF(SAISIE!H97="","",SAISIE!$H$8)</f>
        <v/>
      </c>
      <c r="D1397" s="63" t="str">
        <f>IF(SAISIE!H97="","",SAISIE!E97)</f>
        <v/>
      </c>
      <c r="E1397" s="63" t="str">
        <f>IF(SAISIE!H97="","",SAISIE!F97)</f>
        <v/>
      </c>
      <c r="F1397" s="70" t="str">
        <f>IF(SAISIE!$H97="","",IF(SAISIE!$N97="","",SAISIE!$N97))</f>
        <v/>
      </c>
      <c r="G1397" s="63" t="str">
        <f>IF(SAISIE!H97="","",SAISIE!H97)</f>
        <v/>
      </c>
      <c r="H1397" s="63"/>
      <c r="I1397" s="63" t="str">
        <f>IF(SAISIE!$H97="","",SAISIE!$Q97)</f>
        <v/>
      </c>
      <c r="J1397" s="71" t="str">
        <f>IF(COUNTBLANK(SAISIE!$J$6:$M$6)=4,"",IF(SAISIE!H97="","",IF(SAISIE!J97&gt;0,SAISIE!$J$6,IF(SAISIE!K97&gt;0,SAISIE!$K$6,IF(SAISIE!L97&gt;0,SAISIE!$L$6,IF(SAISIE!M97&gt;0,SAISIE!$M$6,""))))))</f>
        <v/>
      </c>
      <c r="O1397" s="59" t="s">
        <v>52</v>
      </c>
    </row>
    <row r="1398" spans="1:15" x14ac:dyDescent="0.25">
      <c r="A1398" s="63" t="str">
        <f>IF(AND(G1398="",H1398=""),"SUPPR",SAISIE!$B$3)</f>
        <v>SUPPR</v>
      </c>
      <c r="B1398" s="63" t="str">
        <f>IF(SAISIE!I97="","",IF(LEN(SAISIE!B97)=1,CONCATENATE("0",SAISIE!B97,"/",SAISIE!$B$4,"/",SAISIE!$B$5),CONCATENATE(SAISIE!B97,"/",SAISIE!$B$4,"/",SAISIE!$B$5)))</f>
        <v/>
      </c>
      <c r="C1398" s="63" t="str">
        <f>IF(SAISIE!I97="","",SAISIE!$I$8)</f>
        <v/>
      </c>
      <c r="D1398" s="63" t="str">
        <f>IF(SAISIE!I97="","",SAISIE!E97)</f>
        <v/>
      </c>
      <c r="E1398" s="63" t="str">
        <f>IF(SAISIE!I97="","",SAISIE!F97)</f>
        <v/>
      </c>
      <c r="F1398" s="70" t="str">
        <f>IF(SAISIE!$I97="","",IF(SAISIE!$N97="","",SAISIE!$N97))</f>
        <v/>
      </c>
      <c r="G1398" s="63" t="str">
        <f>IF(SAISIE!I97="","",SAISIE!I97)</f>
        <v/>
      </c>
      <c r="H1398" s="63"/>
      <c r="I1398" s="63" t="str">
        <f>IF(SAISIE!$I97="","",SAISIE!$Q97)</f>
        <v/>
      </c>
      <c r="J1398" s="71" t="str">
        <f>IF(COUNTBLANK(SAISIE!$J$6:$M$6)=4,"",IF(SAISIE!I97="","",IF(SAISIE!J97&gt;0,SAISIE!$J$6,IF(SAISIE!K97&gt;0,SAISIE!$K$6,IF(SAISIE!L97&gt;0,SAISIE!$L$6,IF(SAISIE!M97&gt;0,SAISIE!$M$6,""))))))</f>
        <v/>
      </c>
      <c r="O1398" s="59" t="s">
        <v>53</v>
      </c>
    </row>
    <row r="1399" spans="1:15" x14ac:dyDescent="0.25">
      <c r="A1399" s="63" t="e">
        <f>IF(AND(G1399="",H1399=""),"SUPPR",SAISIE!$B$3)</f>
        <v>#REF!</v>
      </c>
      <c r="B1399" s="63" t="e">
        <f>IF(SAISIE!#REF!="","",IF(LEN(SAISIE!B97)=1,CONCATENATE("0",SAISIE!B97,"/",SAISIE!$B$4,"/",SAISIE!$B$5),CONCATENATE(SAISIE!B97,"/",SAISIE!$B$4,"/",SAISIE!$B$5)))</f>
        <v>#REF!</v>
      </c>
      <c r="C1399" s="63" t="e">
        <f>IF(SAISIE!#REF!="","",SAISIE!#REF!)</f>
        <v>#REF!</v>
      </c>
      <c r="D1399" s="63" t="e">
        <f>IF(SAISIE!#REF!="","",SAISIE!E97)</f>
        <v>#REF!</v>
      </c>
      <c r="E1399" s="63" t="e">
        <f>IF(SAISIE!#REF!="","",SAISIE!F97)</f>
        <v>#REF!</v>
      </c>
      <c r="F1399" s="70" t="e">
        <f>IF(SAISIE!#REF!="","",IF(SAISIE!$N97="","",SAISIE!$N97))</f>
        <v>#REF!</v>
      </c>
      <c r="G1399" s="63" t="e">
        <f>IF(SAISIE!#REF!="","",SAISIE!#REF!)</f>
        <v>#REF!</v>
      </c>
      <c r="H1399" s="63"/>
      <c r="I1399" s="63" t="e">
        <f>IF(SAISIE!#REF!="","",SAISIE!$Q97)</f>
        <v>#REF!</v>
      </c>
      <c r="J1399" s="71" t="str">
        <f>IF(COUNTBLANK(SAISIE!$J$6:$M$6)=4,"",IF(SAISIE!#REF!="","",IF(SAISIE!J97&gt;0,SAISIE!$J$6,IF(SAISIE!K97&gt;0,SAISIE!$K$6,IF(SAISIE!L97&gt;0,SAISIE!$L$6,IF(SAISIE!M97&gt;0,SAISIE!$M$6,""))))))</f>
        <v/>
      </c>
      <c r="O1399" s="59" t="s">
        <v>54</v>
      </c>
    </row>
    <row r="1400" spans="1:15" x14ac:dyDescent="0.25">
      <c r="A1400" s="63" t="e">
        <f>IF(AND(G1400="",H1400=""),"SUPPR",SAISIE!$B$3)</f>
        <v>#REF!</v>
      </c>
      <c r="B1400" s="63" t="e">
        <f>IF(SAISIE!#REF!="","",IF(LEN(SAISIE!B97)=1,CONCATENATE("0",SAISIE!B97,"/",SAISIE!$B$4,"/",SAISIE!$B$5),CONCATENATE(SAISIE!B97,"/",SAISIE!$B$4,"/",SAISIE!$B$5)))</f>
        <v>#REF!</v>
      </c>
      <c r="C1400" s="63" t="e">
        <f>IF(SAISIE!#REF!="","",SAISIE!#REF!)</f>
        <v>#REF!</v>
      </c>
      <c r="D1400" s="63" t="e">
        <f>IF(SAISIE!#REF!="","",SAISIE!E97)</f>
        <v>#REF!</v>
      </c>
      <c r="E1400" s="63" t="e">
        <f>IF(SAISIE!#REF!="","",SAISIE!F97)</f>
        <v>#REF!</v>
      </c>
      <c r="F1400" s="70" t="e">
        <f>IF(SAISIE!#REF!="","",IF(SAISIE!$N97="","",SAISIE!$N97))</f>
        <v>#REF!</v>
      </c>
      <c r="G1400" s="63" t="e">
        <f>IF(SAISIE!#REF!="","",SAISIE!#REF!)</f>
        <v>#REF!</v>
      </c>
      <c r="H1400" s="63"/>
      <c r="I1400" s="63" t="e">
        <f>IF(SAISIE!#REF!="","",SAISIE!$Q97)</f>
        <v>#REF!</v>
      </c>
      <c r="J1400" s="71" t="str">
        <f>IF(COUNTBLANK(SAISIE!$J$6:$M$6)=4,"",IF(SAISIE!#REF!="","",IF(SAISIE!J97&gt;0,SAISIE!$J$6,IF(SAISIE!K97&gt;0,SAISIE!$K$6,IF(SAISIE!L97&gt;0,SAISIE!$L$6,IF(SAISIE!M97&gt;0,SAISIE!$M$6,""))))))</f>
        <v/>
      </c>
      <c r="O1400" s="59" t="s">
        <v>55</v>
      </c>
    </row>
    <row r="1401" spans="1:15" x14ac:dyDescent="0.25">
      <c r="A1401" s="63" t="e">
        <f>IF(AND(G1401="",H1401=""),"SUPPR",SAISIE!$B$3)</f>
        <v>#REF!</v>
      </c>
      <c r="B1401" s="63" t="e">
        <f>IF(SAISIE!#REF!="","",IF(LEN(SAISIE!B97)=1,CONCATENATE("0",SAISIE!B97,"/",SAISIE!$B$4,"/",SAISIE!$B$5),CONCATENATE(SAISIE!B97,"/",SAISIE!$B$4,"/",SAISIE!$B$5)))</f>
        <v>#REF!</v>
      </c>
      <c r="C1401" s="63" t="e">
        <f>IF(SAISIE!#REF!="","",SAISIE!#REF!)</f>
        <v>#REF!</v>
      </c>
      <c r="D1401" s="63" t="e">
        <f>IF(SAISIE!#REF!="","",SAISIE!E97)</f>
        <v>#REF!</v>
      </c>
      <c r="E1401" s="63" t="e">
        <f>IF(SAISIE!#REF!="","",SAISIE!F97)</f>
        <v>#REF!</v>
      </c>
      <c r="F1401" s="70" t="e">
        <f>IF(SAISIE!#REF!="","",IF(SAISIE!$N97="","",SAISIE!$N97))</f>
        <v>#REF!</v>
      </c>
      <c r="G1401" s="63" t="e">
        <f>IF(SAISIE!#REF!="","",SAISIE!#REF!)</f>
        <v>#REF!</v>
      </c>
      <c r="H1401" s="63"/>
      <c r="I1401" s="63" t="e">
        <f>IF(SAISIE!#REF!="","",SAISIE!$Q97)</f>
        <v>#REF!</v>
      </c>
      <c r="J1401" s="71" t="str">
        <f>IF(COUNTBLANK(SAISIE!$J$6:$M$6)=4,"",IF(SAISIE!#REF!="","",IF(SAISIE!J97&gt;0,SAISIE!$J$6,IF(SAISIE!K97&gt;0,SAISIE!$K$6,IF(SAISIE!L97&gt;0,SAISIE!$L$6,IF(SAISIE!M97&gt;0,SAISIE!$M$6,""))))))</f>
        <v/>
      </c>
      <c r="O1401" s="59" t="s">
        <v>56</v>
      </c>
    </row>
    <row r="1402" spans="1:15" x14ac:dyDescent="0.25">
      <c r="A1402" s="63" t="e">
        <f>IF(AND(G1402="",H1402=""),"SUPPR",SAISIE!$B$3)</f>
        <v>#REF!</v>
      </c>
      <c r="B1402" s="63" t="e">
        <f>IF(SAISIE!#REF!="","",IF(LEN(SAISIE!B97)=1,CONCATENATE("0",SAISIE!B97,"/",SAISIE!$B$4,"/",SAISIE!$B$5),CONCATENATE(SAISIE!B97,"/",SAISIE!$B$4,"/",SAISIE!$B$5)))</f>
        <v>#REF!</v>
      </c>
      <c r="C1402" s="63" t="e">
        <f>IF(SAISIE!#REF!="","",SAISIE!#REF!)</f>
        <v>#REF!</v>
      </c>
      <c r="D1402" s="63" t="e">
        <f>IF(SAISIE!#REF!="","",SAISIE!E97)</f>
        <v>#REF!</v>
      </c>
      <c r="E1402" s="63" t="e">
        <f>IF(SAISIE!#REF!="","",SAISIE!F97)</f>
        <v>#REF!</v>
      </c>
      <c r="F1402" s="70" t="e">
        <f>IF(SAISIE!#REF!="","",IF(SAISIE!$N97="","",SAISIE!$N97))</f>
        <v>#REF!</v>
      </c>
      <c r="G1402" s="63" t="e">
        <f>IF(SAISIE!#REF!="","",SAISIE!#REF!)</f>
        <v>#REF!</v>
      </c>
      <c r="H1402" s="63"/>
      <c r="I1402" s="63" t="e">
        <f>IF(SAISIE!#REF!="","",SAISIE!$Q97)</f>
        <v>#REF!</v>
      </c>
      <c r="J1402" s="71" t="str">
        <f>IF(COUNTBLANK(SAISIE!$J$6:$M$6)=4,"",IF(SAISIE!#REF!="","",IF(SAISIE!J97&gt;0,SAISIE!$J$6,IF(SAISIE!K97&gt;0,SAISIE!$K$6,IF(SAISIE!L97&gt;0,SAISIE!$L$6,IF(SAISIE!M97&gt;0,SAISIE!$M$6,""))))))</f>
        <v/>
      </c>
      <c r="O1402" s="59" t="s">
        <v>57</v>
      </c>
    </row>
    <row r="1403" spans="1:15" x14ac:dyDescent="0.25">
      <c r="A1403" s="63" t="e">
        <f>IF(AND(G1403="",H1403=""),"SUPPR",SAISIE!$B$3)</f>
        <v>#REF!</v>
      </c>
      <c r="B1403" s="63" t="e">
        <f>IF(SAISIE!#REF!="","",IF(LEN(SAISIE!B97)=1,CONCATENATE("0",SAISIE!B97,"/",SAISIE!$B$4,"/",SAISIE!$B$5),CONCATENATE(SAISIE!B97,"/",SAISIE!$B$4,"/",SAISIE!$B$5)))</f>
        <v>#REF!</v>
      </c>
      <c r="C1403" s="63" t="e">
        <f>IF(SAISIE!#REF!="","",SAISIE!#REF!)</f>
        <v>#REF!</v>
      </c>
      <c r="D1403" s="63" t="e">
        <f>IF(SAISIE!#REF!="","",SAISIE!E97)</f>
        <v>#REF!</v>
      </c>
      <c r="E1403" s="63" t="e">
        <f>IF(SAISIE!#REF!="","",SAISIE!F97)</f>
        <v>#REF!</v>
      </c>
      <c r="F1403" s="70" t="e">
        <f>IF(SAISIE!#REF!="","",IF(SAISIE!$N97="","",SAISIE!$N97))</f>
        <v>#REF!</v>
      </c>
      <c r="G1403" s="63" t="e">
        <f>IF(SAISIE!#REF!="","",SAISIE!#REF!)</f>
        <v>#REF!</v>
      </c>
      <c r="H1403" s="63"/>
      <c r="I1403" s="63" t="e">
        <f>IF(SAISIE!#REF!="","",SAISIE!$Q97)</f>
        <v>#REF!</v>
      </c>
      <c r="J1403" s="71" t="str">
        <f>IF(COUNTBLANK(SAISIE!$J$6:$M$6)=4,"",IF(SAISIE!#REF!="","",IF(SAISIE!J97&gt;0,SAISIE!$J$6,IF(SAISIE!K97&gt;0,SAISIE!$K$6,IF(SAISIE!L97&gt;0,SAISIE!$L$6,IF(SAISIE!M97&gt;0,SAISIE!$M$6,""))))))</f>
        <v/>
      </c>
      <c r="O1403" s="59" t="s">
        <v>58</v>
      </c>
    </row>
    <row r="1404" spans="1:15" x14ac:dyDescent="0.25">
      <c r="A1404" s="63" t="e">
        <f>IF(AND(G1404="",H1404=""),"SUPPR",SAISIE!$B$3)</f>
        <v>#REF!</v>
      </c>
      <c r="B1404" s="63" t="e">
        <f>IF(SAISIE!#REF!="","",IF(LEN(SAISIE!B97)=1,CONCATENATE("0",SAISIE!B97,"/",SAISIE!$B$4,"/",SAISIE!$B$5),CONCATENATE(SAISIE!B97,"/",SAISIE!$B$4,"/",SAISIE!$B$5)))</f>
        <v>#REF!</v>
      </c>
      <c r="C1404" s="63" t="e">
        <f>IF(SAISIE!#REF!="","",SAISIE!#REF!)</f>
        <v>#REF!</v>
      </c>
      <c r="D1404" s="63" t="e">
        <f>IF(SAISIE!#REF!="","",SAISIE!E97)</f>
        <v>#REF!</v>
      </c>
      <c r="E1404" s="63" t="e">
        <f>IF(SAISIE!#REF!="","",SAISIE!F97)</f>
        <v>#REF!</v>
      </c>
      <c r="F1404" s="70" t="e">
        <f>IF(SAISIE!#REF!="","",IF(SAISIE!$N97="","",SAISIE!$N97))</f>
        <v>#REF!</v>
      </c>
      <c r="G1404" s="63" t="e">
        <f>IF(SAISIE!#REF!="","",SAISIE!#REF!)</f>
        <v>#REF!</v>
      </c>
      <c r="H1404" s="63"/>
      <c r="I1404" s="63" t="e">
        <f>IF(SAISIE!#REF!="","",SAISIE!$Q97)</f>
        <v>#REF!</v>
      </c>
      <c r="J1404" s="71" t="str">
        <f>IF(COUNTBLANK(SAISIE!$J$6:$M$6)=4,"",IF(SAISIE!#REF!="","",IF(SAISIE!J97&gt;0,SAISIE!$J$6,IF(SAISIE!K97&gt;0,SAISIE!$K$6,IF(SAISIE!L97&gt;0,SAISIE!$L$6,IF(SAISIE!M97&gt;0,SAISIE!$M$6,""))))))</f>
        <v/>
      </c>
      <c r="O1404" s="59" t="s">
        <v>59</v>
      </c>
    </row>
    <row r="1405" spans="1:15" x14ac:dyDescent="0.25">
      <c r="A1405" s="63" t="e">
        <f>IF(AND(G1405="",H1405=""),"SUPPR",SAISIE!$B$3)</f>
        <v>#REF!</v>
      </c>
      <c r="B1405" s="63" t="e">
        <f>IF(SAISIE!#REF!="","",IF(LEN(SAISIE!B97)=1,CONCATENATE("0",SAISIE!B97,"/",SAISIE!$B$4,"/",SAISIE!$B$5),CONCATENATE(SAISIE!B97,"/",SAISIE!$B$4,"/",SAISIE!$B$5)))</f>
        <v>#REF!</v>
      </c>
      <c r="C1405" s="63" t="e">
        <f>IF(SAISIE!#REF!="","",SAISIE!#REF!)</f>
        <v>#REF!</v>
      </c>
      <c r="D1405" s="63" t="e">
        <f>IF(SAISIE!#REF!="","",SAISIE!E97)</f>
        <v>#REF!</v>
      </c>
      <c r="E1405" s="63" t="e">
        <f>IF(SAISIE!#REF!="","",SAISIE!F97)</f>
        <v>#REF!</v>
      </c>
      <c r="F1405" s="70" t="e">
        <f>IF(SAISIE!#REF!="","",IF(SAISIE!$N97="","",SAISIE!$N97))</f>
        <v>#REF!</v>
      </c>
      <c r="G1405" s="63" t="e">
        <f>IF(SAISIE!#REF!="","",SAISIE!#REF!)</f>
        <v>#REF!</v>
      </c>
      <c r="H1405" s="63"/>
      <c r="I1405" s="63" t="e">
        <f>IF(SAISIE!#REF!="","",SAISIE!$Q97)</f>
        <v>#REF!</v>
      </c>
      <c r="J1405" s="71" t="str">
        <f>IF(COUNTBLANK(SAISIE!$J$6:$M$6)=4,"",IF(SAISIE!#REF!="","",IF(SAISIE!J97&gt;0,SAISIE!$J$6,IF(SAISIE!K97&gt;0,SAISIE!$K$6,IF(SAISIE!L97&gt;0,SAISIE!$L$6,IF(SAISIE!M97&gt;0,SAISIE!$M$6,""))))))</f>
        <v/>
      </c>
      <c r="O1405" s="59" t="s">
        <v>60</v>
      </c>
    </row>
    <row r="1406" spans="1:15" x14ac:dyDescent="0.25">
      <c r="A1406" s="63" t="str">
        <f>IF(AND(G1406="",H1406=""),"SUPPR",SAISIE!$B$3)</f>
        <v>SUPPR</v>
      </c>
      <c r="B1406" s="63" t="str">
        <f>IF(SAISIE!J97="","",IF(LEN(SAISIE!B97)=1,CONCATENATE("0",SAISIE!B97,"/",SAISIE!$B$4,"/",SAISIE!$B$5),CONCATENATE(SAISIE!B97,"/",SAISIE!$B$4,"/",SAISIE!$B$5)))</f>
        <v/>
      </c>
      <c r="C1406" s="63" t="str">
        <f>IF(SAISIE!J97="","",SAISIE!$J$8)</f>
        <v/>
      </c>
      <c r="D1406" s="63" t="str">
        <f>IF(SAISIE!J97="","",SAISIE!E97)</f>
        <v/>
      </c>
      <c r="E1406" s="63" t="str">
        <f>IF(SAISIE!J97="","",SAISIE!F97)</f>
        <v/>
      </c>
      <c r="F1406" s="70" t="str">
        <f>IF(SAISIE!$J97="","",IF(SAISIE!$N97="","",SAISIE!$N97))</f>
        <v/>
      </c>
      <c r="G1406" s="63" t="str">
        <f>IF(SAISIE!J97="","",SAISIE!J97)</f>
        <v/>
      </c>
      <c r="H1406" s="63"/>
      <c r="I1406" s="72"/>
      <c r="J1406" s="71"/>
      <c r="O1406" s="73"/>
    </row>
    <row r="1407" spans="1:15" x14ac:dyDescent="0.25">
      <c r="A1407" s="63" t="str">
        <f>IF(AND(G1407="",H1407=""),"SUPPR",SAISIE!$B$3)</f>
        <v>SUPPR</v>
      </c>
      <c r="B1407" s="63" t="str">
        <f>IF(SAISIE!K97="","",IF(LEN(SAISIE!B97)=1,CONCATENATE("0",SAISIE!B97,"/",SAISIE!$B$4,"/",SAISIE!$B$5),CONCATENATE(SAISIE!B97,"/",SAISIE!$B$4,"/",SAISIE!$B$5)))</f>
        <v/>
      </c>
      <c r="C1407" s="63" t="str">
        <f>IF(SAISIE!K97="","",SAISIE!$K$8)</f>
        <v/>
      </c>
      <c r="D1407" s="63" t="str">
        <f>IF(SAISIE!K97="","",SAISIE!E97)</f>
        <v/>
      </c>
      <c r="E1407" s="63" t="str">
        <f>IF(SAISIE!K97="","",SAISIE!F97)</f>
        <v/>
      </c>
      <c r="F1407" s="70" t="str">
        <f>IF(SAISIE!$K97="","",IF(SAISIE!$N97="","",SAISIE!$N97))</f>
        <v/>
      </c>
      <c r="G1407" s="63" t="str">
        <f>IF(SAISIE!K97="","",SAISIE!K97)</f>
        <v/>
      </c>
      <c r="H1407" s="63"/>
      <c r="I1407" s="72"/>
      <c r="J1407" s="71"/>
    </row>
    <row r="1408" spans="1:15" x14ac:dyDescent="0.25">
      <c r="A1408" s="63" t="str">
        <f>IF(AND(G1408="",H1408=""),"SUPPR",SAISIE!$B$3)</f>
        <v>SUPPR</v>
      </c>
      <c r="B1408" s="63" t="str">
        <f>IF(SAISIE!L97="","",IF(LEN(SAISIE!B97)=1,CONCATENATE("0",SAISIE!B97,"/",SAISIE!$B$4,"/",SAISIE!$B$5),CONCATENATE(SAISIE!B97,"/",SAISIE!$B$4,"/",SAISIE!$B$5)))</f>
        <v/>
      </c>
      <c r="C1408" s="63" t="str">
        <f>IF(SAISIE!L97="","",SAISIE!$L$8)</f>
        <v/>
      </c>
      <c r="D1408" s="63" t="str">
        <f>IF(SAISIE!L97="","",SAISIE!E97)</f>
        <v/>
      </c>
      <c r="E1408" s="63" t="str">
        <f>IF(SAISIE!L97="","",SAISIE!F97)</f>
        <v/>
      </c>
      <c r="F1408" s="70" t="str">
        <f>IF(SAISIE!$L97="","",IF(SAISIE!$N97="","",SAISIE!$N97))</f>
        <v/>
      </c>
      <c r="G1408" s="63" t="str">
        <f>IF(SAISIE!L97="","",SAISIE!L97)</f>
        <v/>
      </c>
      <c r="H1408" s="63"/>
      <c r="I1408" s="72"/>
      <c r="J1408" s="71"/>
    </row>
    <row r="1409" spans="1:15" x14ac:dyDescent="0.25">
      <c r="A1409" s="63" t="str">
        <f>IF(AND(G1409="",H1409=""),"SUPPR",SAISIE!$B$3)</f>
        <v>SUPPR</v>
      </c>
      <c r="B1409" s="63" t="str">
        <f>IF(SAISIE!M97="","",IF(LEN(SAISIE!B97)=1,CONCATENATE("0",SAISIE!B97,"/",SAISIE!$B$4,"/",SAISIE!$B$5),CONCATENATE(SAISIE!B97,"/",SAISIE!$B$4,"/",SAISIE!$B$5)))</f>
        <v/>
      </c>
      <c r="C1409" s="74" t="str">
        <f>IF(SAISIE!M97="","",SAISIE!$M$8)</f>
        <v/>
      </c>
      <c r="D1409" s="74" t="str">
        <f>IF(SAISIE!M97="","",SAISIE!E97)</f>
        <v/>
      </c>
      <c r="E1409" s="74" t="str">
        <f>IF(SAISIE!M97="","",SAISIE!F97)</f>
        <v/>
      </c>
      <c r="F1409" s="75" t="str">
        <f>IF(SAISIE!$M97="","",IF(SAISIE!$N97="","",SAISIE!$N97))</f>
        <v/>
      </c>
      <c r="G1409" s="74" t="str">
        <f>IF(SAISIE!M97="","",SAISIE!M97)</f>
        <v/>
      </c>
      <c r="H1409" s="76"/>
      <c r="I1409" s="77"/>
      <c r="J1409" s="78"/>
    </row>
    <row r="1410" spans="1:15" x14ac:dyDescent="0.25">
      <c r="A1410" s="63" t="str">
        <f>IF(AND(G1410="",H1410=""),"SUPPR",SAISIE!$B$3)</f>
        <v>SUPPR</v>
      </c>
      <c r="B1410" s="64" t="str">
        <f>IF(SAISIE!B98="","",IF(LEN(SAISIE!B98)=1,CONCATENATE("0",SAISIE!B98,"/",SAISIE!$B$4,"/",SAISIE!$B$5),CONCATENATE(SAISIE!B98,"/",SAISIE!$B$4,"/",SAISIE!$B$5)))</f>
        <v/>
      </c>
      <c r="C1410" s="64" t="str">
        <f>IF(SAISIE!B98="","",CONCATENATE($M$2,SAISIE!C98))</f>
        <v/>
      </c>
      <c r="D1410" s="64" t="str">
        <f>IF(SAISIE!B98="","",SAISIE!E98)</f>
        <v/>
      </c>
      <c r="E1410" s="64" t="str">
        <f>IF(SAISIE!B98="","",SAISIE!F98)</f>
        <v/>
      </c>
      <c r="F1410" s="65" t="str">
        <f>IF(A1410="SUPPR","",IF(SAISIE!$N98="","",SAISIE!$N98))</f>
        <v/>
      </c>
      <c r="G1410" s="64"/>
      <c r="H1410" s="64" t="str">
        <f>IF(SAISIE!B98="","",SAISIE!D98)</f>
        <v/>
      </c>
      <c r="I1410" s="66"/>
      <c r="J1410" s="67" t="str">
        <f>IF(AZ98="","","")</f>
        <v/>
      </c>
      <c r="O1410" s="69">
        <f>O1394+1</f>
        <v>98</v>
      </c>
    </row>
    <row r="1411" spans="1:15" x14ac:dyDescent="0.25">
      <c r="A1411" s="63" t="str">
        <f>IF(AND(G1411="",H1411=""),"SUPPR",SAISIE!$B$3)</f>
        <v>SUPPR</v>
      </c>
      <c r="B1411" s="63" t="str">
        <f>IF(SAISIE!P98="","",IF(LEN(SAISIE!B98)=1,CONCATENATE("0",SAISIE!B98,"/",SAISIE!$B$4,"/",SAISIE!$B$5),CONCATENATE(SAISIE!B98,"/",SAISIE!$B$4,"/",SAISIE!$B$5)))</f>
        <v/>
      </c>
      <c r="C1411" s="63" t="str">
        <f>IF(SAISIE!P98="","",SAISIE!O98)</f>
        <v/>
      </c>
      <c r="D1411" s="63" t="str">
        <f>IF(SAISIE!P98="","",SAISIE!E98)</f>
        <v/>
      </c>
      <c r="E1411" s="63" t="str">
        <f>IF(SAISIE!P98="","",SAISIE!F98)</f>
        <v/>
      </c>
      <c r="F1411" s="70" t="str">
        <f>IF(SAISIE!$P98="","",IF(SAISIE!$N98="","",SAISIE!$N98))</f>
        <v/>
      </c>
      <c r="G1411" s="63" t="str">
        <f>IF(SAISIE!P98="","",SAISIE!P98)</f>
        <v/>
      </c>
      <c r="H1411" s="63"/>
      <c r="I1411" s="63" t="str">
        <f>IF(SAISIE!$P98="","",SAISIE!$Q98)</f>
        <v/>
      </c>
      <c r="J1411" s="71" t="str">
        <f>IF(COUNTBLANK(SAISIE!$J$6:$M$6)=4,"",IF(SAISIE!P98="","",IF(SAISIE!J98&gt;0,SAISIE!$J$6,IF(SAISIE!K98&gt;0,SAISIE!$K$6,IF(SAISIE!L98&gt;0,SAISIE!$L$6,IF(SAISIE!M98&gt;0,SAISIE!$M$6,""))))))</f>
        <v/>
      </c>
      <c r="O1411" s="59" t="s">
        <v>50</v>
      </c>
    </row>
    <row r="1412" spans="1:15" x14ac:dyDescent="0.25">
      <c r="A1412" s="63" t="str">
        <f>IF(AND(G1412="",H1412=""),"SUPPR",SAISIE!$B$3)</f>
        <v>SUPPR</v>
      </c>
      <c r="B1412" s="63" t="str">
        <f>IF(SAISIE!G98="","",IF(LEN(SAISIE!B98)=1,CONCATENATE("0",SAISIE!B98,"/",SAISIE!$B$4,"/",SAISIE!$B$5),CONCATENATE(SAISIE!B98,"/",SAISIE!$B$4,"/",SAISIE!$B$5)))</f>
        <v/>
      </c>
      <c r="C1412" s="63" t="str">
        <f>IF(SAISIE!G98="","",SAISIE!$G$8)</f>
        <v/>
      </c>
      <c r="D1412" s="63" t="str">
        <f>IF(SAISIE!G98="","",SAISIE!E98)</f>
        <v/>
      </c>
      <c r="E1412" s="63" t="str">
        <f>IF(SAISIE!G98="","",SAISIE!F98)</f>
        <v/>
      </c>
      <c r="F1412" s="70" t="str">
        <f>IF(SAISIE!$G98="","",IF(SAISIE!$N98="","",SAISIE!$N98))</f>
        <v/>
      </c>
      <c r="G1412" s="63" t="str">
        <f>IF(SAISIE!G98="","",SAISIE!G98)</f>
        <v/>
      </c>
      <c r="H1412" s="63"/>
      <c r="I1412" s="63" t="str">
        <f>IF(SAISIE!$G98="","",SAISIE!$Q98)</f>
        <v/>
      </c>
      <c r="J1412" s="71" t="str">
        <f>IF(COUNTBLANK(SAISIE!$J$6:$M$6)=4,"",IF(SAISIE!G98="","",IF(SAISIE!J98&gt;0,SAISIE!$J$6,IF(SAISIE!K98&gt;0,SAISIE!$K$6,IF(SAISIE!L98&gt;0,SAISIE!$L$6,IF(SAISIE!M98&gt;0,SAISIE!$M$6,""))))))</f>
        <v/>
      </c>
      <c r="O1412" s="59" t="s">
        <v>51</v>
      </c>
    </row>
    <row r="1413" spans="1:15" x14ac:dyDescent="0.25">
      <c r="A1413" s="63" t="str">
        <f>IF(AND(G1413="",H1413=""),"SUPPR",SAISIE!$B$3)</f>
        <v>SUPPR</v>
      </c>
      <c r="B1413" s="63" t="str">
        <f>IF(SAISIE!H98="","",IF(LEN(SAISIE!B98)=1,CONCATENATE("0",SAISIE!B98,"/",SAISIE!$B$4,"/",SAISIE!$B$5),CONCATENATE(SAISIE!B98,"/",SAISIE!$B$4,"/",SAISIE!$B$5)))</f>
        <v/>
      </c>
      <c r="C1413" s="63" t="str">
        <f>IF(SAISIE!H98="","",SAISIE!$H$8)</f>
        <v/>
      </c>
      <c r="D1413" s="63" t="str">
        <f>IF(SAISIE!H98="","",SAISIE!E98)</f>
        <v/>
      </c>
      <c r="E1413" s="63" t="str">
        <f>IF(SAISIE!H98="","",SAISIE!F98)</f>
        <v/>
      </c>
      <c r="F1413" s="70" t="str">
        <f>IF(SAISIE!$H98="","",IF(SAISIE!$N98="","",SAISIE!$N98))</f>
        <v/>
      </c>
      <c r="G1413" s="63" t="str">
        <f>IF(SAISIE!H98="","",SAISIE!H98)</f>
        <v/>
      </c>
      <c r="H1413" s="63"/>
      <c r="I1413" s="63" t="str">
        <f>IF(SAISIE!$H98="","",SAISIE!$Q98)</f>
        <v/>
      </c>
      <c r="J1413" s="71" t="str">
        <f>IF(COUNTBLANK(SAISIE!$J$6:$M$6)=4,"",IF(SAISIE!H98="","",IF(SAISIE!J98&gt;0,SAISIE!$J$6,IF(SAISIE!K98&gt;0,SAISIE!$K$6,IF(SAISIE!L98&gt;0,SAISIE!$L$6,IF(SAISIE!M98&gt;0,SAISIE!$M$6,""))))))</f>
        <v/>
      </c>
      <c r="O1413" s="59" t="s">
        <v>52</v>
      </c>
    </row>
    <row r="1414" spans="1:15" x14ac:dyDescent="0.25">
      <c r="A1414" s="63" t="str">
        <f>IF(AND(G1414="",H1414=""),"SUPPR",SAISIE!$B$3)</f>
        <v>SUPPR</v>
      </c>
      <c r="B1414" s="63" t="str">
        <f>IF(SAISIE!I98="","",IF(LEN(SAISIE!B98)=1,CONCATENATE("0",SAISIE!B98,"/",SAISIE!$B$4,"/",SAISIE!$B$5),CONCATENATE(SAISIE!B98,"/",SAISIE!$B$4,"/",SAISIE!$B$5)))</f>
        <v/>
      </c>
      <c r="C1414" s="63" t="str">
        <f>IF(SAISIE!I98="","",SAISIE!$I$8)</f>
        <v/>
      </c>
      <c r="D1414" s="63" t="str">
        <f>IF(SAISIE!I98="","",SAISIE!E98)</f>
        <v/>
      </c>
      <c r="E1414" s="63" t="str">
        <f>IF(SAISIE!I98="","",SAISIE!F98)</f>
        <v/>
      </c>
      <c r="F1414" s="70" t="str">
        <f>IF(SAISIE!$I98="","",IF(SAISIE!$N98="","",SAISIE!$N98))</f>
        <v/>
      </c>
      <c r="G1414" s="63" t="str">
        <f>IF(SAISIE!I98="","",SAISIE!I98)</f>
        <v/>
      </c>
      <c r="H1414" s="63"/>
      <c r="I1414" s="63" t="str">
        <f>IF(SAISIE!$I98="","",SAISIE!$Q98)</f>
        <v/>
      </c>
      <c r="J1414" s="71" t="str">
        <f>IF(COUNTBLANK(SAISIE!$J$6:$M$6)=4,"",IF(SAISIE!I98="","",IF(SAISIE!J98&gt;0,SAISIE!$J$6,IF(SAISIE!K98&gt;0,SAISIE!$K$6,IF(SAISIE!L98&gt;0,SAISIE!$L$6,IF(SAISIE!M98&gt;0,SAISIE!$M$6,""))))))</f>
        <v/>
      </c>
      <c r="O1414" s="59" t="s">
        <v>53</v>
      </c>
    </row>
    <row r="1415" spans="1:15" x14ac:dyDescent="0.25">
      <c r="A1415" s="63" t="e">
        <f>IF(AND(G1415="",H1415=""),"SUPPR",SAISIE!$B$3)</f>
        <v>#REF!</v>
      </c>
      <c r="B1415" s="63" t="e">
        <f>IF(SAISIE!#REF!="","",IF(LEN(SAISIE!B98)=1,CONCATENATE("0",SAISIE!B98,"/",SAISIE!$B$4,"/",SAISIE!$B$5),CONCATENATE(SAISIE!B98,"/",SAISIE!$B$4,"/",SAISIE!$B$5)))</f>
        <v>#REF!</v>
      </c>
      <c r="C1415" s="63" t="e">
        <f>IF(SAISIE!#REF!="","",SAISIE!#REF!)</f>
        <v>#REF!</v>
      </c>
      <c r="D1415" s="63" t="e">
        <f>IF(SAISIE!#REF!="","",SAISIE!E98)</f>
        <v>#REF!</v>
      </c>
      <c r="E1415" s="63" t="e">
        <f>IF(SAISIE!#REF!="","",SAISIE!F98)</f>
        <v>#REF!</v>
      </c>
      <c r="F1415" s="70" t="e">
        <f>IF(SAISIE!#REF!="","",IF(SAISIE!$N98="","",SAISIE!$N98))</f>
        <v>#REF!</v>
      </c>
      <c r="G1415" s="63" t="e">
        <f>IF(SAISIE!#REF!="","",SAISIE!#REF!)</f>
        <v>#REF!</v>
      </c>
      <c r="H1415" s="63"/>
      <c r="I1415" s="63" t="e">
        <f>IF(SAISIE!#REF!="","",SAISIE!$Q98)</f>
        <v>#REF!</v>
      </c>
      <c r="J1415" s="71" t="str">
        <f>IF(COUNTBLANK(SAISIE!$J$6:$M$6)=4,"",IF(SAISIE!#REF!="","",IF(SAISIE!J98&gt;0,SAISIE!$J$6,IF(SAISIE!K98&gt;0,SAISIE!$K$6,IF(SAISIE!L98&gt;0,SAISIE!$L$6,IF(SAISIE!M98&gt;0,SAISIE!$M$6,""))))))</f>
        <v/>
      </c>
      <c r="O1415" s="59" t="s">
        <v>54</v>
      </c>
    </row>
    <row r="1416" spans="1:15" x14ac:dyDescent="0.25">
      <c r="A1416" s="63" t="e">
        <f>IF(AND(G1416="",H1416=""),"SUPPR",SAISIE!$B$3)</f>
        <v>#REF!</v>
      </c>
      <c r="B1416" s="63" t="e">
        <f>IF(SAISIE!#REF!="","",IF(LEN(SAISIE!B98)=1,CONCATENATE("0",SAISIE!B98,"/",SAISIE!$B$4,"/",SAISIE!$B$5),CONCATENATE(SAISIE!B98,"/",SAISIE!$B$4,"/",SAISIE!$B$5)))</f>
        <v>#REF!</v>
      </c>
      <c r="C1416" s="63" t="e">
        <f>IF(SAISIE!#REF!="","",SAISIE!#REF!)</f>
        <v>#REF!</v>
      </c>
      <c r="D1416" s="63" t="e">
        <f>IF(SAISIE!#REF!="","",SAISIE!E98)</f>
        <v>#REF!</v>
      </c>
      <c r="E1416" s="63" t="e">
        <f>IF(SAISIE!#REF!="","",SAISIE!F98)</f>
        <v>#REF!</v>
      </c>
      <c r="F1416" s="70" t="e">
        <f>IF(SAISIE!#REF!="","",IF(SAISIE!$N98="","",SAISIE!$N98))</f>
        <v>#REF!</v>
      </c>
      <c r="G1416" s="63" t="e">
        <f>IF(SAISIE!#REF!="","",SAISIE!#REF!)</f>
        <v>#REF!</v>
      </c>
      <c r="H1416" s="63"/>
      <c r="I1416" s="63" t="e">
        <f>IF(SAISIE!#REF!="","",SAISIE!$Q98)</f>
        <v>#REF!</v>
      </c>
      <c r="J1416" s="71" t="str">
        <f>IF(COUNTBLANK(SAISIE!$J$6:$M$6)=4,"",IF(SAISIE!#REF!="","",IF(SAISIE!J98&gt;0,SAISIE!$J$6,IF(SAISIE!K98&gt;0,SAISIE!$K$6,IF(SAISIE!L98&gt;0,SAISIE!$L$6,IF(SAISIE!M98&gt;0,SAISIE!$M$6,""))))))</f>
        <v/>
      </c>
      <c r="O1416" s="59" t="s">
        <v>55</v>
      </c>
    </row>
    <row r="1417" spans="1:15" x14ac:dyDescent="0.25">
      <c r="A1417" s="63" t="e">
        <f>IF(AND(G1417="",H1417=""),"SUPPR",SAISIE!$B$3)</f>
        <v>#REF!</v>
      </c>
      <c r="B1417" s="63" t="e">
        <f>IF(SAISIE!#REF!="","",IF(LEN(SAISIE!B98)=1,CONCATENATE("0",SAISIE!B98,"/",SAISIE!$B$4,"/",SAISIE!$B$5),CONCATENATE(SAISIE!B98,"/",SAISIE!$B$4,"/",SAISIE!$B$5)))</f>
        <v>#REF!</v>
      </c>
      <c r="C1417" s="63" t="e">
        <f>IF(SAISIE!#REF!="","",SAISIE!#REF!)</f>
        <v>#REF!</v>
      </c>
      <c r="D1417" s="63" t="e">
        <f>IF(SAISIE!#REF!="","",SAISIE!E98)</f>
        <v>#REF!</v>
      </c>
      <c r="E1417" s="63" t="e">
        <f>IF(SAISIE!#REF!="","",SAISIE!F98)</f>
        <v>#REF!</v>
      </c>
      <c r="F1417" s="70" t="e">
        <f>IF(SAISIE!#REF!="","",IF(SAISIE!$N98="","",SAISIE!$N98))</f>
        <v>#REF!</v>
      </c>
      <c r="G1417" s="63" t="e">
        <f>IF(SAISIE!#REF!="","",SAISIE!#REF!)</f>
        <v>#REF!</v>
      </c>
      <c r="H1417" s="63"/>
      <c r="I1417" s="63" t="e">
        <f>IF(SAISIE!#REF!="","",SAISIE!$Q98)</f>
        <v>#REF!</v>
      </c>
      <c r="J1417" s="71" t="str">
        <f>IF(COUNTBLANK(SAISIE!$J$6:$M$6)=4,"",IF(SAISIE!#REF!="","",IF(SAISIE!J98&gt;0,SAISIE!$J$6,IF(SAISIE!K98&gt;0,SAISIE!$K$6,IF(SAISIE!L98&gt;0,SAISIE!$L$6,IF(SAISIE!M98&gt;0,SAISIE!$M$6,""))))))</f>
        <v/>
      </c>
      <c r="O1417" s="59" t="s">
        <v>56</v>
      </c>
    </row>
    <row r="1418" spans="1:15" x14ac:dyDescent="0.25">
      <c r="A1418" s="63" t="e">
        <f>IF(AND(G1418="",H1418=""),"SUPPR",SAISIE!$B$3)</f>
        <v>#REF!</v>
      </c>
      <c r="B1418" s="63" t="e">
        <f>IF(SAISIE!#REF!="","",IF(LEN(SAISIE!B98)=1,CONCATENATE("0",SAISIE!B98,"/",SAISIE!$B$4,"/",SAISIE!$B$5),CONCATENATE(SAISIE!B98,"/",SAISIE!$B$4,"/",SAISIE!$B$5)))</f>
        <v>#REF!</v>
      </c>
      <c r="C1418" s="63" t="e">
        <f>IF(SAISIE!#REF!="","",SAISIE!#REF!)</f>
        <v>#REF!</v>
      </c>
      <c r="D1418" s="63" t="e">
        <f>IF(SAISIE!#REF!="","",SAISIE!E98)</f>
        <v>#REF!</v>
      </c>
      <c r="E1418" s="63" t="e">
        <f>IF(SAISIE!#REF!="","",SAISIE!F98)</f>
        <v>#REF!</v>
      </c>
      <c r="F1418" s="70" t="e">
        <f>IF(SAISIE!#REF!="","",IF(SAISIE!$N98="","",SAISIE!$N98))</f>
        <v>#REF!</v>
      </c>
      <c r="G1418" s="63" t="e">
        <f>IF(SAISIE!#REF!="","",SAISIE!#REF!)</f>
        <v>#REF!</v>
      </c>
      <c r="H1418" s="63"/>
      <c r="I1418" s="63" t="e">
        <f>IF(SAISIE!#REF!="","",SAISIE!$Q98)</f>
        <v>#REF!</v>
      </c>
      <c r="J1418" s="71" t="str">
        <f>IF(COUNTBLANK(SAISIE!$J$6:$M$6)=4,"",IF(SAISIE!#REF!="","",IF(SAISIE!J98&gt;0,SAISIE!$J$6,IF(SAISIE!K98&gt;0,SAISIE!$K$6,IF(SAISIE!L98&gt;0,SAISIE!$L$6,IF(SAISIE!M98&gt;0,SAISIE!$M$6,""))))))</f>
        <v/>
      </c>
      <c r="O1418" s="59" t="s">
        <v>57</v>
      </c>
    </row>
    <row r="1419" spans="1:15" x14ac:dyDescent="0.25">
      <c r="A1419" s="63" t="e">
        <f>IF(AND(G1419="",H1419=""),"SUPPR",SAISIE!$B$3)</f>
        <v>#REF!</v>
      </c>
      <c r="B1419" s="63" t="e">
        <f>IF(SAISIE!#REF!="","",IF(LEN(SAISIE!B98)=1,CONCATENATE("0",SAISIE!B98,"/",SAISIE!$B$4,"/",SAISIE!$B$5),CONCATENATE(SAISIE!B98,"/",SAISIE!$B$4,"/",SAISIE!$B$5)))</f>
        <v>#REF!</v>
      </c>
      <c r="C1419" s="63" t="e">
        <f>IF(SAISIE!#REF!="","",SAISIE!#REF!)</f>
        <v>#REF!</v>
      </c>
      <c r="D1419" s="63" t="e">
        <f>IF(SAISIE!#REF!="","",SAISIE!E98)</f>
        <v>#REF!</v>
      </c>
      <c r="E1419" s="63" t="e">
        <f>IF(SAISIE!#REF!="","",SAISIE!F98)</f>
        <v>#REF!</v>
      </c>
      <c r="F1419" s="70" t="e">
        <f>IF(SAISIE!#REF!="","",IF(SAISIE!$N98="","",SAISIE!$N98))</f>
        <v>#REF!</v>
      </c>
      <c r="G1419" s="63" t="e">
        <f>IF(SAISIE!#REF!="","",SAISIE!#REF!)</f>
        <v>#REF!</v>
      </c>
      <c r="H1419" s="63"/>
      <c r="I1419" s="63" t="e">
        <f>IF(SAISIE!#REF!="","",SAISIE!$Q98)</f>
        <v>#REF!</v>
      </c>
      <c r="J1419" s="71" t="str">
        <f>IF(COUNTBLANK(SAISIE!$J$6:$M$6)=4,"",IF(SAISIE!#REF!="","",IF(SAISIE!J98&gt;0,SAISIE!$J$6,IF(SAISIE!K98&gt;0,SAISIE!$K$6,IF(SAISIE!L98&gt;0,SAISIE!$L$6,IF(SAISIE!M98&gt;0,SAISIE!$M$6,""))))))</f>
        <v/>
      </c>
      <c r="O1419" s="59" t="s">
        <v>58</v>
      </c>
    </row>
    <row r="1420" spans="1:15" x14ac:dyDescent="0.25">
      <c r="A1420" s="63" t="e">
        <f>IF(AND(G1420="",H1420=""),"SUPPR",SAISIE!$B$3)</f>
        <v>#REF!</v>
      </c>
      <c r="B1420" s="63" t="e">
        <f>IF(SAISIE!#REF!="","",IF(LEN(SAISIE!B98)=1,CONCATENATE("0",SAISIE!B98,"/",SAISIE!$B$4,"/",SAISIE!$B$5),CONCATENATE(SAISIE!B98,"/",SAISIE!$B$4,"/",SAISIE!$B$5)))</f>
        <v>#REF!</v>
      </c>
      <c r="C1420" s="63" t="e">
        <f>IF(SAISIE!#REF!="","",SAISIE!#REF!)</f>
        <v>#REF!</v>
      </c>
      <c r="D1420" s="63" t="e">
        <f>IF(SAISIE!#REF!="","",SAISIE!E98)</f>
        <v>#REF!</v>
      </c>
      <c r="E1420" s="63" t="e">
        <f>IF(SAISIE!#REF!="","",SAISIE!F98)</f>
        <v>#REF!</v>
      </c>
      <c r="F1420" s="70" t="e">
        <f>IF(SAISIE!#REF!="","",IF(SAISIE!$N98="","",SAISIE!$N98))</f>
        <v>#REF!</v>
      </c>
      <c r="G1420" s="63" t="e">
        <f>IF(SAISIE!#REF!="","",SAISIE!#REF!)</f>
        <v>#REF!</v>
      </c>
      <c r="H1420" s="63"/>
      <c r="I1420" s="63" t="e">
        <f>IF(SAISIE!#REF!="","",SAISIE!$Q98)</f>
        <v>#REF!</v>
      </c>
      <c r="J1420" s="71" t="str">
        <f>IF(COUNTBLANK(SAISIE!$J$6:$M$6)=4,"",IF(SAISIE!#REF!="","",IF(SAISIE!J98&gt;0,SAISIE!$J$6,IF(SAISIE!K98&gt;0,SAISIE!$K$6,IF(SAISIE!L98&gt;0,SAISIE!$L$6,IF(SAISIE!M98&gt;0,SAISIE!$M$6,""))))))</f>
        <v/>
      </c>
      <c r="O1420" s="59" t="s">
        <v>59</v>
      </c>
    </row>
    <row r="1421" spans="1:15" x14ac:dyDescent="0.25">
      <c r="A1421" s="63" t="e">
        <f>IF(AND(G1421="",H1421=""),"SUPPR",SAISIE!$B$3)</f>
        <v>#REF!</v>
      </c>
      <c r="B1421" s="63" t="e">
        <f>IF(SAISIE!#REF!="","",IF(LEN(SAISIE!B98)=1,CONCATENATE("0",SAISIE!B98,"/",SAISIE!$B$4,"/",SAISIE!$B$5),CONCATENATE(SAISIE!B98,"/",SAISIE!$B$4,"/",SAISIE!$B$5)))</f>
        <v>#REF!</v>
      </c>
      <c r="C1421" s="63" t="e">
        <f>IF(SAISIE!#REF!="","",SAISIE!#REF!)</f>
        <v>#REF!</v>
      </c>
      <c r="D1421" s="63" t="e">
        <f>IF(SAISIE!#REF!="","",SAISIE!E98)</f>
        <v>#REF!</v>
      </c>
      <c r="E1421" s="63" t="e">
        <f>IF(SAISIE!#REF!="","",SAISIE!F98)</f>
        <v>#REF!</v>
      </c>
      <c r="F1421" s="70" t="e">
        <f>IF(SAISIE!#REF!="","",IF(SAISIE!$N98="","",SAISIE!$N98))</f>
        <v>#REF!</v>
      </c>
      <c r="G1421" s="63" t="e">
        <f>IF(SAISIE!#REF!="","",SAISIE!#REF!)</f>
        <v>#REF!</v>
      </c>
      <c r="H1421" s="63"/>
      <c r="I1421" s="63" t="e">
        <f>IF(SAISIE!#REF!="","",SAISIE!$Q98)</f>
        <v>#REF!</v>
      </c>
      <c r="J1421" s="71" t="str">
        <f>IF(COUNTBLANK(SAISIE!$J$6:$M$6)=4,"",IF(SAISIE!#REF!="","",IF(SAISIE!J98&gt;0,SAISIE!$J$6,IF(SAISIE!K98&gt;0,SAISIE!$K$6,IF(SAISIE!L98&gt;0,SAISIE!$L$6,IF(SAISIE!M98&gt;0,SAISIE!$M$6,""))))))</f>
        <v/>
      </c>
      <c r="O1421" s="59" t="s">
        <v>60</v>
      </c>
    </row>
    <row r="1422" spans="1:15" x14ac:dyDescent="0.25">
      <c r="A1422" s="63" t="str">
        <f>IF(AND(G1422="",H1422=""),"SUPPR",SAISIE!$B$3)</f>
        <v>SUPPR</v>
      </c>
      <c r="B1422" s="63" t="str">
        <f>IF(SAISIE!J98="","",IF(LEN(SAISIE!B98)=1,CONCATENATE("0",SAISIE!B98,"/",SAISIE!$B$4,"/",SAISIE!$B$5),CONCATENATE(SAISIE!B98,"/",SAISIE!$B$4,"/",SAISIE!$B$5)))</f>
        <v/>
      </c>
      <c r="C1422" s="63" t="str">
        <f>IF(SAISIE!J98="","",SAISIE!$J$8)</f>
        <v/>
      </c>
      <c r="D1422" s="63" t="str">
        <f>IF(SAISIE!J98="","",SAISIE!E98)</f>
        <v/>
      </c>
      <c r="E1422" s="63" t="str">
        <f>IF(SAISIE!J98="","",SAISIE!F98)</f>
        <v/>
      </c>
      <c r="F1422" s="70" t="str">
        <f>IF(SAISIE!$J98="","",IF(SAISIE!$N98="","",SAISIE!$N98))</f>
        <v/>
      </c>
      <c r="G1422" s="63" t="str">
        <f>IF(SAISIE!J98="","",SAISIE!J98)</f>
        <v/>
      </c>
      <c r="H1422" s="63"/>
      <c r="I1422" s="72"/>
      <c r="J1422" s="71"/>
      <c r="O1422" s="73"/>
    </row>
    <row r="1423" spans="1:15" x14ac:dyDescent="0.25">
      <c r="A1423" s="63" t="str">
        <f>IF(AND(G1423="",H1423=""),"SUPPR",SAISIE!$B$3)</f>
        <v>SUPPR</v>
      </c>
      <c r="B1423" s="63" t="str">
        <f>IF(SAISIE!K98="","",IF(LEN(SAISIE!B98)=1,CONCATENATE("0",SAISIE!B98,"/",SAISIE!$B$4,"/",SAISIE!$B$5),CONCATENATE(SAISIE!B98,"/",SAISIE!$B$4,"/",SAISIE!$B$5)))</f>
        <v/>
      </c>
      <c r="C1423" s="63" t="str">
        <f>IF(SAISIE!K98="","",SAISIE!$K$8)</f>
        <v/>
      </c>
      <c r="D1423" s="63" t="str">
        <f>IF(SAISIE!K98="","",SAISIE!E98)</f>
        <v/>
      </c>
      <c r="E1423" s="63" t="str">
        <f>IF(SAISIE!K98="","",SAISIE!F98)</f>
        <v/>
      </c>
      <c r="F1423" s="70" t="str">
        <f>IF(SAISIE!$K98="","",IF(SAISIE!$N98="","",SAISIE!$N98))</f>
        <v/>
      </c>
      <c r="G1423" s="63" t="str">
        <f>IF(SAISIE!K98="","",SAISIE!K98)</f>
        <v/>
      </c>
      <c r="H1423" s="63"/>
      <c r="I1423" s="72"/>
      <c r="J1423" s="71"/>
    </row>
    <row r="1424" spans="1:15" x14ac:dyDescent="0.25">
      <c r="A1424" s="63" t="str">
        <f>IF(AND(G1424="",H1424=""),"SUPPR",SAISIE!$B$3)</f>
        <v>SUPPR</v>
      </c>
      <c r="B1424" s="63" t="str">
        <f>IF(SAISIE!L98="","",IF(LEN(SAISIE!B98)=1,CONCATENATE("0",SAISIE!B98,"/",SAISIE!$B$4,"/",SAISIE!$B$5),CONCATENATE(SAISIE!B98,"/",SAISIE!$B$4,"/",SAISIE!$B$5)))</f>
        <v/>
      </c>
      <c r="C1424" s="63" t="str">
        <f>IF(SAISIE!L98="","",SAISIE!$L$8)</f>
        <v/>
      </c>
      <c r="D1424" s="63" t="str">
        <f>IF(SAISIE!L98="","",SAISIE!E98)</f>
        <v/>
      </c>
      <c r="E1424" s="63" t="str">
        <f>IF(SAISIE!L98="","",SAISIE!F98)</f>
        <v/>
      </c>
      <c r="F1424" s="70" t="str">
        <f>IF(SAISIE!$L98="","",IF(SAISIE!$N98="","",SAISIE!$N98))</f>
        <v/>
      </c>
      <c r="G1424" s="63" t="str">
        <f>IF(SAISIE!L98="","",SAISIE!L98)</f>
        <v/>
      </c>
      <c r="H1424" s="63"/>
      <c r="I1424" s="72"/>
      <c r="J1424" s="71"/>
    </row>
    <row r="1425" spans="1:15" x14ac:dyDescent="0.25">
      <c r="A1425" s="63" t="str">
        <f>IF(AND(G1425="",H1425=""),"SUPPR",SAISIE!$B$3)</f>
        <v>SUPPR</v>
      </c>
      <c r="B1425" s="63" t="str">
        <f>IF(SAISIE!M98="","",IF(LEN(SAISIE!B98)=1,CONCATENATE("0",SAISIE!B98,"/",SAISIE!$B$4,"/",SAISIE!$B$5),CONCATENATE(SAISIE!B98,"/",SAISIE!$B$4,"/",SAISIE!$B$5)))</f>
        <v/>
      </c>
      <c r="C1425" s="74" t="str">
        <f>IF(SAISIE!M98="","",SAISIE!$M$8)</f>
        <v/>
      </c>
      <c r="D1425" s="74" t="str">
        <f>IF(SAISIE!M98="","",SAISIE!E98)</f>
        <v/>
      </c>
      <c r="E1425" s="74" t="str">
        <f>IF(SAISIE!M98="","",SAISIE!F98)</f>
        <v/>
      </c>
      <c r="F1425" s="75" t="str">
        <f>IF(SAISIE!$M98="","",IF(SAISIE!$N98="","",SAISIE!$N98))</f>
        <v/>
      </c>
      <c r="G1425" s="74" t="str">
        <f>IF(SAISIE!M98="","",SAISIE!M98)</f>
        <v/>
      </c>
      <c r="H1425" s="76"/>
      <c r="I1425" s="77"/>
      <c r="J1425" s="78"/>
    </row>
    <row r="1426" spans="1:15" x14ac:dyDescent="0.25">
      <c r="A1426" s="63" t="str">
        <f>IF(AND(G1426="",H1426=""),"SUPPR",SAISIE!$B$3)</f>
        <v>SUPPR</v>
      </c>
      <c r="B1426" s="64" t="str">
        <f>IF(SAISIE!B99="","",IF(LEN(SAISIE!B99)=1,CONCATENATE("0",SAISIE!B99,"/",SAISIE!$B$4,"/",SAISIE!$B$5),CONCATENATE(SAISIE!B99,"/",SAISIE!$B$4,"/",SAISIE!$B$5)))</f>
        <v/>
      </c>
      <c r="C1426" s="64" t="str">
        <f>IF(SAISIE!B99="","",CONCATENATE($M$2,SAISIE!C99))</f>
        <v/>
      </c>
      <c r="D1426" s="64" t="str">
        <f>IF(SAISIE!B99="","",SAISIE!E99)</f>
        <v/>
      </c>
      <c r="E1426" s="64" t="str">
        <f>IF(SAISIE!B99="","",SAISIE!F99)</f>
        <v/>
      </c>
      <c r="F1426" s="65" t="str">
        <f>IF(A1426="SUPPR","",IF(SAISIE!$N99="","",SAISIE!$N99))</f>
        <v/>
      </c>
      <c r="G1426" s="64"/>
      <c r="H1426" s="64" t="str">
        <f>IF(SAISIE!B99="","",SAISIE!D99)</f>
        <v/>
      </c>
      <c r="I1426" s="66"/>
      <c r="J1426" s="67" t="str">
        <f>IF(AZ99="","","")</f>
        <v/>
      </c>
      <c r="O1426" s="69">
        <f>O1410+1</f>
        <v>99</v>
      </c>
    </row>
    <row r="1427" spans="1:15" x14ac:dyDescent="0.25">
      <c r="A1427" s="63" t="str">
        <f>IF(AND(G1427="",H1427=""),"SUPPR",SAISIE!$B$3)</f>
        <v>SUPPR</v>
      </c>
      <c r="B1427" s="63" t="str">
        <f>IF(SAISIE!P99="","",IF(LEN(SAISIE!B99)=1,CONCATENATE("0",SAISIE!B99,"/",SAISIE!$B$4,"/",SAISIE!$B$5),CONCATENATE(SAISIE!B99,"/",SAISIE!$B$4,"/",SAISIE!$B$5)))</f>
        <v/>
      </c>
      <c r="C1427" s="63" t="str">
        <f>IF(SAISIE!P99="","",SAISIE!O99)</f>
        <v/>
      </c>
      <c r="D1427" s="63" t="str">
        <f>IF(SAISIE!P99="","",SAISIE!E99)</f>
        <v/>
      </c>
      <c r="E1427" s="63" t="str">
        <f>IF(SAISIE!P99="","",SAISIE!F99)</f>
        <v/>
      </c>
      <c r="F1427" s="70" t="str">
        <f>IF(SAISIE!$P99="","",IF(SAISIE!$N99="","",SAISIE!$N99))</f>
        <v/>
      </c>
      <c r="G1427" s="63" t="str">
        <f>IF(SAISIE!P99="","",SAISIE!P99)</f>
        <v/>
      </c>
      <c r="H1427" s="63"/>
      <c r="I1427" s="63" t="str">
        <f>IF(SAISIE!$P99="","",SAISIE!$Q99)</f>
        <v/>
      </c>
      <c r="J1427" s="71" t="str">
        <f>IF(COUNTBLANK(SAISIE!$J$6:$M$6)=4,"",IF(SAISIE!P99="","",IF(SAISIE!J99&gt;0,SAISIE!$J$6,IF(SAISIE!K99&gt;0,SAISIE!$K$6,IF(SAISIE!L99&gt;0,SAISIE!$L$6,IF(SAISIE!M99&gt;0,SAISIE!$M$6,""))))))</f>
        <v/>
      </c>
      <c r="O1427" s="59" t="s">
        <v>50</v>
      </c>
    </row>
    <row r="1428" spans="1:15" x14ac:dyDescent="0.25">
      <c r="A1428" s="63" t="str">
        <f>IF(AND(G1428="",H1428=""),"SUPPR",SAISIE!$B$3)</f>
        <v>SUPPR</v>
      </c>
      <c r="B1428" s="63" t="str">
        <f>IF(SAISIE!G99="","",IF(LEN(SAISIE!B99)=1,CONCATENATE("0",SAISIE!B99,"/",SAISIE!$B$4,"/",SAISIE!$B$5),CONCATENATE(SAISIE!B99,"/",SAISIE!$B$4,"/",SAISIE!$B$5)))</f>
        <v/>
      </c>
      <c r="C1428" s="63" t="str">
        <f>IF(SAISIE!G99="","",SAISIE!$G$8)</f>
        <v/>
      </c>
      <c r="D1428" s="63" t="str">
        <f>IF(SAISIE!G99="","",SAISIE!E99)</f>
        <v/>
      </c>
      <c r="E1428" s="63" t="str">
        <f>IF(SAISIE!G99="","",SAISIE!F99)</f>
        <v/>
      </c>
      <c r="F1428" s="70" t="str">
        <f>IF(SAISIE!$G99="","",IF(SAISIE!$N99="","",SAISIE!$N99))</f>
        <v/>
      </c>
      <c r="G1428" s="63" t="str">
        <f>IF(SAISIE!G99="","",SAISIE!G99)</f>
        <v/>
      </c>
      <c r="H1428" s="63"/>
      <c r="I1428" s="63" t="str">
        <f>IF(SAISIE!$G99="","",SAISIE!$Q99)</f>
        <v/>
      </c>
      <c r="J1428" s="71" t="str">
        <f>IF(COUNTBLANK(SAISIE!$J$6:$M$6)=4,"",IF(SAISIE!G99="","",IF(SAISIE!J99&gt;0,SAISIE!$J$6,IF(SAISIE!K99&gt;0,SAISIE!$K$6,IF(SAISIE!L99&gt;0,SAISIE!$L$6,IF(SAISIE!M99&gt;0,SAISIE!$M$6,""))))))</f>
        <v/>
      </c>
      <c r="O1428" s="59" t="s">
        <v>51</v>
      </c>
    </row>
    <row r="1429" spans="1:15" x14ac:dyDescent="0.25">
      <c r="A1429" s="63" t="str">
        <f>IF(AND(G1429="",H1429=""),"SUPPR",SAISIE!$B$3)</f>
        <v>SUPPR</v>
      </c>
      <c r="B1429" s="63" t="str">
        <f>IF(SAISIE!H99="","",IF(LEN(SAISIE!B99)=1,CONCATENATE("0",SAISIE!B99,"/",SAISIE!$B$4,"/",SAISIE!$B$5),CONCATENATE(SAISIE!B99,"/",SAISIE!$B$4,"/",SAISIE!$B$5)))</f>
        <v/>
      </c>
      <c r="C1429" s="63" t="str">
        <f>IF(SAISIE!H99="","",SAISIE!$H$8)</f>
        <v/>
      </c>
      <c r="D1429" s="63" t="str">
        <f>IF(SAISIE!H99="","",SAISIE!E99)</f>
        <v/>
      </c>
      <c r="E1429" s="63" t="str">
        <f>IF(SAISIE!H99="","",SAISIE!F99)</f>
        <v/>
      </c>
      <c r="F1429" s="70" t="str">
        <f>IF(SAISIE!$H99="","",IF(SAISIE!$N99="","",SAISIE!$N99))</f>
        <v/>
      </c>
      <c r="G1429" s="63" t="str">
        <f>IF(SAISIE!H99="","",SAISIE!H99)</f>
        <v/>
      </c>
      <c r="H1429" s="63"/>
      <c r="I1429" s="63" t="str">
        <f>IF(SAISIE!$H99="","",SAISIE!$Q99)</f>
        <v/>
      </c>
      <c r="J1429" s="71" t="str">
        <f>IF(COUNTBLANK(SAISIE!$J$6:$M$6)=4,"",IF(SAISIE!H99="","",IF(SAISIE!J99&gt;0,SAISIE!$J$6,IF(SAISIE!K99&gt;0,SAISIE!$K$6,IF(SAISIE!L99&gt;0,SAISIE!$L$6,IF(SAISIE!M99&gt;0,SAISIE!$M$6,""))))))</f>
        <v/>
      </c>
      <c r="O1429" s="59" t="s">
        <v>52</v>
      </c>
    </row>
    <row r="1430" spans="1:15" x14ac:dyDescent="0.25">
      <c r="A1430" s="63" t="str">
        <f>IF(AND(G1430="",H1430=""),"SUPPR",SAISIE!$B$3)</f>
        <v>SUPPR</v>
      </c>
      <c r="B1430" s="63" t="str">
        <f>IF(SAISIE!I99="","",IF(LEN(SAISIE!B99)=1,CONCATENATE("0",SAISIE!B99,"/",SAISIE!$B$4,"/",SAISIE!$B$5),CONCATENATE(SAISIE!B99,"/",SAISIE!$B$4,"/",SAISIE!$B$5)))</f>
        <v/>
      </c>
      <c r="C1430" s="63" t="str">
        <f>IF(SAISIE!I99="","",SAISIE!$I$8)</f>
        <v/>
      </c>
      <c r="D1430" s="63" t="str">
        <f>IF(SAISIE!I99="","",SAISIE!E99)</f>
        <v/>
      </c>
      <c r="E1430" s="63" t="str">
        <f>IF(SAISIE!I99="","",SAISIE!F99)</f>
        <v/>
      </c>
      <c r="F1430" s="70" t="str">
        <f>IF(SAISIE!$I99="","",IF(SAISIE!$N99="","",SAISIE!$N99))</f>
        <v/>
      </c>
      <c r="G1430" s="63" t="str">
        <f>IF(SAISIE!I99="","",SAISIE!I99)</f>
        <v/>
      </c>
      <c r="H1430" s="63"/>
      <c r="I1430" s="63" t="str">
        <f>IF(SAISIE!$I99="","",SAISIE!$Q99)</f>
        <v/>
      </c>
      <c r="J1430" s="71" t="str">
        <f>IF(COUNTBLANK(SAISIE!$J$6:$M$6)=4,"",IF(SAISIE!I99="","",IF(SAISIE!J99&gt;0,SAISIE!$J$6,IF(SAISIE!K99&gt;0,SAISIE!$K$6,IF(SAISIE!L99&gt;0,SAISIE!$L$6,IF(SAISIE!M99&gt;0,SAISIE!$M$6,""))))))</f>
        <v/>
      </c>
      <c r="O1430" s="59" t="s">
        <v>53</v>
      </c>
    </row>
    <row r="1431" spans="1:15" x14ac:dyDescent="0.25">
      <c r="A1431" s="63" t="e">
        <f>IF(AND(G1431="",H1431=""),"SUPPR",SAISIE!$B$3)</f>
        <v>#REF!</v>
      </c>
      <c r="B1431" s="63" t="e">
        <f>IF(SAISIE!#REF!="","",IF(LEN(SAISIE!B99)=1,CONCATENATE("0",SAISIE!B99,"/",SAISIE!$B$4,"/",SAISIE!$B$5),CONCATENATE(SAISIE!B99,"/",SAISIE!$B$4,"/",SAISIE!$B$5)))</f>
        <v>#REF!</v>
      </c>
      <c r="C1431" s="63" t="e">
        <f>IF(SAISIE!#REF!="","",SAISIE!#REF!)</f>
        <v>#REF!</v>
      </c>
      <c r="D1431" s="63" t="e">
        <f>IF(SAISIE!#REF!="","",SAISIE!E99)</f>
        <v>#REF!</v>
      </c>
      <c r="E1431" s="63" t="e">
        <f>IF(SAISIE!#REF!="","",SAISIE!F99)</f>
        <v>#REF!</v>
      </c>
      <c r="F1431" s="70" t="e">
        <f>IF(SAISIE!#REF!="","",IF(SAISIE!$N99="","",SAISIE!$N99))</f>
        <v>#REF!</v>
      </c>
      <c r="G1431" s="63" t="e">
        <f>IF(SAISIE!#REF!="","",SAISIE!#REF!)</f>
        <v>#REF!</v>
      </c>
      <c r="H1431" s="63"/>
      <c r="I1431" s="63" t="e">
        <f>IF(SAISIE!#REF!="","",SAISIE!$Q99)</f>
        <v>#REF!</v>
      </c>
      <c r="J1431" s="71" t="str">
        <f>IF(COUNTBLANK(SAISIE!$J$6:$M$6)=4,"",IF(SAISIE!#REF!="","",IF(SAISIE!J99&gt;0,SAISIE!$J$6,IF(SAISIE!K99&gt;0,SAISIE!$K$6,IF(SAISIE!L99&gt;0,SAISIE!$L$6,IF(SAISIE!M99&gt;0,SAISIE!$M$6,""))))))</f>
        <v/>
      </c>
      <c r="O1431" s="59" t="s">
        <v>54</v>
      </c>
    </row>
    <row r="1432" spans="1:15" x14ac:dyDescent="0.25">
      <c r="A1432" s="63" t="e">
        <f>IF(AND(G1432="",H1432=""),"SUPPR",SAISIE!$B$3)</f>
        <v>#REF!</v>
      </c>
      <c r="B1432" s="63" t="e">
        <f>IF(SAISIE!#REF!="","",IF(LEN(SAISIE!B99)=1,CONCATENATE("0",SAISIE!B99,"/",SAISIE!$B$4,"/",SAISIE!$B$5),CONCATENATE(SAISIE!B99,"/",SAISIE!$B$4,"/",SAISIE!$B$5)))</f>
        <v>#REF!</v>
      </c>
      <c r="C1432" s="63" t="e">
        <f>IF(SAISIE!#REF!="","",SAISIE!#REF!)</f>
        <v>#REF!</v>
      </c>
      <c r="D1432" s="63" t="e">
        <f>IF(SAISIE!#REF!="","",SAISIE!E99)</f>
        <v>#REF!</v>
      </c>
      <c r="E1432" s="63" t="e">
        <f>IF(SAISIE!#REF!="","",SAISIE!F99)</f>
        <v>#REF!</v>
      </c>
      <c r="F1432" s="70" t="e">
        <f>IF(SAISIE!#REF!="","",IF(SAISIE!$N99="","",SAISIE!$N99))</f>
        <v>#REF!</v>
      </c>
      <c r="G1432" s="63" t="e">
        <f>IF(SAISIE!#REF!="","",SAISIE!#REF!)</f>
        <v>#REF!</v>
      </c>
      <c r="H1432" s="63"/>
      <c r="I1432" s="63" t="e">
        <f>IF(SAISIE!#REF!="","",SAISIE!$Q99)</f>
        <v>#REF!</v>
      </c>
      <c r="J1432" s="71" t="str">
        <f>IF(COUNTBLANK(SAISIE!$J$6:$M$6)=4,"",IF(SAISIE!#REF!="","",IF(SAISIE!J99&gt;0,SAISIE!$J$6,IF(SAISIE!K99&gt;0,SAISIE!$K$6,IF(SAISIE!L99&gt;0,SAISIE!$L$6,IF(SAISIE!M99&gt;0,SAISIE!$M$6,""))))))</f>
        <v/>
      </c>
      <c r="O1432" s="59" t="s">
        <v>55</v>
      </c>
    </row>
    <row r="1433" spans="1:15" x14ac:dyDescent="0.25">
      <c r="A1433" s="63" t="e">
        <f>IF(AND(G1433="",H1433=""),"SUPPR",SAISIE!$B$3)</f>
        <v>#REF!</v>
      </c>
      <c r="B1433" s="63" t="e">
        <f>IF(SAISIE!#REF!="","",IF(LEN(SAISIE!B99)=1,CONCATENATE("0",SAISIE!B99,"/",SAISIE!$B$4,"/",SAISIE!$B$5),CONCATENATE(SAISIE!B99,"/",SAISIE!$B$4,"/",SAISIE!$B$5)))</f>
        <v>#REF!</v>
      </c>
      <c r="C1433" s="63" t="e">
        <f>IF(SAISIE!#REF!="","",SAISIE!#REF!)</f>
        <v>#REF!</v>
      </c>
      <c r="D1433" s="63" t="e">
        <f>IF(SAISIE!#REF!="","",SAISIE!E99)</f>
        <v>#REF!</v>
      </c>
      <c r="E1433" s="63" t="e">
        <f>IF(SAISIE!#REF!="","",SAISIE!F99)</f>
        <v>#REF!</v>
      </c>
      <c r="F1433" s="70" t="e">
        <f>IF(SAISIE!#REF!="","",IF(SAISIE!$N99="","",SAISIE!$N99))</f>
        <v>#REF!</v>
      </c>
      <c r="G1433" s="63" t="e">
        <f>IF(SAISIE!#REF!="","",SAISIE!#REF!)</f>
        <v>#REF!</v>
      </c>
      <c r="H1433" s="63"/>
      <c r="I1433" s="63" t="e">
        <f>IF(SAISIE!#REF!="","",SAISIE!$Q99)</f>
        <v>#REF!</v>
      </c>
      <c r="J1433" s="71" t="str">
        <f>IF(COUNTBLANK(SAISIE!$J$6:$M$6)=4,"",IF(SAISIE!#REF!="","",IF(SAISIE!J99&gt;0,SAISIE!$J$6,IF(SAISIE!K99&gt;0,SAISIE!$K$6,IF(SAISIE!L99&gt;0,SAISIE!$L$6,IF(SAISIE!M99&gt;0,SAISIE!$M$6,""))))))</f>
        <v/>
      </c>
      <c r="O1433" s="59" t="s">
        <v>56</v>
      </c>
    </row>
    <row r="1434" spans="1:15" x14ac:dyDescent="0.25">
      <c r="A1434" s="63" t="e">
        <f>IF(AND(G1434="",H1434=""),"SUPPR",SAISIE!$B$3)</f>
        <v>#REF!</v>
      </c>
      <c r="B1434" s="63" t="e">
        <f>IF(SAISIE!#REF!="","",IF(LEN(SAISIE!B99)=1,CONCATENATE("0",SAISIE!B99,"/",SAISIE!$B$4,"/",SAISIE!$B$5),CONCATENATE(SAISIE!B99,"/",SAISIE!$B$4,"/",SAISIE!$B$5)))</f>
        <v>#REF!</v>
      </c>
      <c r="C1434" s="63" t="e">
        <f>IF(SAISIE!#REF!="","",SAISIE!#REF!)</f>
        <v>#REF!</v>
      </c>
      <c r="D1434" s="63" t="e">
        <f>IF(SAISIE!#REF!="","",SAISIE!E99)</f>
        <v>#REF!</v>
      </c>
      <c r="E1434" s="63" t="e">
        <f>IF(SAISIE!#REF!="","",SAISIE!F99)</f>
        <v>#REF!</v>
      </c>
      <c r="F1434" s="70" t="e">
        <f>IF(SAISIE!#REF!="","",IF(SAISIE!$N99="","",SAISIE!$N99))</f>
        <v>#REF!</v>
      </c>
      <c r="G1434" s="63" t="e">
        <f>IF(SAISIE!#REF!="","",SAISIE!#REF!)</f>
        <v>#REF!</v>
      </c>
      <c r="H1434" s="63"/>
      <c r="I1434" s="63" t="e">
        <f>IF(SAISIE!#REF!="","",SAISIE!$Q99)</f>
        <v>#REF!</v>
      </c>
      <c r="J1434" s="71" t="str">
        <f>IF(COUNTBLANK(SAISIE!$J$6:$M$6)=4,"",IF(SAISIE!#REF!="","",IF(SAISIE!J99&gt;0,SAISIE!$J$6,IF(SAISIE!K99&gt;0,SAISIE!$K$6,IF(SAISIE!L99&gt;0,SAISIE!$L$6,IF(SAISIE!M99&gt;0,SAISIE!$M$6,""))))))</f>
        <v/>
      </c>
      <c r="O1434" s="59" t="s">
        <v>57</v>
      </c>
    </row>
    <row r="1435" spans="1:15" x14ac:dyDescent="0.25">
      <c r="A1435" s="63" t="e">
        <f>IF(AND(G1435="",H1435=""),"SUPPR",SAISIE!$B$3)</f>
        <v>#REF!</v>
      </c>
      <c r="B1435" s="63" t="e">
        <f>IF(SAISIE!#REF!="","",IF(LEN(SAISIE!B99)=1,CONCATENATE("0",SAISIE!B99,"/",SAISIE!$B$4,"/",SAISIE!$B$5),CONCATENATE(SAISIE!B99,"/",SAISIE!$B$4,"/",SAISIE!$B$5)))</f>
        <v>#REF!</v>
      </c>
      <c r="C1435" s="63" t="e">
        <f>IF(SAISIE!#REF!="","",SAISIE!#REF!)</f>
        <v>#REF!</v>
      </c>
      <c r="D1435" s="63" t="e">
        <f>IF(SAISIE!#REF!="","",SAISIE!E99)</f>
        <v>#REF!</v>
      </c>
      <c r="E1435" s="63" t="e">
        <f>IF(SAISIE!#REF!="","",SAISIE!F99)</f>
        <v>#REF!</v>
      </c>
      <c r="F1435" s="70" t="e">
        <f>IF(SAISIE!#REF!="","",IF(SAISIE!$N99="","",SAISIE!$N99))</f>
        <v>#REF!</v>
      </c>
      <c r="G1435" s="63" t="e">
        <f>IF(SAISIE!#REF!="","",SAISIE!#REF!)</f>
        <v>#REF!</v>
      </c>
      <c r="H1435" s="63"/>
      <c r="I1435" s="63" t="e">
        <f>IF(SAISIE!#REF!="","",SAISIE!$Q99)</f>
        <v>#REF!</v>
      </c>
      <c r="J1435" s="71" t="str">
        <f>IF(COUNTBLANK(SAISIE!$J$6:$M$6)=4,"",IF(SAISIE!#REF!="","",IF(SAISIE!J99&gt;0,SAISIE!$J$6,IF(SAISIE!K99&gt;0,SAISIE!$K$6,IF(SAISIE!L99&gt;0,SAISIE!$L$6,IF(SAISIE!M99&gt;0,SAISIE!$M$6,""))))))</f>
        <v/>
      </c>
      <c r="O1435" s="59" t="s">
        <v>58</v>
      </c>
    </row>
    <row r="1436" spans="1:15" x14ac:dyDescent="0.25">
      <c r="A1436" s="63" t="e">
        <f>IF(AND(G1436="",H1436=""),"SUPPR",SAISIE!$B$3)</f>
        <v>#REF!</v>
      </c>
      <c r="B1436" s="63" t="e">
        <f>IF(SAISIE!#REF!="","",IF(LEN(SAISIE!B99)=1,CONCATENATE("0",SAISIE!B99,"/",SAISIE!$B$4,"/",SAISIE!$B$5),CONCATENATE(SAISIE!B99,"/",SAISIE!$B$4,"/",SAISIE!$B$5)))</f>
        <v>#REF!</v>
      </c>
      <c r="C1436" s="63" t="e">
        <f>IF(SAISIE!#REF!="","",SAISIE!#REF!)</f>
        <v>#REF!</v>
      </c>
      <c r="D1436" s="63" t="e">
        <f>IF(SAISIE!#REF!="","",SAISIE!E99)</f>
        <v>#REF!</v>
      </c>
      <c r="E1436" s="63" t="e">
        <f>IF(SAISIE!#REF!="","",SAISIE!F99)</f>
        <v>#REF!</v>
      </c>
      <c r="F1436" s="70" t="e">
        <f>IF(SAISIE!#REF!="","",IF(SAISIE!$N99="","",SAISIE!$N99))</f>
        <v>#REF!</v>
      </c>
      <c r="G1436" s="63" t="e">
        <f>IF(SAISIE!#REF!="","",SAISIE!#REF!)</f>
        <v>#REF!</v>
      </c>
      <c r="H1436" s="63"/>
      <c r="I1436" s="63" t="e">
        <f>IF(SAISIE!#REF!="","",SAISIE!$Q99)</f>
        <v>#REF!</v>
      </c>
      <c r="J1436" s="71" t="str">
        <f>IF(COUNTBLANK(SAISIE!$J$6:$M$6)=4,"",IF(SAISIE!#REF!="","",IF(SAISIE!J99&gt;0,SAISIE!$J$6,IF(SAISIE!K99&gt;0,SAISIE!$K$6,IF(SAISIE!L99&gt;0,SAISIE!$L$6,IF(SAISIE!M99&gt;0,SAISIE!$M$6,""))))))</f>
        <v/>
      </c>
      <c r="O1436" s="59" t="s">
        <v>59</v>
      </c>
    </row>
    <row r="1437" spans="1:15" x14ac:dyDescent="0.25">
      <c r="A1437" s="63" t="e">
        <f>IF(AND(G1437="",H1437=""),"SUPPR",SAISIE!$B$3)</f>
        <v>#REF!</v>
      </c>
      <c r="B1437" s="63" t="e">
        <f>IF(SAISIE!#REF!="","",IF(LEN(SAISIE!B99)=1,CONCATENATE("0",SAISIE!B99,"/",SAISIE!$B$4,"/",SAISIE!$B$5),CONCATENATE(SAISIE!B99,"/",SAISIE!$B$4,"/",SAISIE!$B$5)))</f>
        <v>#REF!</v>
      </c>
      <c r="C1437" s="63" t="e">
        <f>IF(SAISIE!#REF!="","",SAISIE!#REF!)</f>
        <v>#REF!</v>
      </c>
      <c r="D1437" s="63" t="e">
        <f>IF(SAISIE!#REF!="","",SAISIE!E99)</f>
        <v>#REF!</v>
      </c>
      <c r="E1437" s="63" t="e">
        <f>IF(SAISIE!#REF!="","",SAISIE!F99)</f>
        <v>#REF!</v>
      </c>
      <c r="F1437" s="70" t="e">
        <f>IF(SAISIE!#REF!="","",IF(SAISIE!$N99="","",SAISIE!$N99))</f>
        <v>#REF!</v>
      </c>
      <c r="G1437" s="63" t="e">
        <f>IF(SAISIE!#REF!="","",SAISIE!#REF!)</f>
        <v>#REF!</v>
      </c>
      <c r="H1437" s="63"/>
      <c r="I1437" s="63" t="e">
        <f>IF(SAISIE!#REF!="","",SAISIE!$Q99)</f>
        <v>#REF!</v>
      </c>
      <c r="J1437" s="71" t="str">
        <f>IF(COUNTBLANK(SAISIE!$J$6:$M$6)=4,"",IF(SAISIE!#REF!="","",IF(SAISIE!J99&gt;0,SAISIE!$J$6,IF(SAISIE!K99&gt;0,SAISIE!$K$6,IF(SAISIE!L99&gt;0,SAISIE!$L$6,IF(SAISIE!M99&gt;0,SAISIE!$M$6,""))))))</f>
        <v/>
      </c>
      <c r="O1437" s="59" t="s">
        <v>60</v>
      </c>
    </row>
    <row r="1438" spans="1:15" x14ac:dyDescent="0.25">
      <c r="A1438" s="63" t="str">
        <f>IF(AND(G1438="",H1438=""),"SUPPR",SAISIE!$B$3)</f>
        <v>SUPPR</v>
      </c>
      <c r="B1438" s="63" t="str">
        <f>IF(SAISIE!J99="","",IF(LEN(SAISIE!B99)=1,CONCATENATE("0",SAISIE!B99,"/",SAISIE!$B$4,"/",SAISIE!$B$5),CONCATENATE(SAISIE!B99,"/",SAISIE!$B$4,"/",SAISIE!$B$5)))</f>
        <v/>
      </c>
      <c r="C1438" s="63" t="str">
        <f>IF(SAISIE!J99="","",SAISIE!$J$8)</f>
        <v/>
      </c>
      <c r="D1438" s="63" t="str">
        <f>IF(SAISIE!J99="","",SAISIE!E99)</f>
        <v/>
      </c>
      <c r="E1438" s="63" t="str">
        <f>IF(SAISIE!J99="","",SAISIE!F99)</f>
        <v/>
      </c>
      <c r="F1438" s="70" t="str">
        <f>IF(SAISIE!$J99="","",IF(SAISIE!$N99="","",SAISIE!$N99))</f>
        <v/>
      </c>
      <c r="G1438" s="63" t="str">
        <f>IF(SAISIE!J99="","",SAISIE!J99)</f>
        <v/>
      </c>
      <c r="H1438" s="63"/>
      <c r="I1438" s="72"/>
      <c r="J1438" s="71"/>
      <c r="O1438" s="73"/>
    </row>
    <row r="1439" spans="1:15" x14ac:dyDescent="0.25">
      <c r="A1439" s="63" t="str">
        <f>IF(AND(G1439="",H1439=""),"SUPPR",SAISIE!$B$3)</f>
        <v>SUPPR</v>
      </c>
      <c r="B1439" s="63" t="str">
        <f>IF(SAISIE!K99="","",IF(LEN(SAISIE!B99)=1,CONCATENATE("0",SAISIE!B99,"/",SAISIE!$B$4,"/",SAISIE!$B$5),CONCATENATE(SAISIE!B99,"/",SAISIE!$B$4,"/",SAISIE!$B$5)))</f>
        <v/>
      </c>
      <c r="C1439" s="63" t="str">
        <f>IF(SAISIE!K99="","",SAISIE!$K$8)</f>
        <v/>
      </c>
      <c r="D1439" s="63" t="str">
        <f>IF(SAISIE!K99="","",SAISIE!E99)</f>
        <v/>
      </c>
      <c r="E1439" s="63" t="str">
        <f>IF(SAISIE!K99="","",SAISIE!F99)</f>
        <v/>
      </c>
      <c r="F1439" s="70" t="str">
        <f>IF(SAISIE!$K99="","",IF(SAISIE!$N99="","",SAISIE!$N99))</f>
        <v/>
      </c>
      <c r="G1439" s="63" t="str">
        <f>IF(SAISIE!K99="","",SAISIE!K99)</f>
        <v/>
      </c>
      <c r="H1439" s="63"/>
      <c r="I1439" s="72"/>
      <c r="J1439" s="71"/>
    </row>
    <row r="1440" spans="1:15" x14ac:dyDescent="0.25">
      <c r="A1440" s="63" t="str">
        <f>IF(AND(G1440="",H1440=""),"SUPPR",SAISIE!$B$3)</f>
        <v>SUPPR</v>
      </c>
      <c r="B1440" s="63" t="str">
        <f>IF(SAISIE!L99="","",IF(LEN(SAISIE!B99)=1,CONCATENATE("0",SAISIE!B99,"/",SAISIE!$B$4,"/",SAISIE!$B$5),CONCATENATE(SAISIE!B99,"/",SAISIE!$B$4,"/",SAISIE!$B$5)))</f>
        <v/>
      </c>
      <c r="C1440" s="63" t="str">
        <f>IF(SAISIE!L99="","",SAISIE!$L$8)</f>
        <v/>
      </c>
      <c r="D1440" s="63" t="str">
        <f>IF(SAISIE!L99="","",SAISIE!E99)</f>
        <v/>
      </c>
      <c r="E1440" s="63" t="str">
        <f>IF(SAISIE!L99="","",SAISIE!F99)</f>
        <v/>
      </c>
      <c r="F1440" s="70" t="str">
        <f>IF(SAISIE!$L99="","",IF(SAISIE!$N99="","",SAISIE!$N99))</f>
        <v/>
      </c>
      <c r="G1440" s="63" t="str">
        <f>IF(SAISIE!L99="","",SAISIE!L99)</f>
        <v/>
      </c>
      <c r="H1440" s="63"/>
      <c r="I1440" s="72"/>
      <c r="J1440" s="71"/>
    </row>
    <row r="1441" spans="1:15" x14ac:dyDescent="0.25">
      <c r="A1441" s="63" t="str">
        <f>IF(AND(G1441="",H1441=""),"SUPPR",SAISIE!$B$3)</f>
        <v>SUPPR</v>
      </c>
      <c r="B1441" s="63" t="str">
        <f>IF(SAISIE!M99="","",IF(LEN(SAISIE!B99)=1,CONCATENATE("0",SAISIE!B99,"/",SAISIE!$B$4,"/",SAISIE!$B$5),CONCATENATE(SAISIE!B99,"/",SAISIE!$B$4,"/",SAISIE!$B$5)))</f>
        <v/>
      </c>
      <c r="C1441" s="74" t="str">
        <f>IF(SAISIE!M99="","",SAISIE!$M$8)</f>
        <v/>
      </c>
      <c r="D1441" s="74" t="str">
        <f>IF(SAISIE!M99="","",SAISIE!E99)</f>
        <v/>
      </c>
      <c r="E1441" s="74" t="str">
        <f>IF(SAISIE!M99="","",SAISIE!F99)</f>
        <v/>
      </c>
      <c r="F1441" s="75" t="str">
        <f>IF(SAISIE!$M99="","",IF(SAISIE!$N99="","",SAISIE!$N99))</f>
        <v/>
      </c>
      <c r="G1441" s="74" t="str">
        <f>IF(SAISIE!M99="","",SAISIE!M99)</f>
        <v/>
      </c>
      <c r="H1441" s="76"/>
      <c r="I1441" s="77"/>
      <c r="J1441" s="78"/>
    </row>
    <row r="1442" spans="1:15" x14ac:dyDescent="0.25">
      <c r="A1442" s="63" t="str">
        <f>IF(AND(G1442="",H1442=""),"SUPPR",SAISIE!$B$3)</f>
        <v>SUPPR</v>
      </c>
      <c r="B1442" s="64" t="str">
        <f>IF(SAISIE!B100="","",IF(LEN(SAISIE!B100)=1,CONCATENATE("0",SAISIE!B100,"/",SAISIE!$B$4,"/",SAISIE!$B$5),CONCATENATE(SAISIE!B100,"/",SAISIE!$B$4,"/",SAISIE!$B$5)))</f>
        <v/>
      </c>
      <c r="C1442" s="64" t="str">
        <f>IF(SAISIE!B100="","",CONCATENATE($M$2,SAISIE!C100))</f>
        <v/>
      </c>
      <c r="D1442" s="64" t="str">
        <f>IF(SAISIE!B100="","",SAISIE!E100)</f>
        <v/>
      </c>
      <c r="E1442" s="64" t="str">
        <f>IF(SAISIE!B100="","",SAISIE!F100)</f>
        <v/>
      </c>
      <c r="F1442" s="65" t="str">
        <f>IF(A1442="SUPPR","",IF(SAISIE!$N100="","",SAISIE!$N100))</f>
        <v/>
      </c>
      <c r="G1442" s="64"/>
      <c r="H1442" s="64" t="str">
        <f>IF(SAISIE!B100="","",SAISIE!D100)</f>
        <v/>
      </c>
      <c r="I1442" s="66"/>
      <c r="J1442" s="67" t="str">
        <f>IF(AZ100="","","")</f>
        <v/>
      </c>
      <c r="O1442" s="69">
        <f>O1426+1</f>
        <v>100</v>
      </c>
    </row>
    <row r="1443" spans="1:15" x14ac:dyDescent="0.25">
      <c r="A1443" s="63" t="str">
        <f>IF(AND(G1443="",H1443=""),"SUPPR",SAISIE!$B$3)</f>
        <v>SUPPR</v>
      </c>
      <c r="B1443" s="63" t="str">
        <f>IF(SAISIE!P100="","",IF(LEN(SAISIE!B100)=1,CONCATENATE("0",SAISIE!B100,"/",SAISIE!$B$4,"/",SAISIE!$B$5),CONCATENATE(SAISIE!B100,"/",SAISIE!$B$4,"/",SAISIE!$B$5)))</f>
        <v/>
      </c>
      <c r="C1443" s="63" t="str">
        <f>IF(SAISIE!P100="","",SAISIE!O100)</f>
        <v/>
      </c>
      <c r="D1443" s="63" t="str">
        <f>IF(SAISIE!P100="","",SAISIE!E100)</f>
        <v/>
      </c>
      <c r="E1443" s="63" t="str">
        <f>IF(SAISIE!P100="","",SAISIE!F100)</f>
        <v/>
      </c>
      <c r="F1443" s="70" t="str">
        <f>IF(SAISIE!$P100="","",IF(SAISIE!$N100="","",SAISIE!$N100))</f>
        <v/>
      </c>
      <c r="G1443" s="63" t="str">
        <f>IF(SAISIE!P100="","",SAISIE!P100)</f>
        <v/>
      </c>
      <c r="H1443" s="63"/>
      <c r="I1443" s="63" t="str">
        <f>IF(SAISIE!$P100="","",SAISIE!$Q100)</f>
        <v/>
      </c>
      <c r="J1443" s="71" t="str">
        <f>IF(COUNTBLANK(SAISIE!$J$6:$M$6)=4,"",IF(SAISIE!P100="","",IF(SAISIE!J100&gt;0,SAISIE!$J$6,IF(SAISIE!K100&gt;0,SAISIE!$K$6,IF(SAISIE!L100&gt;0,SAISIE!$L$6,IF(SAISIE!M100&gt;0,SAISIE!$M$6,""))))))</f>
        <v/>
      </c>
      <c r="O1443" s="59" t="s">
        <v>50</v>
      </c>
    </row>
    <row r="1444" spans="1:15" x14ac:dyDescent="0.25">
      <c r="A1444" s="63" t="str">
        <f>IF(AND(G1444="",H1444=""),"SUPPR",SAISIE!$B$3)</f>
        <v>SUPPR</v>
      </c>
      <c r="B1444" s="63" t="str">
        <f>IF(SAISIE!G100="","",IF(LEN(SAISIE!B100)=1,CONCATENATE("0",SAISIE!B100,"/",SAISIE!$B$4,"/",SAISIE!$B$5),CONCATENATE(SAISIE!B100,"/",SAISIE!$B$4,"/",SAISIE!$B$5)))</f>
        <v/>
      </c>
      <c r="C1444" s="63" t="str">
        <f>IF(SAISIE!G100="","",SAISIE!$G$8)</f>
        <v/>
      </c>
      <c r="D1444" s="63" t="str">
        <f>IF(SAISIE!G100="","",SAISIE!E100)</f>
        <v/>
      </c>
      <c r="E1444" s="63" t="str">
        <f>IF(SAISIE!G100="","",SAISIE!F100)</f>
        <v/>
      </c>
      <c r="F1444" s="70" t="str">
        <f>IF(SAISIE!$G100="","",IF(SAISIE!$N100="","",SAISIE!$N100))</f>
        <v/>
      </c>
      <c r="G1444" s="63" t="str">
        <f>IF(SAISIE!G100="","",SAISIE!G100)</f>
        <v/>
      </c>
      <c r="H1444" s="63"/>
      <c r="I1444" s="63" t="str">
        <f>IF(SAISIE!$G100="","",SAISIE!$Q100)</f>
        <v/>
      </c>
      <c r="J1444" s="71" t="str">
        <f>IF(COUNTBLANK(SAISIE!$J$6:$M$6)=4,"",IF(SAISIE!G100="","",IF(SAISIE!J100&gt;0,SAISIE!$J$6,IF(SAISIE!K100&gt;0,SAISIE!$K$6,IF(SAISIE!L100&gt;0,SAISIE!$L$6,IF(SAISIE!M100&gt;0,SAISIE!$M$6,""))))))</f>
        <v/>
      </c>
      <c r="O1444" s="59" t="s">
        <v>51</v>
      </c>
    </row>
    <row r="1445" spans="1:15" x14ac:dyDescent="0.25">
      <c r="A1445" s="63" t="str">
        <f>IF(AND(G1445="",H1445=""),"SUPPR",SAISIE!$B$3)</f>
        <v>SUPPR</v>
      </c>
      <c r="B1445" s="63" t="str">
        <f>IF(SAISIE!H100="","",IF(LEN(SAISIE!B100)=1,CONCATENATE("0",SAISIE!B100,"/",SAISIE!$B$4,"/",SAISIE!$B$5),CONCATENATE(SAISIE!B100,"/",SAISIE!$B$4,"/",SAISIE!$B$5)))</f>
        <v/>
      </c>
      <c r="C1445" s="63" t="str">
        <f>IF(SAISIE!H100="","",SAISIE!$H$8)</f>
        <v/>
      </c>
      <c r="D1445" s="63" t="str">
        <f>IF(SAISIE!H100="","",SAISIE!E100)</f>
        <v/>
      </c>
      <c r="E1445" s="63" t="str">
        <f>IF(SAISIE!H100="","",SAISIE!F100)</f>
        <v/>
      </c>
      <c r="F1445" s="70" t="str">
        <f>IF(SAISIE!$H100="","",IF(SAISIE!$N100="","",SAISIE!$N100))</f>
        <v/>
      </c>
      <c r="G1445" s="63" t="str">
        <f>IF(SAISIE!H100="","",SAISIE!H100)</f>
        <v/>
      </c>
      <c r="H1445" s="63"/>
      <c r="I1445" s="63" t="str">
        <f>IF(SAISIE!$H100="","",SAISIE!$Q100)</f>
        <v/>
      </c>
      <c r="J1445" s="71" t="str">
        <f>IF(COUNTBLANK(SAISIE!$J$6:$M$6)=4,"",IF(SAISIE!H100="","",IF(SAISIE!J100&gt;0,SAISIE!$J$6,IF(SAISIE!K100&gt;0,SAISIE!$K$6,IF(SAISIE!L100&gt;0,SAISIE!$L$6,IF(SAISIE!M100&gt;0,SAISIE!$M$6,""))))))</f>
        <v/>
      </c>
      <c r="O1445" s="59" t="s">
        <v>52</v>
      </c>
    </row>
    <row r="1446" spans="1:15" x14ac:dyDescent="0.25">
      <c r="A1446" s="63" t="str">
        <f>IF(AND(G1446="",H1446=""),"SUPPR",SAISIE!$B$3)</f>
        <v>SUPPR</v>
      </c>
      <c r="B1446" s="63" t="str">
        <f>IF(SAISIE!I100="","",IF(LEN(SAISIE!B100)=1,CONCATENATE("0",SAISIE!B100,"/",SAISIE!$B$4,"/",SAISIE!$B$5),CONCATENATE(SAISIE!B100,"/",SAISIE!$B$4,"/",SAISIE!$B$5)))</f>
        <v/>
      </c>
      <c r="C1446" s="63" t="str">
        <f>IF(SAISIE!I100="","",SAISIE!$I$8)</f>
        <v/>
      </c>
      <c r="D1446" s="63" t="str">
        <f>IF(SAISIE!I100="","",SAISIE!E100)</f>
        <v/>
      </c>
      <c r="E1446" s="63" t="str">
        <f>IF(SAISIE!I100="","",SAISIE!F100)</f>
        <v/>
      </c>
      <c r="F1446" s="70" t="str">
        <f>IF(SAISIE!$I100="","",IF(SAISIE!$N100="","",SAISIE!$N100))</f>
        <v/>
      </c>
      <c r="G1446" s="63" t="str">
        <f>IF(SAISIE!I100="","",SAISIE!I100)</f>
        <v/>
      </c>
      <c r="H1446" s="63"/>
      <c r="I1446" s="63" t="str">
        <f>IF(SAISIE!$I100="","",SAISIE!$Q100)</f>
        <v/>
      </c>
      <c r="J1446" s="71" t="str">
        <f>IF(COUNTBLANK(SAISIE!$J$6:$M$6)=4,"",IF(SAISIE!I100="","",IF(SAISIE!J100&gt;0,SAISIE!$J$6,IF(SAISIE!K100&gt;0,SAISIE!$K$6,IF(SAISIE!L100&gt;0,SAISIE!$L$6,IF(SAISIE!M100&gt;0,SAISIE!$M$6,""))))))</f>
        <v/>
      </c>
      <c r="O1446" s="59" t="s">
        <v>53</v>
      </c>
    </row>
    <row r="1447" spans="1:15" x14ac:dyDescent="0.25">
      <c r="A1447" s="63" t="e">
        <f>IF(AND(G1447="",H1447=""),"SUPPR",SAISIE!$B$3)</f>
        <v>#REF!</v>
      </c>
      <c r="B1447" s="63" t="e">
        <f>IF(SAISIE!#REF!="","",IF(LEN(SAISIE!B100)=1,CONCATENATE("0",SAISIE!B100,"/",SAISIE!$B$4,"/",SAISIE!$B$5),CONCATENATE(SAISIE!B100,"/",SAISIE!$B$4,"/",SAISIE!$B$5)))</f>
        <v>#REF!</v>
      </c>
      <c r="C1447" s="63" t="e">
        <f>IF(SAISIE!#REF!="","",SAISIE!#REF!)</f>
        <v>#REF!</v>
      </c>
      <c r="D1447" s="63" t="e">
        <f>IF(SAISIE!#REF!="","",SAISIE!E100)</f>
        <v>#REF!</v>
      </c>
      <c r="E1447" s="63" t="e">
        <f>IF(SAISIE!#REF!="","",SAISIE!F100)</f>
        <v>#REF!</v>
      </c>
      <c r="F1447" s="70" t="e">
        <f>IF(SAISIE!#REF!="","",IF(SAISIE!$N100="","",SAISIE!$N100))</f>
        <v>#REF!</v>
      </c>
      <c r="G1447" s="63" t="e">
        <f>IF(SAISIE!#REF!="","",SAISIE!#REF!)</f>
        <v>#REF!</v>
      </c>
      <c r="H1447" s="63"/>
      <c r="I1447" s="63" t="e">
        <f>IF(SAISIE!#REF!="","",SAISIE!$Q100)</f>
        <v>#REF!</v>
      </c>
      <c r="J1447" s="71" t="str">
        <f>IF(COUNTBLANK(SAISIE!$J$6:$M$6)=4,"",IF(SAISIE!#REF!="","",IF(SAISIE!J100&gt;0,SAISIE!$J$6,IF(SAISIE!K100&gt;0,SAISIE!$K$6,IF(SAISIE!L100&gt;0,SAISIE!$L$6,IF(SAISIE!M100&gt;0,SAISIE!$M$6,""))))))</f>
        <v/>
      </c>
      <c r="O1447" s="59" t="s">
        <v>54</v>
      </c>
    </row>
    <row r="1448" spans="1:15" x14ac:dyDescent="0.25">
      <c r="A1448" s="63" t="e">
        <f>IF(AND(G1448="",H1448=""),"SUPPR",SAISIE!$B$3)</f>
        <v>#REF!</v>
      </c>
      <c r="B1448" s="63" t="e">
        <f>IF(SAISIE!#REF!="","",IF(LEN(SAISIE!B100)=1,CONCATENATE("0",SAISIE!B100,"/",SAISIE!$B$4,"/",SAISIE!$B$5),CONCATENATE(SAISIE!B100,"/",SAISIE!$B$4,"/",SAISIE!$B$5)))</f>
        <v>#REF!</v>
      </c>
      <c r="C1448" s="63" t="e">
        <f>IF(SAISIE!#REF!="","",SAISIE!#REF!)</f>
        <v>#REF!</v>
      </c>
      <c r="D1448" s="63" t="e">
        <f>IF(SAISIE!#REF!="","",SAISIE!E100)</f>
        <v>#REF!</v>
      </c>
      <c r="E1448" s="63" t="e">
        <f>IF(SAISIE!#REF!="","",SAISIE!F100)</f>
        <v>#REF!</v>
      </c>
      <c r="F1448" s="70" t="e">
        <f>IF(SAISIE!#REF!="","",IF(SAISIE!$N100="","",SAISIE!$N100))</f>
        <v>#REF!</v>
      </c>
      <c r="G1448" s="63" t="e">
        <f>IF(SAISIE!#REF!="","",SAISIE!#REF!)</f>
        <v>#REF!</v>
      </c>
      <c r="H1448" s="63"/>
      <c r="I1448" s="63" t="e">
        <f>IF(SAISIE!#REF!="","",SAISIE!$Q100)</f>
        <v>#REF!</v>
      </c>
      <c r="J1448" s="71" t="str">
        <f>IF(COUNTBLANK(SAISIE!$J$6:$M$6)=4,"",IF(SAISIE!#REF!="","",IF(SAISIE!J100&gt;0,SAISIE!$J$6,IF(SAISIE!K100&gt;0,SAISIE!$K$6,IF(SAISIE!L100&gt;0,SAISIE!$L$6,IF(SAISIE!M100&gt;0,SAISIE!$M$6,""))))))</f>
        <v/>
      </c>
      <c r="O1448" s="59" t="s">
        <v>55</v>
      </c>
    </row>
    <row r="1449" spans="1:15" x14ac:dyDescent="0.25">
      <c r="A1449" s="63" t="e">
        <f>IF(AND(G1449="",H1449=""),"SUPPR",SAISIE!$B$3)</f>
        <v>#REF!</v>
      </c>
      <c r="B1449" s="63" t="e">
        <f>IF(SAISIE!#REF!="","",IF(LEN(SAISIE!B100)=1,CONCATENATE("0",SAISIE!B100,"/",SAISIE!$B$4,"/",SAISIE!$B$5),CONCATENATE(SAISIE!B100,"/",SAISIE!$B$4,"/",SAISIE!$B$5)))</f>
        <v>#REF!</v>
      </c>
      <c r="C1449" s="63" t="e">
        <f>IF(SAISIE!#REF!="","",SAISIE!#REF!)</f>
        <v>#REF!</v>
      </c>
      <c r="D1449" s="63" t="e">
        <f>IF(SAISIE!#REF!="","",SAISIE!E100)</f>
        <v>#REF!</v>
      </c>
      <c r="E1449" s="63" t="e">
        <f>IF(SAISIE!#REF!="","",SAISIE!F100)</f>
        <v>#REF!</v>
      </c>
      <c r="F1449" s="70" t="e">
        <f>IF(SAISIE!#REF!="","",IF(SAISIE!$N100="","",SAISIE!$N100))</f>
        <v>#REF!</v>
      </c>
      <c r="G1449" s="63" t="e">
        <f>IF(SAISIE!#REF!="","",SAISIE!#REF!)</f>
        <v>#REF!</v>
      </c>
      <c r="H1449" s="63"/>
      <c r="I1449" s="63" t="e">
        <f>IF(SAISIE!#REF!="","",SAISIE!$Q100)</f>
        <v>#REF!</v>
      </c>
      <c r="J1449" s="71" t="str">
        <f>IF(COUNTBLANK(SAISIE!$J$6:$M$6)=4,"",IF(SAISIE!#REF!="","",IF(SAISIE!J100&gt;0,SAISIE!$J$6,IF(SAISIE!K100&gt;0,SAISIE!$K$6,IF(SAISIE!L100&gt;0,SAISIE!$L$6,IF(SAISIE!M100&gt;0,SAISIE!$M$6,""))))))</f>
        <v/>
      </c>
      <c r="O1449" s="59" t="s">
        <v>56</v>
      </c>
    </row>
    <row r="1450" spans="1:15" x14ac:dyDescent="0.25">
      <c r="A1450" s="63" t="e">
        <f>IF(AND(G1450="",H1450=""),"SUPPR",SAISIE!$B$3)</f>
        <v>#REF!</v>
      </c>
      <c r="B1450" s="63" t="e">
        <f>IF(SAISIE!#REF!="","",IF(LEN(SAISIE!B100)=1,CONCATENATE("0",SAISIE!B100,"/",SAISIE!$B$4,"/",SAISIE!$B$5),CONCATENATE(SAISIE!B100,"/",SAISIE!$B$4,"/",SAISIE!$B$5)))</f>
        <v>#REF!</v>
      </c>
      <c r="C1450" s="63" t="e">
        <f>IF(SAISIE!#REF!="","",SAISIE!#REF!)</f>
        <v>#REF!</v>
      </c>
      <c r="D1450" s="63" t="e">
        <f>IF(SAISIE!#REF!="","",SAISIE!E100)</f>
        <v>#REF!</v>
      </c>
      <c r="E1450" s="63" t="e">
        <f>IF(SAISIE!#REF!="","",SAISIE!F100)</f>
        <v>#REF!</v>
      </c>
      <c r="F1450" s="70" t="e">
        <f>IF(SAISIE!#REF!="","",IF(SAISIE!$N100="","",SAISIE!$N100))</f>
        <v>#REF!</v>
      </c>
      <c r="G1450" s="63" t="e">
        <f>IF(SAISIE!#REF!="","",SAISIE!#REF!)</f>
        <v>#REF!</v>
      </c>
      <c r="H1450" s="63"/>
      <c r="I1450" s="63" t="e">
        <f>IF(SAISIE!#REF!="","",SAISIE!$Q100)</f>
        <v>#REF!</v>
      </c>
      <c r="J1450" s="71" t="str">
        <f>IF(COUNTBLANK(SAISIE!$J$6:$M$6)=4,"",IF(SAISIE!#REF!="","",IF(SAISIE!J100&gt;0,SAISIE!$J$6,IF(SAISIE!K100&gt;0,SAISIE!$K$6,IF(SAISIE!L100&gt;0,SAISIE!$L$6,IF(SAISIE!M100&gt;0,SAISIE!$M$6,""))))))</f>
        <v/>
      </c>
      <c r="O1450" s="59" t="s">
        <v>57</v>
      </c>
    </row>
    <row r="1451" spans="1:15" x14ac:dyDescent="0.25">
      <c r="A1451" s="63" t="e">
        <f>IF(AND(G1451="",H1451=""),"SUPPR",SAISIE!$B$3)</f>
        <v>#REF!</v>
      </c>
      <c r="B1451" s="63" t="e">
        <f>IF(SAISIE!#REF!="","",IF(LEN(SAISIE!B100)=1,CONCATENATE("0",SAISIE!B100,"/",SAISIE!$B$4,"/",SAISIE!$B$5),CONCATENATE(SAISIE!B100,"/",SAISIE!$B$4,"/",SAISIE!$B$5)))</f>
        <v>#REF!</v>
      </c>
      <c r="C1451" s="63" t="e">
        <f>IF(SAISIE!#REF!="","",SAISIE!#REF!)</f>
        <v>#REF!</v>
      </c>
      <c r="D1451" s="63" t="e">
        <f>IF(SAISIE!#REF!="","",SAISIE!E100)</f>
        <v>#REF!</v>
      </c>
      <c r="E1451" s="63" t="e">
        <f>IF(SAISIE!#REF!="","",SAISIE!F100)</f>
        <v>#REF!</v>
      </c>
      <c r="F1451" s="70" t="e">
        <f>IF(SAISIE!#REF!="","",IF(SAISIE!$N100="","",SAISIE!$N100))</f>
        <v>#REF!</v>
      </c>
      <c r="G1451" s="63" t="e">
        <f>IF(SAISIE!#REF!="","",SAISIE!#REF!)</f>
        <v>#REF!</v>
      </c>
      <c r="H1451" s="63"/>
      <c r="I1451" s="63" t="e">
        <f>IF(SAISIE!#REF!="","",SAISIE!$Q100)</f>
        <v>#REF!</v>
      </c>
      <c r="J1451" s="71" t="str">
        <f>IF(COUNTBLANK(SAISIE!$J$6:$M$6)=4,"",IF(SAISIE!#REF!="","",IF(SAISIE!J100&gt;0,SAISIE!$J$6,IF(SAISIE!K100&gt;0,SAISIE!$K$6,IF(SAISIE!L100&gt;0,SAISIE!$L$6,IF(SAISIE!M100&gt;0,SAISIE!$M$6,""))))))</f>
        <v/>
      </c>
      <c r="O1451" s="59" t="s">
        <v>58</v>
      </c>
    </row>
    <row r="1452" spans="1:15" x14ac:dyDescent="0.25">
      <c r="A1452" s="63" t="e">
        <f>IF(AND(G1452="",H1452=""),"SUPPR",SAISIE!$B$3)</f>
        <v>#REF!</v>
      </c>
      <c r="B1452" s="63" t="e">
        <f>IF(SAISIE!#REF!="","",IF(LEN(SAISIE!B100)=1,CONCATENATE("0",SAISIE!B100,"/",SAISIE!$B$4,"/",SAISIE!$B$5),CONCATENATE(SAISIE!B100,"/",SAISIE!$B$4,"/",SAISIE!$B$5)))</f>
        <v>#REF!</v>
      </c>
      <c r="C1452" s="63" t="e">
        <f>IF(SAISIE!#REF!="","",SAISIE!#REF!)</f>
        <v>#REF!</v>
      </c>
      <c r="D1452" s="63" t="e">
        <f>IF(SAISIE!#REF!="","",SAISIE!E100)</f>
        <v>#REF!</v>
      </c>
      <c r="E1452" s="63" t="e">
        <f>IF(SAISIE!#REF!="","",SAISIE!F100)</f>
        <v>#REF!</v>
      </c>
      <c r="F1452" s="70" t="e">
        <f>IF(SAISIE!#REF!="","",IF(SAISIE!$N100="","",SAISIE!$N100))</f>
        <v>#REF!</v>
      </c>
      <c r="G1452" s="63" t="e">
        <f>IF(SAISIE!#REF!="","",SAISIE!#REF!)</f>
        <v>#REF!</v>
      </c>
      <c r="H1452" s="63"/>
      <c r="I1452" s="63" t="e">
        <f>IF(SAISIE!#REF!="","",SAISIE!$Q100)</f>
        <v>#REF!</v>
      </c>
      <c r="J1452" s="71" t="str">
        <f>IF(COUNTBLANK(SAISIE!$J$6:$M$6)=4,"",IF(SAISIE!#REF!="","",IF(SAISIE!J100&gt;0,SAISIE!$J$6,IF(SAISIE!K100&gt;0,SAISIE!$K$6,IF(SAISIE!L100&gt;0,SAISIE!$L$6,IF(SAISIE!M100&gt;0,SAISIE!$M$6,""))))))</f>
        <v/>
      </c>
      <c r="O1452" s="59" t="s">
        <v>59</v>
      </c>
    </row>
    <row r="1453" spans="1:15" x14ac:dyDescent="0.25">
      <c r="A1453" s="63" t="e">
        <f>IF(AND(G1453="",H1453=""),"SUPPR",SAISIE!$B$3)</f>
        <v>#REF!</v>
      </c>
      <c r="B1453" s="63" t="e">
        <f>IF(SAISIE!#REF!="","",IF(LEN(SAISIE!B100)=1,CONCATENATE("0",SAISIE!B100,"/",SAISIE!$B$4,"/",SAISIE!$B$5),CONCATENATE(SAISIE!B100,"/",SAISIE!$B$4,"/",SAISIE!$B$5)))</f>
        <v>#REF!</v>
      </c>
      <c r="C1453" s="63" t="e">
        <f>IF(SAISIE!#REF!="","",SAISIE!#REF!)</f>
        <v>#REF!</v>
      </c>
      <c r="D1453" s="63" t="e">
        <f>IF(SAISIE!#REF!="","",SAISIE!E100)</f>
        <v>#REF!</v>
      </c>
      <c r="E1453" s="63" t="e">
        <f>IF(SAISIE!#REF!="","",SAISIE!F100)</f>
        <v>#REF!</v>
      </c>
      <c r="F1453" s="70" t="e">
        <f>IF(SAISIE!#REF!="","",IF(SAISIE!$N100="","",SAISIE!$N100))</f>
        <v>#REF!</v>
      </c>
      <c r="G1453" s="63" t="e">
        <f>IF(SAISIE!#REF!="","",SAISIE!#REF!)</f>
        <v>#REF!</v>
      </c>
      <c r="H1453" s="63"/>
      <c r="I1453" s="63" t="e">
        <f>IF(SAISIE!#REF!="","",SAISIE!$Q100)</f>
        <v>#REF!</v>
      </c>
      <c r="J1453" s="71" t="str">
        <f>IF(COUNTBLANK(SAISIE!$J$6:$M$6)=4,"",IF(SAISIE!#REF!="","",IF(SAISIE!J100&gt;0,SAISIE!$J$6,IF(SAISIE!K100&gt;0,SAISIE!$K$6,IF(SAISIE!L100&gt;0,SAISIE!$L$6,IF(SAISIE!M100&gt;0,SAISIE!$M$6,""))))))</f>
        <v/>
      </c>
      <c r="O1453" s="59" t="s">
        <v>60</v>
      </c>
    </row>
    <row r="1454" spans="1:15" x14ac:dyDescent="0.25">
      <c r="A1454" s="63" t="str">
        <f>IF(AND(G1454="",H1454=""),"SUPPR",SAISIE!$B$3)</f>
        <v>SUPPR</v>
      </c>
      <c r="B1454" s="63" t="str">
        <f>IF(SAISIE!J100="","",IF(LEN(SAISIE!B100)=1,CONCATENATE("0",SAISIE!B100,"/",SAISIE!$B$4,"/",SAISIE!$B$5),CONCATENATE(SAISIE!B100,"/",SAISIE!$B$4,"/",SAISIE!$B$5)))</f>
        <v/>
      </c>
      <c r="C1454" s="63" t="str">
        <f>IF(SAISIE!J100="","",SAISIE!$J$8)</f>
        <v/>
      </c>
      <c r="D1454" s="63" t="str">
        <f>IF(SAISIE!J100="","",SAISIE!E100)</f>
        <v/>
      </c>
      <c r="E1454" s="63" t="str">
        <f>IF(SAISIE!J100="","",SAISIE!F100)</f>
        <v/>
      </c>
      <c r="F1454" s="70" t="str">
        <f>IF(SAISIE!$J100="","",IF(SAISIE!$N100="","",SAISIE!$N100))</f>
        <v/>
      </c>
      <c r="G1454" s="63" t="str">
        <f>IF(SAISIE!J100="","",SAISIE!J100)</f>
        <v/>
      </c>
      <c r="H1454" s="63"/>
      <c r="I1454" s="72"/>
      <c r="J1454" s="71"/>
      <c r="O1454" s="73"/>
    </row>
    <row r="1455" spans="1:15" x14ac:dyDescent="0.25">
      <c r="A1455" s="63" t="str">
        <f>IF(AND(G1455="",H1455=""),"SUPPR",SAISIE!$B$3)</f>
        <v>SUPPR</v>
      </c>
      <c r="B1455" s="63" t="str">
        <f>IF(SAISIE!K100="","",IF(LEN(SAISIE!B100)=1,CONCATENATE("0",SAISIE!B100,"/",SAISIE!$B$4,"/",SAISIE!$B$5),CONCATENATE(SAISIE!B100,"/",SAISIE!$B$4,"/",SAISIE!$B$5)))</f>
        <v/>
      </c>
      <c r="C1455" s="63" t="str">
        <f>IF(SAISIE!K100="","",SAISIE!$K$8)</f>
        <v/>
      </c>
      <c r="D1455" s="63" t="str">
        <f>IF(SAISIE!K100="","",SAISIE!E100)</f>
        <v/>
      </c>
      <c r="E1455" s="63" t="str">
        <f>IF(SAISIE!K100="","",SAISIE!F100)</f>
        <v/>
      </c>
      <c r="F1455" s="70" t="str">
        <f>IF(SAISIE!$K100="","",IF(SAISIE!$N100="","",SAISIE!$N100))</f>
        <v/>
      </c>
      <c r="G1455" s="63" t="str">
        <f>IF(SAISIE!K100="","",SAISIE!K100)</f>
        <v/>
      </c>
      <c r="H1455" s="63"/>
      <c r="I1455" s="72"/>
      <c r="J1455" s="71"/>
    </row>
    <row r="1456" spans="1:15" x14ac:dyDescent="0.25">
      <c r="A1456" s="63" t="str">
        <f>IF(AND(G1456="",H1456=""),"SUPPR",SAISIE!$B$3)</f>
        <v>SUPPR</v>
      </c>
      <c r="B1456" s="63" t="str">
        <f>IF(SAISIE!L100="","",IF(LEN(SAISIE!B100)=1,CONCATENATE("0",SAISIE!B100,"/",SAISIE!$B$4,"/",SAISIE!$B$5),CONCATENATE(SAISIE!B100,"/",SAISIE!$B$4,"/",SAISIE!$B$5)))</f>
        <v/>
      </c>
      <c r="C1456" s="63" t="str">
        <f>IF(SAISIE!L100="","",SAISIE!$L$8)</f>
        <v/>
      </c>
      <c r="D1456" s="63" t="str">
        <f>IF(SAISIE!L100="","",SAISIE!E100)</f>
        <v/>
      </c>
      <c r="E1456" s="63" t="str">
        <f>IF(SAISIE!L100="","",SAISIE!F100)</f>
        <v/>
      </c>
      <c r="F1456" s="70" t="str">
        <f>IF(SAISIE!$L100="","",IF(SAISIE!$N100="","",SAISIE!$N100))</f>
        <v/>
      </c>
      <c r="G1456" s="63" t="str">
        <f>IF(SAISIE!L100="","",SAISIE!L100)</f>
        <v/>
      </c>
      <c r="H1456" s="63"/>
      <c r="I1456" s="72"/>
      <c r="J1456" s="71"/>
    </row>
    <row r="1457" spans="1:15" x14ac:dyDescent="0.25">
      <c r="A1457" s="63" t="str">
        <f>IF(AND(G1457="",H1457=""),"SUPPR",SAISIE!$B$3)</f>
        <v>SUPPR</v>
      </c>
      <c r="B1457" s="63" t="str">
        <f>IF(SAISIE!M100="","",IF(LEN(SAISIE!B100)=1,CONCATENATE("0",SAISIE!B100,"/",SAISIE!$B$4,"/",SAISIE!$B$5),CONCATENATE(SAISIE!B100,"/",SAISIE!$B$4,"/",SAISIE!$B$5)))</f>
        <v/>
      </c>
      <c r="C1457" s="74" t="str">
        <f>IF(SAISIE!M100="","",SAISIE!$M$8)</f>
        <v/>
      </c>
      <c r="D1457" s="74" t="str">
        <f>IF(SAISIE!M100="","",SAISIE!E100)</f>
        <v/>
      </c>
      <c r="E1457" s="74" t="str">
        <f>IF(SAISIE!M100="","",SAISIE!F100)</f>
        <v/>
      </c>
      <c r="F1457" s="75" t="str">
        <f>IF(SAISIE!$M100="","",IF(SAISIE!$N100="","",SAISIE!$N100))</f>
        <v/>
      </c>
      <c r="G1457" s="74" t="str">
        <f>IF(SAISIE!M100="","",SAISIE!M100)</f>
        <v/>
      </c>
      <c r="H1457" s="76"/>
      <c r="I1457" s="77"/>
      <c r="J1457" s="78"/>
    </row>
    <row r="1458" spans="1:15" x14ac:dyDescent="0.25">
      <c r="A1458" s="63" t="str">
        <f>IF(AND(G1458="",H1458=""),"SUPPR",SAISIE!$B$3)</f>
        <v>SUPPR</v>
      </c>
      <c r="B1458" s="64" t="str">
        <f>IF(SAISIE!B101="","",IF(LEN(SAISIE!B101)=1,CONCATENATE("0",SAISIE!B101,"/",SAISIE!$B$4,"/",SAISIE!$B$5),CONCATENATE(SAISIE!B101,"/",SAISIE!$B$4,"/",SAISIE!$B$5)))</f>
        <v/>
      </c>
      <c r="C1458" s="64" t="str">
        <f>IF(SAISIE!B101="","",CONCATENATE($M$2,SAISIE!C101))</f>
        <v/>
      </c>
      <c r="D1458" s="64" t="str">
        <f>IF(SAISIE!B101="","",SAISIE!E101)</f>
        <v/>
      </c>
      <c r="E1458" s="64" t="str">
        <f>IF(SAISIE!B101="","",SAISIE!F101)</f>
        <v/>
      </c>
      <c r="F1458" s="65" t="str">
        <f>IF(A1458="SUPPR","",IF(SAISIE!$N101="","",SAISIE!$N101))</f>
        <v/>
      </c>
      <c r="G1458" s="64"/>
      <c r="H1458" s="64" t="str">
        <f>IF(SAISIE!B101="","",SAISIE!D101)</f>
        <v/>
      </c>
      <c r="I1458" s="66"/>
      <c r="J1458" s="67" t="str">
        <f>IF(AZ101="","","")</f>
        <v/>
      </c>
      <c r="O1458" s="69">
        <f>O1442+1</f>
        <v>101</v>
      </c>
    </row>
    <row r="1459" spans="1:15" x14ac:dyDescent="0.25">
      <c r="A1459" s="63" t="str">
        <f>IF(AND(G1459="",H1459=""),"SUPPR",SAISIE!$B$3)</f>
        <v>SUPPR</v>
      </c>
      <c r="B1459" s="63" t="str">
        <f>IF(SAISIE!P101="","",IF(LEN(SAISIE!B101)=1,CONCATENATE("0",SAISIE!B101,"/",SAISIE!$B$4,"/",SAISIE!$B$5),CONCATENATE(SAISIE!B101,"/",SAISIE!$B$4,"/",SAISIE!$B$5)))</f>
        <v/>
      </c>
      <c r="C1459" s="63" t="str">
        <f>IF(SAISIE!P101="","",SAISIE!O101)</f>
        <v/>
      </c>
      <c r="D1459" s="63" t="str">
        <f>IF(SAISIE!P101="","",SAISIE!E101)</f>
        <v/>
      </c>
      <c r="E1459" s="63" t="str">
        <f>IF(SAISIE!P101="","",SAISIE!F101)</f>
        <v/>
      </c>
      <c r="F1459" s="70" t="str">
        <f>IF(SAISIE!$P101="","",IF(SAISIE!$N101="","",SAISIE!$N101))</f>
        <v/>
      </c>
      <c r="G1459" s="63" t="str">
        <f>IF(SAISIE!P101="","",SAISIE!P101)</f>
        <v/>
      </c>
      <c r="H1459" s="63"/>
      <c r="I1459" s="63" t="str">
        <f>IF(SAISIE!$P101="","",SAISIE!$Q101)</f>
        <v/>
      </c>
      <c r="J1459" s="71" t="str">
        <f>IF(COUNTBLANK(SAISIE!$J$6:$M$6)=4,"",IF(SAISIE!P101="","",IF(SAISIE!J101&gt;0,SAISIE!$J$6,IF(SAISIE!K101&gt;0,SAISIE!$K$6,IF(SAISIE!L101&gt;0,SAISIE!$L$6,IF(SAISIE!M101&gt;0,SAISIE!$M$6,""))))))</f>
        <v/>
      </c>
      <c r="O1459" s="59" t="s">
        <v>50</v>
      </c>
    </row>
    <row r="1460" spans="1:15" x14ac:dyDescent="0.25">
      <c r="A1460" s="63" t="str">
        <f>IF(AND(G1460="",H1460=""),"SUPPR",SAISIE!$B$3)</f>
        <v>SUPPR</v>
      </c>
      <c r="B1460" s="63" t="str">
        <f>IF(SAISIE!G101="","",IF(LEN(SAISIE!B101)=1,CONCATENATE("0",SAISIE!B101,"/",SAISIE!$B$4,"/",SAISIE!$B$5),CONCATENATE(SAISIE!B101,"/",SAISIE!$B$4,"/",SAISIE!$B$5)))</f>
        <v/>
      </c>
      <c r="C1460" s="63" t="str">
        <f>IF(SAISIE!G101="","",SAISIE!$G$8)</f>
        <v/>
      </c>
      <c r="D1460" s="63" t="str">
        <f>IF(SAISIE!G101="","",SAISIE!E101)</f>
        <v/>
      </c>
      <c r="E1460" s="63" t="str">
        <f>IF(SAISIE!G101="","",SAISIE!F101)</f>
        <v/>
      </c>
      <c r="F1460" s="70" t="str">
        <f>IF(SAISIE!$G101="","",IF(SAISIE!$N101="","",SAISIE!$N101))</f>
        <v/>
      </c>
      <c r="G1460" s="63" t="str">
        <f>IF(SAISIE!G101="","",SAISIE!G101)</f>
        <v/>
      </c>
      <c r="H1460" s="63"/>
      <c r="I1460" s="63" t="str">
        <f>IF(SAISIE!$G101="","",SAISIE!$Q101)</f>
        <v/>
      </c>
      <c r="J1460" s="71" t="str">
        <f>IF(COUNTBLANK(SAISIE!$J$6:$M$6)=4,"",IF(SAISIE!G101="","",IF(SAISIE!J101&gt;0,SAISIE!$J$6,IF(SAISIE!K101&gt;0,SAISIE!$K$6,IF(SAISIE!L101&gt;0,SAISIE!$L$6,IF(SAISIE!M101&gt;0,SAISIE!$M$6,""))))))</f>
        <v/>
      </c>
      <c r="O1460" s="59" t="s">
        <v>51</v>
      </c>
    </row>
    <row r="1461" spans="1:15" x14ac:dyDescent="0.25">
      <c r="A1461" s="63" t="str">
        <f>IF(AND(G1461="",H1461=""),"SUPPR",SAISIE!$B$3)</f>
        <v>SUPPR</v>
      </c>
      <c r="B1461" s="63" t="str">
        <f>IF(SAISIE!H101="","",IF(LEN(SAISIE!B101)=1,CONCATENATE("0",SAISIE!B101,"/",SAISIE!$B$4,"/",SAISIE!$B$5),CONCATENATE(SAISIE!B101,"/",SAISIE!$B$4,"/",SAISIE!$B$5)))</f>
        <v/>
      </c>
      <c r="C1461" s="63" t="str">
        <f>IF(SAISIE!H101="","",SAISIE!$H$8)</f>
        <v/>
      </c>
      <c r="D1461" s="63" t="str">
        <f>IF(SAISIE!H101="","",SAISIE!E101)</f>
        <v/>
      </c>
      <c r="E1461" s="63" t="str">
        <f>IF(SAISIE!H101="","",SAISIE!F101)</f>
        <v/>
      </c>
      <c r="F1461" s="70" t="str">
        <f>IF(SAISIE!$H101="","",IF(SAISIE!$N101="","",SAISIE!$N101))</f>
        <v/>
      </c>
      <c r="G1461" s="63" t="str">
        <f>IF(SAISIE!H101="","",SAISIE!H101)</f>
        <v/>
      </c>
      <c r="H1461" s="63"/>
      <c r="I1461" s="63" t="str">
        <f>IF(SAISIE!$H101="","",SAISIE!$Q101)</f>
        <v/>
      </c>
      <c r="J1461" s="71" t="str">
        <f>IF(COUNTBLANK(SAISIE!$J$6:$M$6)=4,"",IF(SAISIE!H101="","",IF(SAISIE!J101&gt;0,SAISIE!$J$6,IF(SAISIE!K101&gt;0,SAISIE!$K$6,IF(SAISIE!L101&gt;0,SAISIE!$L$6,IF(SAISIE!M101&gt;0,SAISIE!$M$6,""))))))</f>
        <v/>
      </c>
      <c r="O1461" s="59" t="s">
        <v>52</v>
      </c>
    </row>
    <row r="1462" spans="1:15" x14ac:dyDescent="0.25">
      <c r="A1462" s="63" t="str">
        <f>IF(AND(G1462="",H1462=""),"SUPPR",SAISIE!$B$3)</f>
        <v>SUPPR</v>
      </c>
      <c r="B1462" s="63" t="str">
        <f>IF(SAISIE!I101="","",IF(LEN(SAISIE!B101)=1,CONCATENATE("0",SAISIE!B101,"/",SAISIE!$B$4,"/",SAISIE!$B$5),CONCATENATE(SAISIE!B101,"/",SAISIE!$B$4,"/",SAISIE!$B$5)))</f>
        <v/>
      </c>
      <c r="C1462" s="63" t="str">
        <f>IF(SAISIE!I101="","",SAISIE!$I$8)</f>
        <v/>
      </c>
      <c r="D1462" s="63" t="str">
        <f>IF(SAISIE!I101="","",SAISIE!E101)</f>
        <v/>
      </c>
      <c r="E1462" s="63" t="str">
        <f>IF(SAISIE!I101="","",SAISIE!F101)</f>
        <v/>
      </c>
      <c r="F1462" s="70" t="str">
        <f>IF(SAISIE!$I101="","",IF(SAISIE!$N101="","",SAISIE!$N101))</f>
        <v/>
      </c>
      <c r="G1462" s="63" t="str">
        <f>IF(SAISIE!I101="","",SAISIE!I101)</f>
        <v/>
      </c>
      <c r="H1462" s="63"/>
      <c r="I1462" s="63" t="str">
        <f>IF(SAISIE!$I101="","",SAISIE!$Q101)</f>
        <v/>
      </c>
      <c r="J1462" s="71" t="str">
        <f>IF(COUNTBLANK(SAISIE!$J$6:$M$6)=4,"",IF(SAISIE!I101="","",IF(SAISIE!J101&gt;0,SAISIE!$J$6,IF(SAISIE!K101&gt;0,SAISIE!$K$6,IF(SAISIE!L101&gt;0,SAISIE!$L$6,IF(SAISIE!M101&gt;0,SAISIE!$M$6,""))))))</f>
        <v/>
      </c>
      <c r="O1462" s="59" t="s">
        <v>53</v>
      </c>
    </row>
    <row r="1463" spans="1:15" x14ac:dyDescent="0.25">
      <c r="A1463" s="63" t="e">
        <f>IF(AND(G1463="",H1463=""),"SUPPR",SAISIE!$B$3)</f>
        <v>#REF!</v>
      </c>
      <c r="B1463" s="63" t="e">
        <f>IF(SAISIE!#REF!="","",IF(LEN(SAISIE!B101)=1,CONCATENATE("0",SAISIE!B101,"/",SAISIE!$B$4,"/",SAISIE!$B$5),CONCATENATE(SAISIE!B101,"/",SAISIE!$B$4,"/",SAISIE!$B$5)))</f>
        <v>#REF!</v>
      </c>
      <c r="C1463" s="63" t="e">
        <f>IF(SAISIE!#REF!="","",SAISIE!#REF!)</f>
        <v>#REF!</v>
      </c>
      <c r="D1463" s="63" t="e">
        <f>IF(SAISIE!#REF!="","",SAISIE!E101)</f>
        <v>#REF!</v>
      </c>
      <c r="E1463" s="63" t="e">
        <f>IF(SAISIE!#REF!="","",SAISIE!F101)</f>
        <v>#REF!</v>
      </c>
      <c r="F1463" s="70" t="e">
        <f>IF(SAISIE!#REF!="","",IF(SAISIE!$N101="","",SAISIE!$N101))</f>
        <v>#REF!</v>
      </c>
      <c r="G1463" s="63" t="e">
        <f>IF(SAISIE!#REF!="","",SAISIE!#REF!)</f>
        <v>#REF!</v>
      </c>
      <c r="H1463" s="63"/>
      <c r="I1463" s="63" t="e">
        <f>IF(SAISIE!#REF!="","",SAISIE!$Q101)</f>
        <v>#REF!</v>
      </c>
      <c r="J1463" s="71" t="str">
        <f>IF(COUNTBLANK(SAISIE!$J$6:$M$6)=4,"",IF(SAISIE!#REF!="","",IF(SAISIE!J101&gt;0,SAISIE!$J$6,IF(SAISIE!K101&gt;0,SAISIE!$K$6,IF(SAISIE!L101&gt;0,SAISIE!$L$6,IF(SAISIE!M101&gt;0,SAISIE!$M$6,""))))))</f>
        <v/>
      </c>
      <c r="O1463" s="59" t="s">
        <v>54</v>
      </c>
    </row>
    <row r="1464" spans="1:15" x14ac:dyDescent="0.25">
      <c r="A1464" s="63" t="e">
        <f>IF(AND(G1464="",H1464=""),"SUPPR",SAISIE!$B$3)</f>
        <v>#REF!</v>
      </c>
      <c r="B1464" s="63" t="e">
        <f>IF(SAISIE!#REF!="","",IF(LEN(SAISIE!B101)=1,CONCATENATE("0",SAISIE!B101,"/",SAISIE!$B$4,"/",SAISIE!$B$5),CONCATENATE(SAISIE!B101,"/",SAISIE!$B$4,"/",SAISIE!$B$5)))</f>
        <v>#REF!</v>
      </c>
      <c r="C1464" s="63" t="e">
        <f>IF(SAISIE!#REF!="","",SAISIE!#REF!)</f>
        <v>#REF!</v>
      </c>
      <c r="D1464" s="63" t="e">
        <f>IF(SAISIE!#REF!="","",SAISIE!E101)</f>
        <v>#REF!</v>
      </c>
      <c r="E1464" s="63" t="e">
        <f>IF(SAISIE!#REF!="","",SAISIE!F101)</f>
        <v>#REF!</v>
      </c>
      <c r="F1464" s="70" t="e">
        <f>IF(SAISIE!#REF!="","",IF(SAISIE!$N101="","",SAISIE!$N101))</f>
        <v>#REF!</v>
      </c>
      <c r="G1464" s="63" t="e">
        <f>IF(SAISIE!#REF!="","",SAISIE!#REF!)</f>
        <v>#REF!</v>
      </c>
      <c r="H1464" s="63"/>
      <c r="I1464" s="63" t="e">
        <f>IF(SAISIE!#REF!="","",SAISIE!$Q101)</f>
        <v>#REF!</v>
      </c>
      <c r="J1464" s="71" t="str">
        <f>IF(COUNTBLANK(SAISIE!$J$6:$M$6)=4,"",IF(SAISIE!#REF!="","",IF(SAISIE!J101&gt;0,SAISIE!$J$6,IF(SAISIE!K101&gt;0,SAISIE!$K$6,IF(SAISIE!L101&gt;0,SAISIE!$L$6,IF(SAISIE!M101&gt;0,SAISIE!$M$6,""))))))</f>
        <v/>
      </c>
      <c r="O1464" s="59" t="s">
        <v>55</v>
      </c>
    </row>
    <row r="1465" spans="1:15" x14ac:dyDescent="0.25">
      <c r="A1465" s="63" t="e">
        <f>IF(AND(G1465="",H1465=""),"SUPPR",SAISIE!$B$3)</f>
        <v>#REF!</v>
      </c>
      <c r="B1465" s="63" t="e">
        <f>IF(SAISIE!#REF!="","",IF(LEN(SAISIE!B101)=1,CONCATENATE("0",SAISIE!B101,"/",SAISIE!$B$4,"/",SAISIE!$B$5),CONCATENATE(SAISIE!B101,"/",SAISIE!$B$4,"/",SAISIE!$B$5)))</f>
        <v>#REF!</v>
      </c>
      <c r="C1465" s="63" t="e">
        <f>IF(SAISIE!#REF!="","",SAISIE!#REF!)</f>
        <v>#REF!</v>
      </c>
      <c r="D1465" s="63" t="e">
        <f>IF(SAISIE!#REF!="","",SAISIE!E101)</f>
        <v>#REF!</v>
      </c>
      <c r="E1465" s="63" t="e">
        <f>IF(SAISIE!#REF!="","",SAISIE!F101)</f>
        <v>#REF!</v>
      </c>
      <c r="F1465" s="70" t="e">
        <f>IF(SAISIE!#REF!="","",IF(SAISIE!$N101="","",SAISIE!$N101))</f>
        <v>#REF!</v>
      </c>
      <c r="G1465" s="63" t="e">
        <f>IF(SAISIE!#REF!="","",SAISIE!#REF!)</f>
        <v>#REF!</v>
      </c>
      <c r="H1465" s="63"/>
      <c r="I1465" s="63" t="e">
        <f>IF(SAISIE!#REF!="","",SAISIE!$Q101)</f>
        <v>#REF!</v>
      </c>
      <c r="J1465" s="71" t="str">
        <f>IF(COUNTBLANK(SAISIE!$J$6:$M$6)=4,"",IF(SAISIE!#REF!="","",IF(SAISIE!J101&gt;0,SAISIE!$J$6,IF(SAISIE!K101&gt;0,SAISIE!$K$6,IF(SAISIE!L101&gt;0,SAISIE!$L$6,IF(SAISIE!M101&gt;0,SAISIE!$M$6,""))))))</f>
        <v/>
      </c>
      <c r="O1465" s="59" t="s">
        <v>56</v>
      </c>
    </row>
    <row r="1466" spans="1:15" x14ac:dyDescent="0.25">
      <c r="A1466" s="63" t="e">
        <f>IF(AND(G1466="",H1466=""),"SUPPR",SAISIE!$B$3)</f>
        <v>#REF!</v>
      </c>
      <c r="B1466" s="63" t="e">
        <f>IF(SAISIE!#REF!="","",IF(LEN(SAISIE!B101)=1,CONCATENATE("0",SAISIE!B101,"/",SAISIE!$B$4,"/",SAISIE!$B$5),CONCATENATE(SAISIE!B101,"/",SAISIE!$B$4,"/",SAISIE!$B$5)))</f>
        <v>#REF!</v>
      </c>
      <c r="C1466" s="63" t="e">
        <f>IF(SAISIE!#REF!="","",SAISIE!#REF!)</f>
        <v>#REF!</v>
      </c>
      <c r="D1466" s="63" t="e">
        <f>IF(SAISIE!#REF!="","",SAISIE!E101)</f>
        <v>#REF!</v>
      </c>
      <c r="E1466" s="63" t="e">
        <f>IF(SAISIE!#REF!="","",SAISIE!F101)</f>
        <v>#REF!</v>
      </c>
      <c r="F1466" s="70" t="e">
        <f>IF(SAISIE!#REF!="","",IF(SAISIE!$N101="","",SAISIE!$N101))</f>
        <v>#REF!</v>
      </c>
      <c r="G1466" s="63" t="e">
        <f>IF(SAISIE!#REF!="","",SAISIE!#REF!)</f>
        <v>#REF!</v>
      </c>
      <c r="H1466" s="63"/>
      <c r="I1466" s="63" t="e">
        <f>IF(SAISIE!#REF!="","",SAISIE!$Q101)</f>
        <v>#REF!</v>
      </c>
      <c r="J1466" s="71" t="str">
        <f>IF(COUNTBLANK(SAISIE!$J$6:$M$6)=4,"",IF(SAISIE!#REF!="","",IF(SAISIE!J101&gt;0,SAISIE!$J$6,IF(SAISIE!K101&gt;0,SAISIE!$K$6,IF(SAISIE!L101&gt;0,SAISIE!$L$6,IF(SAISIE!M101&gt;0,SAISIE!$M$6,""))))))</f>
        <v/>
      </c>
      <c r="O1466" s="59" t="s">
        <v>57</v>
      </c>
    </row>
    <row r="1467" spans="1:15" x14ac:dyDescent="0.25">
      <c r="A1467" s="63" t="e">
        <f>IF(AND(G1467="",H1467=""),"SUPPR",SAISIE!$B$3)</f>
        <v>#REF!</v>
      </c>
      <c r="B1467" s="63" t="e">
        <f>IF(SAISIE!#REF!="","",IF(LEN(SAISIE!B101)=1,CONCATENATE("0",SAISIE!B101,"/",SAISIE!$B$4,"/",SAISIE!$B$5),CONCATENATE(SAISIE!B101,"/",SAISIE!$B$4,"/",SAISIE!$B$5)))</f>
        <v>#REF!</v>
      </c>
      <c r="C1467" s="63" t="e">
        <f>IF(SAISIE!#REF!="","",SAISIE!#REF!)</f>
        <v>#REF!</v>
      </c>
      <c r="D1467" s="63" t="e">
        <f>IF(SAISIE!#REF!="","",SAISIE!E101)</f>
        <v>#REF!</v>
      </c>
      <c r="E1467" s="63" t="e">
        <f>IF(SAISIE!#REF!="","",SAISIE!F101)</f>
        <v>#REF!</v>
      </c>
      <c r="F1467" s="70" t="e">
        <f>IF(SAISIE!#REF!="","",IF(SAISIE!$N101="","",SAISIE!$N101))</f>
        <v>#REF!</v>
      </c>
      <c r="G1467" s="63" t="e">
        <f>IF(SAISIE!#REF!="","",SAISIE!#REF!)</f>
        <v>#REF!</v>
      </c>
      <c r="H1467" s="63"/>
      <c r="I1467" s="63" t="e">
        <f>IF(SAISIE!#REF!="","",SAISIE!$Q101)</f>
        <v>#REF!</v>
      </c>
      <c r="J1467" s="71" t="str">
        <f>IF(COUNTBLANK(SAISIE!$J$6:$M$6)=4,"",IF(SAISIE!#REF!="","",IF(SAISIE!J101&gt;0,SAISIE!$J$6,IF(SAISIE!K101&gt;0,SAISIE!$K$6,IF(SAISIE!L101&gt;0,SAISIE!$L$6,IF(SAISIE!M101&gt;0,SAISIE!$M$6,""))))))</f>
        <v/>
      </c>
      <c r="O1467" s="59" t="s">
        <v>58</v>
      </c>
    </row>
    <row r="1468" spans="1:15" x14ac:dyDescent="0.25">
      <c r="A1468" s="63" t="e">
        <f>IF(AND(G1468="",H1468=""),"SUPPR",SAISIE!$B$3)</f>
        <v>#REF!</v>
      </c>
      <c r="B1468" s="63" t="e">
        <f>IF(SAISIE!#REF!="","",IF(LEN(SAISIE!B101)=1,CONCATENATE("0",SAISIE!B101,"/",SAISIE!$B$4,"/",SAISIE!$B$5),CONCATENATE(SAISIE!B101,"/",SAISIE!$B$4,"/",SAISIE!$B$5)))</f>
        <v>#REF!</v>
      </c>
      <c r="C1468" s="63" t="e">
        <f>IF(SAISIE!#REF!="","",SAISIE!#REF!)</f>
        <v>#REF!</v>
      </c>
      <c r="D1468" s="63" t="e">
        <f>IF(SAISIE!#REF!="","",SAISIE!E101)</f>
        <v>#REF!</v>
      </c>
      <c r="E1468" s="63" t="e">
        <f>IF(SAISIE!#REF!="","",SAISIE!F101)</f>
        <v>#REF!</v>
      </c>
      <c r="F1468" s="70" t="e">
        <f>IF(SAISIE!#REF!="","",IF(SAISIE!$N101="","",SAISIE!$N101))</f>
        <v>#REF!</v>
      </c>
      <c r="G1468" s="63" t="e">
        <f>IF(SAISIE!#REF!="","",SAISIE!#REF!)</f>
        <v>#REF!</v>
      </c>
      <c r="H1468" s="63"/>
      <c r="I1468" s="63" t="e">
        <f>IF(SAISIE!#REF!="","",SAISIE!$Q101)</f>
        <v>#REF!</v>
      </c>
      <c r="J1468" s="71" t="str">
        <f>IF(COUNTBLANK(SAISIE!$J$6:$M$6)=4,"",IF(SAISIE!#REF!="","",IF(SAISIE!J101&gt;0,SAISIE!$J$6,IF(SAISIE!K101&gt;0,SAISIE!$K$6,IF(SAISIE!L101&gt;0,SAISIE!$L$6,IF(SAISIE!M101&gt;0,SAISIE!$M$6,""))))))</f>
        <v/>
      </c>
      <c r="O1468" s="59" t="s">
        <v>59</v>
      </c>
    </row>
    <row r="1469" spans="1:15" x14ac:dyDescent="0.25">
      <c r="A1469" s="63" t="e">
        <f>IF(AND(G1469="",H1469=""),"SUPPR",SAISIE!$B$3)</f>
        <v>#REF!</v>
      </c>
      <c r="B1469" s="63" t="e">
        <f>IF(SAISIE!#REF!="","",IF(LEN(SAISIE!B101)=1,CONCATENATE("0",SAISIE!B101,"/",SAISIE!$B$4,"/",SAISIE!$B$5),CONCATENATE(SAISIE!B101,"/",SAISIE!$B$4,"/",SAISIE!$B$5)))</f>
        <v>#REF!</v>
      </c>
      <c r="C1469" s="63" t="e">
        <f>IF(SAISIE!#REF!="","",SAISIE!#REF!)</f>
        <v>#REF!</v>
      </c>
      <c r="D1469" s="63" t="e">
        <f>IF(SAISIE!#REF!="","",SAISIE!E101)</f>
        <v>#REF!</v>
      </c>
      <c r="E1469" s="63" t="e">
        <f>IF(SAISIE!#REF!="","",SAISIE!F101)</f>
        <v>#REF!</v>
      </c>
      <c r="F1469" s="70" t="e">
        <f>IF(SAISIE!#REF!="","",IF(SAISIE!$N101="","",SAISIE!$N101))</f>
        <v>#REF!</v>
      </c>
      <c r="G1469" s="63" t="e">
        <f>IF(SAISIE!#REF!="","",SAISIE!#REF!)</f>
        <v>#REF!</v>
      </c>
      <c r="H1469" s="63"/>
      <c r="I1469" s="63" t="e">
        <f>IF(SAISIE!#REF!="","",SAISIE!$Q101)</f>
        <v>#REF!</v>
      </c>
      <c r="J1469" s="71" t="str">
        <f>IF(COUNTBLANK(SAISIE!$J$6:$M$6)=4,"",IF(SAISIE!#REF!="","",IF(SAISIE!J101&gt;0,SAISIE!$J$6,IF(SAISIE!K101&gt;0,SAISIE!$K$6,IF(SAISIE!L101&gt;0,SAISIE!$L$6,IF(SAISIE!M101&gt;0,SAISIE!$M$6,""))))))</f>
        <v/>
      </c>
      <c r="O1469" s="59" t="s">
        <v>60</v>
      </c>
    </row>
    <row r="1470" spans="1:15" x14ac:dyDescent="0.25">
      <c r="A1470" s="63" t="str">
        <f>IF(AND(G1470="",H1470=""),"SUPPR",SAISIE!$B$3)</f>
        <v>SUPPR</v>
      </c>
      <c r="B1470" s="63" t="str">
        <f>IF(SAISIE!J101="","",IF(LEN(SAISIE!B101)=1,CONCATENATE("0",SAISIE!B101,"/",SAISIE!$B$4,"/",SAISIE!$B$5),CONCATENATE(SAISIE!B101,"/",SAISIE!$B$4,"/",SAISIE!$B$5)))</f>
        <v/>
      </c>
      <c r="C1470" s="63" t="str">
        <f>IF(SAISIE!J101="","",SAISIE!$J$8)</f>
        <v/>
      </c>
      <c r="D1470" s="63" t="str">
        <f>IF(SAISIE!J101="","",SAISIE!E101)</f>
        <v/>
      </c>
      <c r="E1470" s="63" t="str">
        <f>IF(SAISIE!J101="","",SAISIE!F101)</f>
        <v/>
      </c>
      <c r="F1470" s="70" t="str">
        <f>IF(SAISIE!$J101="","",IF(SAISIE!$N101="","",SAISIE!$N101))</f>
        <v/>
      </c>
      <c r="G1470" s="63" t="str">
        <f>IF(SAISIE!J101="","",SAISIE!J101)</f>
        <v/>
      </c>
      <c r="H1470" s="63"/>
      <c r="I1470" s="72"/>
      <c r="J1470" s="71"/>
      <c r="O1470" s="73"/>
    </row>
    <row r="1471" spans="1:15" x14ac:dyDescent="0.25">
      <c r="A1471" s="63" t="str">
        <f>IF(AND(G1471="",H1471=""),"SUPPR",SAISIE!$B$3)</f>
        <v>SUPPR</v>
      </c>
      <c r="B1471" s="63" t="str">
        <f>IF(SAISIE!K101="","",IF(LEN(SAISIE!B101)=1,CONCATENATE("0",SAISIE!B101,"/",SAISIE!$B$4,"/",SAISIE!$B$5),CONCATENATE(SAISIE!B101,"/",SAISIE!$B$4,"/",SAISIE!$B$5)))</f>
        <v/>
      </c>
      <c r="C1471" s="63" t="str">
        <f>IF(SAISIE!K101="","",SAISIE!$K$8)</f>
        <v/>
      </c>
      <c r="D1471" s="63" t="str">
        <f>IF(SAISIE!K101="","",SAISIE!E101)</f>
        <v/>
      </c>
      <c r="E1471" s="63" t="str">
        <f>IF(SAISIE!K101="","",SAISIE!F101)</f>
        <v/>
      </c>
      <c r="F1471" s="70" t="str">
        <f>IF(SAISIE!$K101="","",IF(SAISIE!$N101="","",SAISIE!$N101))</f>
        <v/>
      </c>
      <c r="G1471" s="63" t="str">
        <f>IF(SAISIE!K101="","",SAISIE!K101)</f>
        <v/>
      </c>
      <c r="H1471" s="63"/>
      <c r="I1471" s="72"/>
      <c r="J1471" s="71"/>
    </row>
    <row r="1472" spans="1:15" x14ac:dyDescent="0.25">
      <c r="A1472" s="63" t="str">
        <f>IF(AND(G1472="",H1472=""),"SUPPR",SAISIE!$B$3)</f>
        <v>SUPPR</v>
      </c>
      <c r="B1472" s="63" t="str">
        <f>IF(SAISIE!L101="","",IF(LEN(SAISIE!B101)=1,CONCATENATE("0",SAISIE!B101,"/",SAISIE!$B$4,"/",SAISIE!$B$5),CONCATENATE(SAISIE!B101,"/",SAISIE!$B$4,"/",SAISIE!$B$5)))</f>
        <v/>
      </c>
      <c r="C1472" s="63" t="str">
        <f>IF(SAISIE!L101="","",SAISIE!$L$8)</f>
        <v/>
      </c>
      <c r="D1472" s="63" t="str">
        <f>IF(SAISIE!L101="","",SAISIE!E101)</f>
        <v/>
      </c>
      <c r="E1472" s="63" t="str">
        <f>IF(SAISIE!L101="","",SAISIE!F101)</f>
        <v/>
      </c>
      <c r="F1472" s="70" t="str">
        <f>IF(SAISIE!$L101="","",IF(SAISIE!$N101="","",SAISIE!$N101))</f>
        <v/>
      </c>
      <c r="G1472" s="63" t="str">
        <f>IF(SAISIE!L101="","",SAISIE!L101)</f>
        <v/>
      </c>
      <c r="H1472" s="63"/>
      <c r="I1472" s="72"/>
      <c r="J1472" s="71"/>
    </row>
    <row r="1473" spans="1:15" x14ac:dyDescent="0.25">
      <c r="A1473" s="63" t="str">
        <f>IF(AND(G1473="",H1473=""),"SUPPR",SAISIE!$B$3)</f>
        <v>SUPPR</v>
      </c>
      <c r="B1473" s="63" t="str">
        <f>IF(SAISIE!M101="","",IF(LEN(SAISIE!B101)=1,CONCATENATE("0",SAISIE!B101,"/",SAISIE!$B$4,"/",SAISIE!$B$5),CONCATENATE(SAISIE!B101,"/",SAISIE!$B$4,"/",SAISIE!$B$5)))</f>
        <v/>
      </c>
      <c r="C1473" s="74" t="str">
        <f>IF(SAISIE!M101="","",SAISIE!$M$8)</f>
        <v/>
      </c>
      <c r="D1473" s="74" t="str">
        <f>IF(SAISIE!M101="","",SAISIE!E101)</f>
        <v/>
      </c>
      <c r="E1473" s="74" t="str">
        <f>IF(SAISIE!M101="","",SAISIE!F101)</f>
        <v/>
      </c>
      <c r="F1473" s="75" t="str">
        <f>IF(SAISIE!$M101="","",IF(SAISIE!$N101="","",SAISIE!$N101))</f>
        <v/>
      </c>
      <c r="G1473" s="74" t="str">
        <f>IF(SAISIE!M101="","",SAISIE!M101)</f>
        <v/>
      </c>
      <c r="H1473" s="76"/>
      <c r="I1473" s="77"/>
      <c r="J1473" s="78"/>
    </row>
    <row r="1474" spans="1:15" x14ac:dyDescent="0.25">
      <c r="A1474" s="63" t="str">
        <f>IF(AND(G1474="",H1474=""),"SUPPR",SAISIE!$B$3)</f>
        <v>SUPPR</v>
      </c>
      <c r="B1474" s="64" t="str">
        <f>IF(SAISIE!B102="","",IF(LEN(SAISIE!B102)=1,CONCATENATE("0",SAISIE!B102,"/",SAISIE!$B$4,"/",SAISIE!$B$5),CONCATENATE(SAISIE!B102,"/",SAISIE!$B$4,"/",SAISIE!$B$5)))</f>
        <v/>
      </c>
      <c r="C1474" s="64" t="str">
        <f>IF(SAISIE!B102="","",CONCATENATE($M$2,SAISIE!C102))</f>
        <v/>
      </c>
      <c r="D1474" s="64" t="str">
        <f>IF(SAISIE!B102="","",SAISIE!E102)</f>
        <v/>
      </c>
      <c r="E1474" s="64" t="str">
        <f>IF(SAISIE!B102="","",SAISIE!F102)</f>
        <v/>
      </c>
      <c r="F1474" s="65" t="str">
        <f>IF(A1474="SUPPR","",IF(SAISIE!$N102="","",SAISIE!$N102))</f>
        <v/>
      </c>
      <c r="G1474" s="64"/>
      <c r="H1474" s="64" t="str">
        <f>IF(SAISIE!B102="","",SAISIE!D102)</f>
        <v/>
      </c>
      <c r="I1474" s="66"/>
      <c r="J1474" s="67" t="str">
        <f>IF(AZ102="","","")</f>
        <v/>
      </c>
      <c r="O1474" s="69">
        <f>O1458+1</f>
        <v>102</v>
      </c>
    </row>
    <row r="1475" spans="1:15" x14ac:dyDescent="0.25">
      <c r="A1475" s="63" t="str">
        <f>IF(AND(G1475="",H1475=""),"SUPPR",SAISIE!$B$3)</f>
        <v>SUPPR</v>
      </c>
      <c r="B1475" s="63" t="str">
        <f>IF(SAISIE!P102="","",IF(LEN(SAISIE!B102)=1,CONCATENATE("0",SAISIE!B102,"/",SAISIE!$B$4,"/",SAISIE!$B$5),CONCATENATE(SAISIE!B102,"/",SAISIE!$B$4,"/",SAISIE!$B$5)))</f>
        <v/>
      </c>
      <c r="C1475" s="63" t="str">
        <f>IF(SAISIE!P102="","",SAISIE!O102)</f>
        <v/>
      </c>
      <c r="D1475" s="63" t="str">
        <f>IF(SAISIE!P102="","",SAISIE!E102)</f>
        <v/>
      </c>
      <c r="E1475" s="63" t="str">
        <f>IF(SAISIE!P102="","",SAISIE!F102)</f>
        <v/>
      </c>
      <c r="F1475" s="70" t="str">
        <f>IF(SAISIE!$P102="","",IF(SAISIE!$N102="","",SAISIE!$N102))</f>
        <v/>
      </c>
      <c r="G1475" s="63" t="str">
        <f>IF(SAISIE!P102="","",SAISIE!P102)</f>
        <v/>
      </c>
      <c r="H1475" s="63"/>
      <c r="I1475" s="63" t="str">
        <f>IF(SAISIE!$P102="","",SAISIE!$Q102)</f>
        <v/>
      </c>
      <c r="J1475" s="71" t="str">
        <f>IF(COUNTBLANK(SAISIE!$J$6:$M$6)=4,"",IF(SAISIE!P102="","",IF(SAISIE!J102&gt;0,SAISIE!$J$6,IF(SAISIE!K102&gt;0,SAISIE!$K$6,IF(SAISIE!L102&gt;0,SAISIE!$L$6,IF(SAISIE!M102&gt;0,SAISIE!$M$6,""))))))</f>
        <v/>
      </c>
      <c r="O1475" s="59" t="s">
        <v>50</v>
      </c>
    </row>
    <row r="1476" spans="1:15" x14ac:dyDescent="0.25">
      <c r="A1476" s="63" t="str">
        <f>IF(AND(G1476="",H1476=""),"SUPPR",SAISIE!$B$3)</f>
        <v>SUPPR</v>
      </c>
      <c r="B1476" s="63" t="str">
        <f>IF(SAISIE!G102="","",IF(LEN(SAISIE!B102)=1,CONCATENATE("0",SAISIE!B102,"/",SAISIE!$B$4,"/",SAISIE!$B$5),CONCATENATE(SAISIE!B102,"/",SAISIE!$B$4,"/",SAISIE!$B$5)))</f>
        <v/>
      </c>
      <c r="C1476" s="63" t="str">
        <f>IF(SAISIE!G102="","",SAISIE!$G$8)</f>
        <v/>
      </c>
      <c r="D1476" s="63" t="str">
        <f>IF(SAISIE!G102="","",SAISIE!E102)</f>
        <v/>
      </c>
      <c r="E1476" s="63" t="str">
        <f>IF(SAISIE!G102="","",SAISIE!F102)</f>
        <v/>
      </c>
      <c r="F1476" s="70" t="str">
        <f>IF(SAISIE!$G102="","",IF(SAISIE!$N102="","",SAISIE!$N102))</f>
        <v/>
      </c>
      <c r="G1476" s="63" t="str">
        <f>IF(SAISIE!G102="","",SAISIE!G102)</f>
        <v/>
      </c>
      <c r="H1476" s="63"/>
      <c r="I1476" s="63" t="str">
        <f>IF(SAISIE!$G102="","",SAISIE!$Q102)</f>
        <v/>
      </c>
      <c r="J1476" s="71" t="str">
        <f>IF(COUNTBLANK(SAISIE!$J$6:$M$6)=4,"",IF(SAISIE!G102="","",IF(SAISIE!J102&gt;0,SAISIE!$J$6,IF(SAISIE!K102&gt;0,SAISIE!$K$6,IF(SAISIE!L102&gt;0,SAISIE!$L$6,IF(SAISIE!M102&gt;0,SAISIE!$M$6,""))))))</f>
        <v/>
      </c>
      <c r="O1476" s="59" t="s">
        <v>51</v>
      </c>
    </row>
    <row r="1477" spans="1:15" x14ac:dyDescent="0.25">
      <c r="A1477" s="63" t="str">
        <f>IF(AND(G1477="",H1477=""),"SUPPR",SAISIE!$B$3)</f>
        <v>SUPPR</v>
      </c>
      <c r="B1477" s="63" t="str">
        <f>IF(SAISIE!H102="","",IF(LEN(SAISIE!B102)=1,CONCATENATE("0",SAISIE!B102,"/",SAISIE!$B$4,"/",SAISIE!$B$5),CONCATENATE(SAISIE!B102,"/",SAISIE!$B$4,"/",SAISIE!$B$5)))</f>
        <v/>
      </c>
      <c r="C1477" s="63" t="str">
        <f>IF(SAISIE!H102="","",SAISIE!$H$8)</f>
        <v/>
      </c>
      <c r="D1477" s="63" t="str">
        <f>IF(SAISIE!H102="","",SAISIE!E102)</f>
        <v/>
      </c>
      <c r="E1477" s="63" t="str">
        <f>IF(SAISIE!H102="","",SAISIE!F102)</f>
        <v/>
      </c>
      <c r="F1477" s="70" t="str">
        <f>IF(SAISIE!$H102="","",IF(SAISIE!$N102="","",SAISIE!$N102))</f>
        <v/>
      </c>
      <c r="G1477" s="63" t="str">
        <f>IF(SAISIE!H102="","",SAISIE!H102)</f>
        <v/>
      </c>
      <c r="H1477" s="63"/>
      <c r="I1477" s="63" t="str">
        <f>IF(SAISIE!$H102="","",SAISIE!$Q102)</f>
        <v/>
      </c>
      <c r="J1477" s="71" t="str">
        <f>IF(COUNTBLANK(SAISIE!$J$6:$M$6)=4,"",IF(SAISIE!H102="","",IF(SAISIE!J102&gt;0,SAISIE!$J$6,IF(SAISIE!K102&gt;0,SAISIE!$K$6,IF(SAISIE!L102&gt;0,SAISIE!$L$6,IF(SAISIE!M102&gt;0,SAISIE!$M$6,""))))))</f>
        <v/>
      </c>
      <c r="O1477" s="59" t="s">
        <v>52</v>
      </c>
    </row>
    <row r="1478" spans="1:15" x14ac:dyDescent="0.25">
      <c r="A1478" s="63" t="str">
        <f>IF(AND(G1478="",H1478=""),"SUPPR",SAISIE!$B$3)</f>
        <v>SUPPR</v>
      </c>
      <c r="B1478" s="63" t="str">
        <f>IF(SAISIE!I102="","",IF(LEN(SAISIE!B102)=1,CONCATENATE("0",SAISIE!B102,"/",SAISIE!$B$4,"/",SAISIE!$B$5),CONCATENATE(SAISIE!B102,"/",SAISIE!$B$4,"/",SAISIE!$B$5)))</f>
        <v/>
      </c>
      <c r="C1478" s="63" t="str">
        <f>IF(SAISIE!I102="","",SAISIE!$I$8)</f>
        <v/>
      </c>
      <c r="D1478" s="63" t="str">
        <f>IF(SAISIE!I102="","",SAISIE!E102)</f>
        <v/>
      </c>
      <c r="E1478" s="63" t="str">
        <f>IF(SAISIE!I102="","",SAISIE!F102)</f>
        <v/>
      </c>
      <c r="F1478" s="70" t="str">
        <f>IF(SAISIE!$I102="","",IF(SAISIE!$N102="","",SAISIE!$N102))</f>
        <v/>
      </c>
      <c r="G1478" s="63" t="str">
        <f>IF(SAISIE!I102="","",SAISIE!I102)</f>
        <v/>
      </c>
      <c r="H1478" s="63"/>
      <c r="I1478" s="63" t="str">
        <f>IF(SAISIE!$I102="","",SAISIE!$Q102)</f>
        <v/>
      </c>
      <c r="J1478" s="71" t="str">
        <f>IF(COUNTBLANK(SAISIE!$J$6:$M$6)=4,"",IF(SAISIE!I102="","",IF(SAISIE!J102&gt;0,SAISIE!$J$6,IF(SAISIE!K102&gt;0,SAISIE!$K$6,IF(SAISIE!L102&gt;0,SAISIE!$L$6,IF(SAISIE!M102&gt;0,SAISIE!$M$6,""))))))</f>
        <v/>
      </c>
      <c r="O1478" s="59" t="s">
        <v>53</v>
      </c>
    </row>
    <row r="1479" spans="1:15" x14ac:dyDescent="0.25">
      <c r="A1479" s="63" t="e">
        <f>IF(AND(G1479="",H1479=""),"SUPPR",SAISIE!$B$3)</f>
        <v>#REF!</v>
      </c>
      <c r="B1479" s="63" t="e">
        <f>IF(SAISIE!#REF!="","",IF(LEN(SAISIE!B102)=1,CONCATENATE("0",SAISIE!B102,"/",SAISIE!$B$4,"/",SAISIE!$B$5),CONCATENATE(SAISIE!B102,"/",SAISIE!$B$4,"/",SAISIE!$B$5)))</f>
        <v>#REF!</v>
      </c>
      <c r="C1479" s="63" t="e">
        <f>IF(SAISIE!#REF!="","",SAISIE!#REF!)</f>
        <v>#REF!</v>
      </c>
      <c r="D1479" s="63" t="e">
        <f>IF(SAISIE!#REF!="","",SAISIE!E102)</f>
        <v>#REF!</v>
      </c>
      <c r="E1479" s="63" t="e">
        <f>IF(SAISIE!#REF!="","",SAISIE!F102)</f>
        <v>#REF!</v>
      </c>
      <c r="F1479" s="70" t="e">
        <f>IF(SAISIE!#REF!="","",IF(SAISIE!$N102="","",SAISIE!$N102))</f>
        <v>#REF!</v>
      </c>
      <c r="G1479" s="63" t="e">
        <f>IF(SAISIE!#REF!="","",SAISIE!#REF!)</f>
        <v>#REF!</v>
      </c>
      <c r="H1479" s="63"/>
      <c r="I1479" s="63" t="e">
        <f>IF(SAISIE!#REF!="","",SAISIE!$Q102)</f>
        <v>#REF!</v>
      </c>
      <c r="J1479" s="71" t="str">
        <f>IF(COUNTBLANK(SAISIE!$J$6:$M$6)=4,"",IF(SAISIE!#REF!="","",IF(SAISIE!J102&gt;0,SAISIE!$J$6,IF(SAISIE!K102&gt;0,SAISIE!$K$6,IF(SAISIE!L102&gt;0,SAISIE!$L$6,IF(SAISIE!M102&gt;0,SAISIE!$M$6,""))))))</f>
        <v/>
      </c>
      <c r="O1479" s="59" t="s">
        <v>54</v>
      </c>
    </row>
    <row r="1480" spans="1:15" x14ac:dyDescent="0.25">
      <c r="A1480" s="63" t="e">
        <f>IF(AND(G1480="",H1480=""),"SUPPR",SAISIE!$B$3)</f>
        <v>#REF!</v>
      </c>
      <c r="B1480" s="63" t="e">
        <f>IF(SAISIE!#REF!="","",IF(LEN(SAISIE!B102)=1,CONCATENATE("0",SAISIE!B102,"/",SAISIE!$B$4,"/",SAISIE!$B$5),CONCATENATE(SAISIE!B102,"/",SAISIE!$B$4,"/",SAISIE!$B$5)))</f>
        <v>#REF!</v>
      </c>
      <c r="C1480" s="63" t="e">
        <f>IF(SAISIE!#REF!="","",SAISIE!#REF!)</f>
        <v>#REF!</v>
      </c>
      <c r="D1480" s="63" t="e">
        <f>IF(SAISIE!#REF!="","",SAISIE!E102)</f>
        <v>#REF!</v>
      </c>
      <c r="E1480" s="63" t="e">
        <f>IF(SAISIE!#REF!="","",SAISIE!F102)</f>
        <v>#REF!</v>
      </c>
      <c r="F1480" s="70" t="e">
        <f>IF(SAISIE!#REF!="","",IF(SAISIE!$N102="","",SAISIE!$N102))</f>
        <v>#REF!</v>
      </c>
      <c r="G1480" s="63" t="e">
        <f>IF(SAISIE!#REF!="","",SAISIE!#REF!)</f>
        <v>#REF!</v>
      </c>
      <c r="H1480" s="63"/>
      <c r="I1480" s="63" t="e">
        <f>IF(SAISIE!#REF!="","",SAISIE!$Q102)</f>
        <v>#REF!</v>
      </c>
      <c r="J1480" s="71" t="str">
        <f>IF(COUNTBLANK(SAISIE!$J$6:$M$6)=4,"",IF(SAISIE!#REF!="","",IF(SAISIE!J102&gt;0,SAISIE!$J$6,IF(SAISIE!K102&gt;0,SAISIE!$K$6,IF(SAISIE!L102&gt;0,SAISIE!$L$6,IF(SAISIE!M102&gt;0,SAISIE!$M$6,""))))))</f>
        <v/>
      </c>
      <c r="O1480" s="59" t="s">
        <v>55</v>
      </c>
    </row>
    <row r="1481" spans="1:15" x14ac:dyDescent="0.25">
      <c r="A1481" s="63" t="e">
        <f>IF(AND(G1481="",H1481=""),"SUPPR",SAISIE!$B$3)</f>
        <v>#REF!</v>
      </c>
      <c r="B1481" s="63" t="e">
        <f>IF(SAISIE!#REF!="","",IF(LEN(SAISIE!B102)=1,CONCATENATE("0",SAISIE!B102,"/",SAISIE!$B$4,"/",SAISIE!$B$5),CONCATENATE(SAISIE!B102,"/",SAISIE!$B$4,"/",SAISIE!$B$5)))</f>
        <v>#REF!</v>
      </c>
      <c r="C1481" s="63" t="e">
        <f>IF(SAISIE!#REF!="","",SAISIE!#REF!)</f>
        <v>#REF!</v>
      </c>
      <c r="D1481" s="63" t="e">
        <f>IF(SAISIE!#REF!="","",SAISIE!E102)</f>
        <v>#REF!</v>
      </c>
      <c r="E1481" s="63" t="e">
        <f>IF(SAISIE!#REF!="","",SAISIE!F102)</f>
        <v>#REF!</v>
      </c>
      <c r="F1481" s="70" t="e">
        <f>IF(SAISIE!#REF!="","",IF(SAISIE!$N102="","",SAISIE!$N102))</f>
        <v>#REF!</v>
      </c>
      <c r="G1481" s="63" t="e">
        <f>IF(SAISIE!#REF!="","",SAISIE!#REF!)</f>
        <v>#REF!</v>
      </c>
      <c r="H1481" s="63"/>
      <c r="I1481" s="63" t="e">
        <f>IF(SAISIE!#REF!="","",SAISIE!$Q102)</f>
        <v>#REF!</v>
      </c>
      <c r="J1481" s="71" t="str">
        <f>IF(COUNTBLANK(SAISIE!$J$6:$M$6)=4,"",IF(SAISIE!#REF!="","",IF(SAISIE!J102&gt;0,SAISIE!$J$6,IF(SAISIE!K102&gt;0,SAISIE!$K$6,IF(SAISIE!L102&gt;0,SAISIE!$L$6,IF(SAISIE!M102&gt;0,SAISIE!$M$6,""))))))</f>
        <v/>
      </c>
      <c r="O1481" s="59" t="s">
        <v>56</v>
      </c>
    </row>
    <row r="1482" spans="1:15" x14ac:dyDescent="0.25">
      <c r="A1482" s="63" t="e">
        <f>IF(AND(G1482="",H1482=""),"SUPPR",SAISIE!$B$3)</f>
        <v>#REF!</v>
      </c>
      <c r="B1482" s="63" t="e">
        <f>IF(SAISIE!#REF!="","",IF(LEN(SAISIE!B102)=1,CONCATENATE("0",SAISIE!B102,"/",SAISIE!$B$4,"/",SAISIE!$B$5),CONCATENATE(SAISIE!B102,"/",SAISIE!$B$4,"/",SAISIE!$B$5)))</f>
        <v>#REF!</v>
      </c>
      <c r="C1482" s="63" t="e">
        <f>IF(SAISIE!#REF!="","",SAISIE!#REF!)</f>
        <v>#REF!</v>
      </c>
      <c r="D1482" s="63" t="e">
        <f>IF(SAISIE!#REF!="","",SAISIE!E102)</f>
        <v>#REF!</v>
      </c>
      <c r="E1482" s="63" t="e">
        <f>IF(SAISIE!#REF!="","",SAISIE!F102)</f>
        <v>#REF!</v>
      </c>
      <c r="F1482" s="70" t="e">
        <f>IF(SAISIE!#REF!="","",IF(SAISIE!$N102="","",SAISIE!$N102))</f>
        <v>#REF!</v>
      </c>
      <c r="G1482" s="63" t="e">
        <f>IF(SAISIE!#REF!="","",SAISIE!#REF!)</f>
        <v>#REF!</v>
      </c>
      <c r="H1482" s="63"/>
      <c r="I1482" s="63" t="e">
        <f>IF(SAISIE!#REF!="","",SAISIE!$Q102)</f>
        <v>#REF!</v>
      </c>
      <c r="J1482" s="71" t="str">
        <f>IF(COUNTBLANK(SAISIE!$J$6:$M$6)=4,"",IF(SAISIE!#REF!="","",IF(SAISIE!J102&gt;0,SAISIE!$J$6,IF(SAISIE!K102&gt;0,SAISIE!$K$6,IF(SAISIE!L102&gt;0,SAISIE!$L$6,IF(SAISIE!M102&gt;0,SAISIE!$M$6,""))))))</f>
        <v/>
      </c>
      <c r="O1482" s="59" t="s">
        <v>57</v>
      </c>
    </row>
    <row r="1483" spans="1:15" x14ac:dyDescent="0.25">
      <c r="A1483" s="63" t="e">
        <f>IF(AND(G1483="",H1483=""),"SUPPR",SAISIE!$B$3)</f>
        <v>#REF!</v>
      </c>
      <c r="B1483" s="63" t="e">
        <f>IF(SAISIE!#REF!="","",IF(LEN(SAISIE!B102)=1,CONCATENATE("0",SAISIE!B102,"/",SAISIE!$B$4,"/",SAISIE!$B$5),CONCATENATE(SAISIE!B102,"/",SAISIE!$B$4,"/",SAISIE!$B$5)))</f>
        <v>#REF!</v>
      </c>
      <c r="C1483" s="63" t="e">
        <f>IF(SAISIE!#REF!="","",SAISIE!#REF!)</f>
        <v>#REF!</v>
      </c>
      <c r="D1483" s="63" t="e">
        <f>IF(SAISIE!#REF!="","",SAISIE!E102)</f>
        <v>#REF!</v>
      </c>
      <c r="E1483" s="63" t="e">
        <f>IF(SAISIE!#REF!="","",SAISIE!F102)</f>
        <v>#REF!</v>
      </c>
      <c r="F1483" s="70" t="e">
        <f>IF(SAISIE!#REF!="","",IF(SAISIE!$N102="","",SAISIE!$N102))</f>
        <v>#REF!</v>
      </c>
      <c r="G1483" s="63" t="e">
        <f>IF(SAISIE!#REF!="","",SAISIE!#REF!)</f>
        <v>#REF!</v>
      </c>
      <c r="H1483" s="63"/>
      <c r="I1483" s="63" t="e">
        <f>IF(SAISIE!#REF!="","",SAISIE!$Q102)</f>
        <v>#REF!</v>
      </c>
      <c r="J1483" s="71" t="str">
        <f>IF(COUNTBLANK(SAISIE!$J$6:$M$6)=4,"",IF(SAISIE!#REF!="","",IF(SAISIE!J102&gt;0,SAISIE!$J$6,IF(SAISIE!K102&gt;0,SAISIE!$K$6,IF(SAISIE!L102&gt;0,SAISIE!$L$6,IF(SAISIE!M102&gt;0,SAISIE!$M$6,""))))))</f>
        <v/>
      </c>
      <c r="O1483" s="59" t="s">
        <v>58</v>
      </c>
    </row>
    <row r="1484" spans="1:15" x14ac:dyDescent="0.25">
      <c r="A1484" s="63" t="e">
        <f>IF(AND(G1484="",H1484=""),"SUPPR",SAISIE!$B$3)</f>
        <v>#REF!</v>
      </c>
      <c r="B1484" s="63" t="e">
        <f>IF(SAISIE!#REF!="","",IF(LEN(SAISIE!B102)=1,CONCATENATE("0",SAISIE!B102,"/",SAISIE!$B$4,"/",SAISIE!$B$5),CONCATENATE(SAISIE!B102,"/",SAISIE!$B$4,"/",SAISIE!$B$5)))</f>
        <v>#REF!</v>
      </c>
      <c r="C1484" s="63" t="e">
        <f>IF(SAISIE!#REF!="","",SAISIE!#REF!)</f>
        <v>#REF!</v>
      </c>
      <c r="D1484" s="63" t="e">
        <f>IF(SAISIE!#REF!="","",SAISIE!E102)</f>
        <v>#REF!</v>
      </c>
      <c r="E1484" s="63" t="e">
        <f>IF(SAISIE!#REF!="","",SAISIE!F102)</f>
        <v>#REF!</v>
      </c>
      <c r="F1484" s="70" t="e">
        <f>IF(SAISIE!#REF!="","",IF(SAISIE!$N102="","",SAISIE!$N102))</f>
        <v>#REF!</v>
      </c>
      <c r="G1484" s="63" t="e">
        <f>IF(SAISIE!#REF!="","",SAISIE!#REF!)</f>
        <v>#REF!</v>
      </c>
      <c r="H1484" s="63"/>
      <c r="I1484" s="63" t="e">
        <f>IF(SAISIE!#REF!="","",SAISIE!$Q102)</f>
        <v>#REF!</v>
      </c>
      <c r="J1484" s="71" t="str">
        <f>IF(COUNTBLANK(SAISIE!$J$6:$M$6)=4,"",IF(SAISIE!#REF!="","",IF(SAISIE!J102&gt;0,SAISIE!$J$6,IF(SAISIE!K102&gt;0,SAISIE!$K$6,IF(SAISIE!L102&gt;0,SAISIE!$L$6,IF(SAISIE!M102&gt;0,SAISIE!$M$6,""))))))</f>
        <v/>
      </c>
      <c r="O1484" s="59" t="s">
        <v>59</v>
      </c>
    </row>
    <row r="1485" spans="1:15" x14ac:dyDescent="0.25">
      <c r="A1485" s="63" t="e">
        <f>IF(AND(G1485="",H1485=""),"SUPPR",SAISIE!$B$3)</f>
        <v>#REF!</v>
      </c>
      <c r="B1485" s="63" t="e">
        <f>IF(SAISIE!#REF!="","",IF(LEN(SAISIE!B102)=1,CONCATENATE("0",SAISIE!B102,"/",SAISIE!$B$4,"/",SAISIE!$B$5),CONCATENATE(SAISIE!B102,"/",SAISIE!$B$4,"/",SAISIE!$B$5)))</f>
        <v>#REF!</v>
      </c>
      <c r="C1485" s="63" t="e">
        <f>IF(SAISIE!#REF!="","",SAISIE!#REF!)</f>
        <v>#REF!</v>
      </c>
      <c r="D1485" s="63" t="e">
        <f>IF(SAISIE!#REF!="","",SAISIE!E102)</f>
        <v>#REF!</v>
      </c>
      <c r="E1485" s="63" t="e">
        <f>IF(SAISIE!#REF!="","",SAISIE!F102)</f>
        <v>#REF!</v>
      </c>
      <c r="F1485" s="70" t="e">
        <f>IF(SAISIE!#REF!="","",IF(SAISIE!$N102="","",SAISIE!$N102))</f>
        <v>#REF!</v>
      </c>
      <c r="G1485" s="63" t="e">
        <f>IF(SAISIE!#REF!="","",SAISIE!#REF!)</f>
        <v>#REF!</v>
      </c>
      <c r="H1485" s="63"/>
      <c r="I1485" s="63" t="e">
        <f>IF(SAISIE!#REF!="","",SAISIE!$Q102)</f>
        <v>#REF!</v>
      </c>
      <c r="J1485" s="71" t="str">
        <f>IF(COUNTBLANK(SAISIE!$J$6:$M$6)=4,"",IF(SAISIE!#REF!="","",IF(SAISIE!J102&gt;0,SAISIE!$J$6,IF(SAISIE!K102&gt;0,SAISIE!$K$6,IF(SAISIE!L102&gt;0,SAISIE!$L$6,IF(SAISIE!M102&gt;0,SAISIE!$M$6,""))))))</f>
        <v/>
      </c>
      <c r="O1485" s="59" t="s">
        <v>60</v>
      </c>
    </row>
    <row r="1486" spans="1:15" x14ac:dyDescent="0.25">
      <c r="A1486" s="63" t="str">
        <f>IF(AND(G1486="",H1486=""),"SUPPR",SAISIE!$B$3)</f>
        <v>SUPPR</v>
      </c>
      <c r="B1486" s="63" t="str">
        <f>IF(SAISIE!J102="","",IF(LEN(SAISIE!B102)=1,CONCATENATE("0",SAISIE!B102,"/",SAISIE!$B$4,"/",SAISIE!$B$5),CONCATENATE(SAISIE!B102,"/",SAISIE!$B$4,"/",SAISIE!$B$5)))</f>
        <v/>
      </c>
      <c r="C1486" s="63" t="str">
        <f>IF(SAISIE!J102="","",SAISIE!$J$8)</f>
        <v/>
      </c>
      <c r="D1486" s="63" t="str">
        <f>IF(SAISIE!J102="","",SAISIE!E102)</f>
        <v/>
      </c>
      <c r="E1486" s="63" t="str">
        <f>IF(SAISIE!J102="","",SAISIE!F102)</f>
        <v/>
      </c>
      <c r="F1486" s="70" t="str">
        <f>IF(SAISIE!$J102="","",IF(SAISIE!$N102="","",SAISIE!$N102))</f>
        <v/>
      </c>
      <c r="G1486" s="63" t="str">
        <f>IF(SAISIE!J102="","",SAISIE!J102)</f>
        <v/>
      </c>
      <c r="H1486" s="63"/>
      <c r="I1486" s="72"/>
      <c r="J1486" s="71"/>
      <c r="O1486" s="73"/>
    </row>
    <row r="1487" spans="1:15" x14ac:dyDescent="0.25">
      <c r="A1487" s="63" t="str">
        <f>IF(AND(G1487="",H1487=""),"SUPPR",SAISIE!$B$3)</f>
        <v>SUPPR</v>
      </c>
      <c r="B1487" s="63" t="str">
        <f>IF(SAISIE!K102="","",IF(LEN(SAISIE!B102)=1,CONCATENATE("0",SAISIE!B102,"/",SAISIE!$B$4,"/",SAISIE!$B$5),CONCATENATE(SAISIE!B102,"/",SAISIE!$B$4,"/",SAISIE!$B$5)))</f>
        <v/>
      </c>
      <c r="C1487" s="63" t="str">
        <f>IF(SAISIE!K102="","",SAISIE!$K$8)</f>
        <v/>
      </c>
      <c r="D1487" s="63" t="str">
        <f>IF(SAISIE!K102="","",SAISIE!E102)</f>
        <v/>
      </c>
      <c r="E1487" s="63" t="str">
        <f>IF(SAISIE!K102="","",SAISIE!F102)</f>
        <v/>
      </c>
      <c r="F1487" s="70" t="str">
        <f>IF(SAISIE!$K102="","",IF(SAISIE!$N102="","",SAISIE!$N102))</f>
        <v/>
      </c>
      <c r="G1487" s="63" t="str">
        <f>IF(SAISIE!K102="","",SAISIE!K102)</f>
        <v/>
      </c>
      <c r="H1487" s="63"/>
      <c r="I1487" s="72"/>
      <c r="J1487" s="71"/>
    </row>
    <row r="1488" spans="1:15" x14ac:dyDescent="0.25">
      <c r="A1488" s="63" t="str">
        <f>IF(AND(G1488="",H1488=""),"SUPPR",SAISIE!$B$3)</f>
        <v>SUPPR</v>
      </c>
      <c r="B1488" s="63" t="str">
        <f>IF(SAISIE!L102="","",IF(LEN(SAISIE!B102)=1,CONCATENATE("0",SAISIE!B102,"/",SAISIE!$B$4,"/",SAISIE!$B$5),CONCATENATE(SAISIE!B102,"/",SAISIE!$B$4,"/",SAISIE!$B$5)))</f>
        <v/>
      </c>
      <c r="C1488" s="63" t="str">
        <f>IF(SAISIE!L102="","",SAISIE!$L$8)</f>
        <v/>
      </c>
      <c r="D1488" s="63" t="str">
        <f>IF(SAISIE!L102="","",SAISIE!E102)</f>
        <v/>
      </c>
      <c r="E1488" s="63" t="str">
        <f>IF(SAISIE!L102="","",SAISIE!F102)</f>
        <v/>
      </c>
      <c r="F1488" s="70" t="str">
        <f>IF(SAISIE!$L102="","",IF(SAISIE!$N102="","",SAISIE!$N102))</f>
        <v/>
      </c>
      <c r="G1488" s="63" t="str">
        <f>IF(SAISIE!L102="","",SAISIE!L102)</f>
        <v/>
      </c>
      <c r="H1488" s="63"/>
      <c r="I1488" s="72"/>
      <c r="J1488" s="71"/>
    </row>
    <row r="1489" spans="1:15" x14ac:dyDescent="0.25">
      <c r="A1489" s="63" t="str">
        <f>IF(AND(G1489="",H1489=""),"SUPPR",SAISIE!$B$3)</f>
        <v>SUPPR</v>
      </c>
      <c r="B1489" s="63" t="str">
        <f>IF(SAISIE!M102="","",IF(LEN(SAISIE!B102)=1,CONCATENATE("0",SAISIE!B102,"/",SAISIE!$B$4,"/",SAISIE!$B$5),CONCATENATE(SAISIE!B102,"/",SAISIE!$B$4,"/",SAISIE!$B$5)))</f>
        <v/>
      </c>
      <c r="C1489" s="74" t="str">
        <f>IF(SAISIE!M102="","",SAISIE!$M$8)</f>
        <v/>
      </c>
      <c r="D1489" s="74" t="str">
        <f>IF(SAISIE!M102="","",SAISIE!E102)</f>
        <v/>
      </c>
      <c r="E1489" s="74" t="str">
        <f>IF(SAISIE!M102="","",SAISIE!F102)</f>
        <v/>
      </c>
      <c r="F1489" s="75" t="str">
        <f>IF(SAISIE!$M102="","",IF(SAISIE!$N102="","",SAISIE!$N102))</f>
        <v/>
      </c>
      <c r="G1489" s="74" t="str">
        <f>IF(SAISIE!M102="","",SAISIE!M102)</f>
        <v/>
      </c>
      <c r="H1489" s="76"/>
      <c r="I1489" s="77"/>
      <c r="J1489" s="78"/>
    </row>
    <row r="1490" spans="1:15" x14ac:dyDescent="0.25">
      <c r="A1490" s="63" t="str">
        <f>IF(AND(G1490="",H1490=""),"SUPPR",SAISIE!$B$3)</f>
        <v>SUPPR</v>
      </c>
      <c r="B1490" s="64" t="str">
        <f>IF(SAISIE!B103="","",IF(LEN(SAISIE!B103)=1,CONCATENATE("0",SAISIE!B103,"/",SAISIE!$B$4,"/",SAISIE!$B$5),CONCATENATE(SAISIE!B103,"/",SAISIE!$B$4,"/",SAISIE!$B$5)))</f>
        <v/>
      </c>
      <c r="C1490" s="64" t="str">
        <f>IF(SAISIE!B103="","",CONCATENATE($M$2,SAISIE!C103))</f>
        <v/>
      </c>
      <c r="D1490" s="64" t="str">
        <f>IF(SAISIE!B103="","",SAISIE!E103)</f>
        <v/>
      </c>
      <c r="E1490" s="64" t="str">
        <f>IF(SAISIE!B103="","",SAISIE!F103)</f>
        <v/>
      </c>
      <c r="F1490" s="65" t="str">
        <f>IF(A1490="SUPPR","",IF(SAISIE!$N103="","",SAISIE!$N103))</f>
        <v/>
      </c>
      <c r="G1490" s="64"/>
      <c r="H1490" s="64" t="str">
        <f>IF(SAISIE!B103="","",SAISIE!D103)</f>
        <v/>
      </c>
      <c r="I1490" s="66"/>
      <c r="J1490" s="67" t="str">
        <f>IF(AZ103="","","")</f>
        <v/>
      </c>
      <c r="O1490" s="69">
        <f>O1474+1</f>
        <v>103</v>
      </c>
    </row>
    <row r="1491" spans="1:15" x14ac:dyDescent="0.25">
      <c r="A1491" s="63" t="str">
        <f>IF(AND(G1491="",H1491=""),"SUPPR",SAISIE!$B$3)</f>
        <v>SUPPR</v>
      </c>
      <c r="B1491" s="63" t="str">
        <f>IF(SAISIE!P103="","",IF(LEN(SAISIE!B103)=1,CONCATENATE("0",SAISIE!B103,"/",SAISIE!$B$4,"/",SAISIE!$B$5),CONCATENATE(SAISIE!B103,"/",SAISIE!$B$4,"/",SAISIE!$B$5)))</f>
        <v/>
      </c>
      <c r="C1491" s="63" t="str">
        <f>IF(SAISIE!P103="","",SAISIE!O103)</f>
        <v/>
      </c>
      <c r="D1491" s="63" t="str">
        <f>IF(SAISIE!P103="","",SAISIE!E103)</f>
        <v/>
      </c>
      <c r="E1491" s="63" t="str">
        <f>IF(SAISIE!P103="","",SAISIE!F103)</f>
        <v/>
      </c>
      <c r="F1491" s="70" t="str">
        <f>IF(SAISIE!$P103="","",IF(SAISIE!$N103="","",SAISIE!$N103))</f>
        <v/>
      </c>
      <c r="G1491" s="63" t="str">
        <f>IF(SAISIE!P103="","",SAISIE!P103)</f>
        <v/>
      </c>
      <c r="H1491" s="63"/>
      <c r="I1491" s="63" t="str">
        <f>IF(SAISIE!$P103="","",SAISIE!$Q103)</f>
        <v/>
      </c>
      <c r="J1491" s="71" t="str">
        <f>IF(COUNTBLANK(SAISIE!$J$6:$M$6)=4,"",IF(SAISIE!P103="","",IF(SAISIE!J103&gt;0,SAISIE!$J$6,IF(SAISIE!K103&gt;0,SAISIE!$K$6,IF(SAISIE!L103&gt;0,SAISIE!$L$6,IF(SAISIE!M103&gt;0,SAISIE!$M$6,""))))))</f>
        <v/>
      </c>
      <c r="O1491" s="59" t="s">
        <v>50</v>
      </c>
    </row>
    <row r="1492" spans="1:15" x14ac:dyDescent="0.25">
      <c r="A1492" s="63" t="str">
        <f>IF(AND(G1492="",H1492=""),"SUPPR",SAISIE!$B$3)</f>
        <v>SUPPR</v>
      </c>
      <c r="B1492" s="63" t="str">
        <f>IF(SAISIE!G103="","",IF(LEN(SAISIE!B103)=1,CONCATENATE("0",SAISIE!B103,"/",SAISIE!$B$4,"/",SAISIE!$B$5),CONCATENATE(SAISIE!B103,"/",SAISIE!$B$4,"/",SAISIE!$B$5)))</f>
        <v/>
      </c>
      <c r="C1492" s="63" t="str">
        <f>IF(SAISIE!G103="","",SAISIE!$G$8)</f>
        <v/>
      </c>
      <c r="D1492" s="63" t="str">
        <f>IF(SAISIE!G103="","",SAISIE!E103)</f>
        <v/>
      </c>
      <c r="E1492" s="63" t="str">
        <f>IF(SAISIE!G103="","",SAISIE!F103)</f>
        <v/>
      </c>
      <c r="F1492" s="70" t="str">
        <f>IF(SAISIE!$G103="","",IF(SAISIE!$N103="","",SAISIE!$N103))</f>
        <v/>
      </c>
      <c r="G1492" s="63" t="str">
        <f>IF(SAISIE!G103="","",SAISIE!G103)</f>
        <v/>
      </c>
      <c r="H1492" s="63"/>
      <c r="I1492" s="63" t="str">
        <f>IF(SAISIE!$G103="","",SAISIE!$Q103)</f>
        <v/>
      </c>
      <c r="J1492" s="71" t="str">
        <f>IF(COUNTBLANK(SAISIE!$J$6:$M$6)=4,"",IF(SAISIE!G103="","",IF(SAISIE!J103&gt;0,SAISIE!$J$6,IF(SAISIE!K103&gt;0,SAISIE!$K$6,IF(SAISIE!L103&gt;0,SAISIE!$L$6,IF(SAISIE!M103&gt;0,SAISIE!$M$6,""))))))</f>
        <v/>
      </c>
      <c r="O1492" s="59" t="s">
        <v>51</v>
      </c>
    </row>
    <row r="1493" spans="1:15" x14ac:dyDescent="0.25">
      <c r="A1493" s="63" t="str">
        <f>IF(AND(G1493="",H1493=""),"SUPPR",SAISIE!$B$3)</f>
        <v>SUPPR</v>
      </c>
      <c r="B1493" s="63" t="str">
        <f>IF(SAISIE!H103="","",IF(LEN(SAISIE!B103)=1,CONCATENATE("0",SAISIE!B103,"/",SAISIE!$B$4,"/",SAISIE!$B$5),CONCATENATE(SAISIE!B103,"/",SAISIE!$B$4,"/",SAISIE!$B$5)))</f>
        <v/>
      </c>
      <c r="C1493" s="63" t="str">
        <f>IF(SAISIE!H103="","",SAISIE!$H$8)</f>
        <v/>
      </c>
      <c r="D1493" s="63" t="str">
        <f>IF(SAISIE!H103="","",SAISIE!E103)</f>
        <v/>
      </c>
      <c r="E1493" s="63" t="str">
        <f>IF(SAISIE!H103="","",SAISIE!F103)</f>
        <v/>
      </c>
      <c r="F1493" s="70" t="str">
        <f>IF(SAISIE!$H103="","",IF(SAISIE!$N103="","",SAISIE!$N103))</f>
        <v/>
      </c>
      <c r="G1493" s="63" t="str">
        <f>IF(SAISIE!H103="","",SAISIE!H103)</f>
        <v/>
      </c>
      <c r="H1493" s="63"/>
      <c r="I1493" s="63" t="str">
        <f>IF(SAISIE!$H103="","",SAISIE!$Q103)</f>
        <v/>
      </c>
      <c r="J1493" s="71" t="str">
        <f>IF(COUNTBLANK(SAISIE!$J$6:$M$6)=4,"",IF(SAISIE!H103="","",IF(SAISIE!J103&gt;0,SAISIE!$J$6,IF(SAISIE!K103&gt;0,SAISIE!$K$6,IF(SAISIE!L103&gt;0,SAISIE!$L$6,IF(SAISIE!M103&gt;0,SAISIE!$M$6,""))))))</f>
        <v/>
      </c>
      <c r="O1493" s="59" t="s">
        <v>52</v>
      </c>
    </row>
    <row r="1494" spans="1:15" x14ac:dyDescent="0.25">
      <c r="A1494" s="63" t="str">
        <f>IF(AND(G1494="",H1494=""),"SUPPR",SAISIE!$B$3)</f>
        <v>SUPPR</v>
      </c>
      <c r="B1494" s="63" t="str">
        <f>IF(SAISIE!I103="","",IF(LEN(SAISIE!B103)=1,CONCATENATE("0",SAISIE!B103,"/",SAISIE!$B$4,"/",SAISIE!$B$5),CONCATENATE(SAISIE!B103,"/",SAISIE!$B$4,"/",SAISIE!$B$5)))</f>
        <v/>
      </c>
      <c r="C1494" s="63" t="str">
        <f>IF(SAISIE!I103="","",SAISIE!$I$8)</f>
        <v/>
      </c>
      <c r="D1494" s="63" t="str">
        <f>IF(SAISIE!I103="","",SAISIE!E103)</f>
        <v/>
      </c>
      <c r="E1494" s="63" t="str">
        <f>IF(SAISIE!I103="","",SAISIE!F103)</f>
        <v/>
      </c>
      <c r="F1494" s="70" t="str">
        <f>IF(SAISIE!$I103="","",IF(SAISIE!$N103="","",SAISIE!$N103))</f>
        <v/>
      </c>
      <c r="G1494" s="63" t="str">
        <f>IF(SAISIE!I103="","",SAISIE!I103)</f>
        <v/>
      </c>
      <c r="H1494" s="63"/>
      <c r="I1494" s="63" t="str">
        <f>IF(SAISIE!$I103="","",SAISIE!$Q103)</f>
        <v/>
      </c>
      <c r="J1494" s="71" t="str">
        <f>IF(COUNTBLANK(SAISIE!$J$6:$M$6)=4,"",IF(SAISIE!I103="","",IF(SAISIE!J103&gt;0,SAISIE!$J$6,IF(SAISIE!K103&gt;0,SAISIE!$K$6,IF(SAISIE!L103&gt;0,SAISIE!$L$6,IF(SAISIE!M103&gt;0,SAISIE!$M$6,""))))))</f>
        <v/>
      </c>
      <c r="O1494" s="59" t="s">
        <v>53</v>
      </c>
    </row>
    <row r="1495" spans="1:15" x14ac:dyDescent="0.25">
      <c r="A1495" s="63" t="e">
        <f>IF(AND(G1495="",H1495=""),"SUPPR",SAISIE!$B$3)</f>
        <v>#REF!</v>
      </c>
      <c r="B1495" s="63" t="e">
        <f>IF(SAISIE!#REF!="","",IF(LEN(SAISIE!B103)=1,CONCATENATE("0",SAISIE!B103,"/",SAISIE!$B$4,"/",SAISIE!$B$5),CONCATENATE(SAISIE!B103,"/",SAISIE!$B$4,"/",SAISIE!$B$5)))</f>
        <v>#REF!</v>
      </c>
      <c r="C1495" s="63" t="e">
        <f>IF(SAISIE!#REF!="","",SAISIE!#REF!)</f>
        <v>#REF!</v>
      </c>
      <c r="D1495" s="63" t="e">
        <f>IF(SAISIE!#REF!="","",SAISIE!E103)</f>
        <v>#REF!</v>
      </c>
      <c r="E1495" s="63" t="e">
        <f>IF(SAISIE!#REF!="","",SAISIE!F103)</f>
        <v>#REF!</v>
      </c>
      <c r="F1495" s="70" t="e">
        <f>IF(SAISIE!#REF!="","",IF(SAISIE!$N103="","",SAISIE!$N103))</f>
        <v>#REF!</v>
      </c>
      <c r="G1495" s="63" t="e">
        <f>IF(SAISIE!#REF!="","",SAISIE!#REF!)</f>
        <v>#REF!</v>
      </c>
      <c r="H1495" s="63"/>
      <c r="I1495" s="63" t="e">
        <f>IF(SAISIE!#REF!="","",SAISIE!$Q103)</f>
        <v>#REF!</v>
      </c>
      <c r="J1495" s="71" t="str">
        <f>IF(COUNTBLANK(SAISIE!$J$6:$M$6)=4,"",IF(SAISIE!#REF!="","",IF(SAISIE!J103&gt;0,SAISIE!$J$6,IF(SAISIE!K103&gt;0,SAISIE!$K$6,IF(SAISIE!L103&gt;0,SAISIE!$L$6,IF(SAISIE!M103&gt;0,SAISIE!$M$6,""))))))</f>
        <v/>
      </c>
      <c r="O1495" s="59" t="s">
        <v>54</v>
      </c>
    </row>
    <row r="1496" spans="1:15" x14ac:dyDescent="0.25">
      <c r="A1496" s="63" t="e">
        <f>IF(AND(G1496="",H1496=""),"SUPPR",SAISIE!$B$3)</f>
        <v>#REF!</v>
      </c>
      <c r="B1496" s="63" t="e">
        <f>IF(SAISIE!#REF!="","",IF(LEN(SAISIE!B103)=1,CONCATENATE("0",SAISIE!B103,"/",SAISIE!$B$4,"/",SAISIE!$B$5),CONCATENATE(SAISIE!B103,"/",SAISIE!$B$4,"/",SAISIE!$B$5)))</f>
        <v>#REF!</v>
      </c>
      <c r="C1496" s="63" t="e">
        <f>IF(SAISIE!#REF!="","",SAISIE!#REF!)</f>
        <v>#REF!</v>
      </c>
      <c r="D1496" s="63" t="e">
        <f>IF(SAISIE!#REF!="","",SAISIE!E103)</f>
        <v>#REF!</v>
      </c>
      <c r="E1496" s="63" t="e">
        <f>IF(SAISIE!#REF!="","",SAISIE!F103)</f>
        <v>#REF!</v>
      </c>
      <c r="F1496" s="70" t="e">
        <f>IF(SAISIE!#REF!="","",IF(SAISIE!$N103="","",SAISIE!$N103))</f>
        <v>#REF!</v>
      </c>
      <c r="G1496" s="63" t="e">
        <f>IF(SAISIE!#REF!="","",SAISIE!#REF!)</f>
        <v>#REF!</v>
      </c>
      <c r="H1496" s="63"/>
      <c r="I1496" s="63" t="e">
        <f>IF(SAISIE!#REF!="","",SAISIE!$Q103)</f>
        <v>#REF!</v>
      </c>
      <c r="J1496" s="71" t="str">
        <f>IF(COUNTBLANK(SAISIE!$J$6:$M$6)=4,"",IF(SAISIE!#REF!="","",IF(SAISIE!J103&gt;0,SAISIE!$J$6,IF(SAISIE!K103&gt;0,SAISIE!$K$6,IF(SAISIE!L103&gt;0,SAISIE!$L$6,IF(SAISIE!M103&gt;0,SAISIE!$M$6,""))))))</f>
        <v/>
      </c>
      <c r="O1496" s="59" t="s">
        <v>55</v>
      </c>
    </row>
    <row r="1497" spans="1:15" x14ac:dyDescent="0.25">
      <c r="A1497" s="63" t="e">
        <f>IF(AND(G1497="",H1497=""),"SUPPR",SAISIE!$B$3)</f>
        <v>#REF!</v>
      </c>
      <c r="B1497" s="63" t="e">
        <f>IF(SAISIE!#REF!="","",IF(LEN(SAISIE!B103)=1,CONCATENATE("0",SAISIE!B103,"/",SAISIE!$B$4,"/",SAISIE!$B$5),CONCATENATE(SAISIE!B103,"/",SAISIE!$B$4,"/",SAISIE!$B$5)))</f>
        <v>#REF!</v>
      </c>
      <c r="C1497" s="63" t="e">
        <f>IF(SAISIE!#REF!="","",SAISIE!#REF!)</f>
        <v>#REF!</v>
      </c>
      <c r="D1497" s="63" t="e">
        <f>IF(SAISIE!#REF!="","",SAISIE!E103)</f>
        <v>#REF!</v>
      </c>
      <c r="E1497" s="63" t="e">
        <f>IF(SAISIE!#REF!="","",SAISIE!F103)</f>
        <v>#REF!</v>
      </c>
      <c r="F1497" s="70" t="e">
        <f>IF(SAISIE!#REF!="","",IF(SAISIE!$N103="","",SAISIE!$N103))</f>
        <v>#REF!</v>
      </c>
      <c r="G1497" s="63" t="e">
        <f>IF(SAISIE!#REF!="","",SAISIE!#REF!)</f>
        <v>#REF!</v>
      </c>
      <c r="H1497" s="63"/>
      <c r="I1497" s="63" t="e">
        <f>IF(SAISIE!#REF!="","",SAISIE!$Q103)</f>
        <v>#REF!</v>
      </c>
      <c r="J1497" s="71" t="str">
        <f>IF(COUNTBLANK(SAISIE!$J$6:$M$6)=4,"",IF(SAISIE!#REF!="","",IF(SAISIE!J103&gt;0,SAISIE!$J$6,IF(SAISIE!K103&gt;0,SAISIE!$K$6,IF(SAISIE!L103&gt;0,SAISIE!$L$6,IF(SAISIE!M103&gt;0,SAISIE!$M$6,""))))))</f>
        <v/>
      </c>
      <c r="O1497" s="59" t="s">
        <v>56</v>
      </c>
    </row>
    <row r="1498" spans="1:15" x14ac:dyDescent="0.25">
      <c r="A1498" s="63" t="e">
        <f>IF(AND(G1498="",H1498=""),"SUPPR",SAISIE!$B$3)</f>
        <v>#REF!</v>
      </c>
      <c r="B1498" s="63" t="e">
        <f>IF(SAISIE!#REF!="","",IF(LEN(SAISIE!B103)=1,CONCATENATE("0",SAISIE!B103,"/",SAISIE!$B$4,"/",SAISIE!$B$5),CONCATENATE(SAISIE!B103,"/",SAISIE!$B$4,"/",SAISIE!$B$5)))</f>
        <v>#REF!</v>
      </c>
      <c r="C1498" s="63" t="e">
        <f>IF(SAISIE!#REF!="","",SAISIE!#REF!)</f>
        <v>#REF!</v>
      </c>
      <c r="D1498" s="63" t="e">
        <f>IF(SAISIE!#REF!="","",SAISIE!E103)</f>
        <v>#REF!</v>
      </c>
      <c r="E1498" s="63" t="e">
        <f>IF(SAISIE!#REF!="","",SAISIE!F103)</f>
        <v>#REF!</v>
      </c>
      <c r="F1498" s="70" t="e">
        <f>IF(SAISIE!#REF!="","",IF(SAISIE!$N103="","",SAISIE!$N103))</f>
        <v>#REF!</v>
      </c>
      <c r="G1498" s="63" t="e">
        <f>IF(SAISIE!#REF!="","",SAISIE!#REF!)</f>
        <v>#REF!</v>
      </c>
      <c r="H1498" s="63"/>
      <c r="I1498" s="63" t="e">
        <f>IF(SAISIE!#REF!="","",SAISIE!$Q103)</f>
        <v>#REF!</v>
      </c>
      <c r="J1498" s="71" t="str">
        <f>IF(COUNTBLANK(SAISIE!$J$6:$M$6)=4,"",IF(SAISIE!#REF!="","",IF(SAISIE!J103&gt;0,SAISIE!$J$6,IF(SAISIE!K103&gt;0,SAISIE!$K$6,IF(SAISIE!L103&gt;0,SAISIE!$L$6,IF(SAISIE!M103&gt;0,SAISIE!$M$6,""))))))</f>
        <v/>
      </c>
      <c r="O1498" s="59" t="s">
        <v>57</v>
      </c>
    </row>
    <row r="1499" spans="1:15" x14ac:dyDescent="0.25">
      <c r="A1499" s="63" t="e">
        <f>IF(AND(G1499="",H1499=""),"SUPPR",SAISIE!$B$3)</f>
        <v>#REF!</v>
      </c>
      <c r="B1499" s="63" t="e">
        <f>IF(SAISIE!#REF!="","",IF(LEN(SAISIE!B103)=1,CONCATENATE("0",SAISIE!B103,"/",SAISIE!$B$4,"/",SAISIE!$B$5),CONCATENATE(SAISIE!B103,"/",SAISIE!$B$4,"/",SAISIE!$B$5)))</f>
        <v>#REF!</v>
      </c>
      <c r="C1499" s="63" t="e">
        <f>IF(SAISIE!#REF!="","",SAISIE!#REF!)</f>
        <v>#REF!</v>
      </c>
      <c r="D1499" s="63" t="e">
        <f>IF(SAISIE!#REF!="","",SAISIE!E103)</f>
        <v>#REF!</v>
      </c>
      <c r="E1499" s="63" t="e">
        <f>IF(SAISIE!#REF!="","",SAISIE!F103)</f>
        <v>#REF!</v>
      </c>
      <c r="F1499" s="70" t="e">
        <f>IF(SAISIE!#REF!="","",IF(SAISIE!$N103="","",SAISIE!$N103))</f>
        <v>#REF!</v>
      </c>
      <c r="G1499" s="63" t="e">
        <f>IF(SAISIE!#REF!="","",SAISIE!#REF!)</f>
        <v>#REF!</v>
      </c>
      <c r="H1499" s="63"/>
      <c r="I1499" s="63" t="e">
        <f>IF(SAISIE!#REF!="","",SAISIE!$Q103)</f>
        <v>#REF!</v>
      </c>
      <c r="J1499" s="71" t="str">
        <f>IF(COUNTBLANK(SAISIE!$J$6:$M$6)=4,"",IF(SAISIE!#REF!="","",IF(SAISIE!J103&gt;0,SAISIE!$J$6,IF(SAISIE!K103&gt;0,SAISIE!$K$6,IF(SAISIE!L103&gt;0,SAISIE!$L$6,IF(SAISIE!M103&gt;0,SAISIE!$M$6,""))))))</f>
        <v/>
      </c>
      <c r="O1499" s="59" t="s">
        <v>58</v>
      </c>
    </row>
    <row r="1500" spans="1:15" x14ac:dyDescent="0.25">
      <c r="A1500" s="63" t="e">
        <f>IF(AND(G1500="",H1500=""),"SUPPR",SAISIE!$B$3)</f>
        <v>#REF!</v>
      </c>
      <c r="B1500" s="63" t="e">
        <f>IF(SAISIE!#REF!="","",IF(LEN(SAISIE!B103)=1,CONCATENATE("0",SAISIE!B103,"/",SAISIE!$B$4,"/",SAISIE!$B$5),CONCATENATE(SAISIE!B103,"/",SAISIE!$B$4,"/",SAISIE!$B$5)))</f>
        <v>#REF!</v>
      </c>
      <c r="C1500" s="63" t="e">
        <f>IF(SAISIE!#REF!="","",SAISIE!#REF!)</f>
        <v>#REF!</v>
      </c>
      <c r="D1500" s="63" t="e">
        <f>IF(SAISIE!#REF!="","",SAISIE!E103)</f>
        <v>#REF!</v>
      </c>
      <c r="E1500" s="63" t="e">
        <f>IF(SAISIE!#REF!="","",SAISIE!F103)</f>
        <v>#REF!</v>
      </c>
      <c r="F1500" s="70" t="e">
        <f>IF(SAISIE!#REF!="","",IF(SAISIE!$N103="","",SAISIE!$N103))</f>
        <v>#REF!</v>
      </c>
      <c r="G1500" s="63" t="e">
        <f>IF(SAISIE!#REF!="","",SAISIE!#REF!)</f>
        <v>#REF!</v>
      </c>
      <c r="H1500" s="63"/>
      <c r="I1500" s="63" t="e">
        <f>IF(SAISIE!#REF!="","",SAISIE!$Q103)</f>
        <v>#REF!</v>
      </c>
      <c r="J1500" s="71" t="str">
        <f>IF(COUNTBLANK(SAISIE!$J$6:$M$6)=4,"",IF(SAISIE!#REF!="","",IF(SAISIE!J103&gt;0,SAISIE!$J$6,IF(SAISIE!K103&gt;0,SAISIE!$K$6,IF(SAISIE!L103&gt;0,SAISIE!$L$6,IF(SAISIE!M103&gt;0,SAISIE!$M$6,""))))))</f>
        <v/>
      </c>
      <c r="O1500" s="59" t="s">
        <v>59</v>
      </c>
    </row>
    <row r="1501" spans="1:15" x14ac:dyDescent="0.25">
      <c r="A1501" s="63" t="e">
        <f>IF(AND(G1501="",H1501=""),"SUPPR",SAISIE!$B$3)</f>
        <v>#REF!</v>
      </c>
      <c r="B1501" s="63" t="e">
        <f>IF(SAISIE!#REF!="","",IF(LEN(SAISIE!B103)=1,CONCATENATE("0",SAISIE!B103,"/",SAISIE!$B$4,"/",SAISIE!$B$5),CONCATENATE(SAISIE!B103,"/",SAISIE!$B$4,"/",SAISIE!$B$5)))</f>
        <v>#REF!</v>
      </c>
      <c r="C1501" s="63" t="e">
        <f>IF(SAISIE!#REF!="","",SAISIE!#REF!)</f>
        <v>#REF!</v>
      </c>
      <c r="D1501" s="63" t="e">
        <f>IF(SAISIE!#REF!="","",SAISIE!E103)</f>
        <v>#REF!</v>
      </c>
      <c r="E1501" s="63" t="e">
        <f>IF(SAISIE!#REF!="","",SAISIE!F103)</f>
        <v>#REF!</v>
      </c>
      <c r="F1501" s="70" t="e">
        <f>IF(SAISIE!#REF!="","",IF(SAISIE!$N103="","",SAISIE!$N103))</f>
        <v>#REF!</v>
      </c>
      <c r="G1501" s="63" t="e">
        <f>IF(SAISIE!#REF!="","",SAISIE!#REF!)</f>
        <v>#REF!</v>
      </c>
      <c r="H1501" s="63"/>
      <c r="I1501" s="63" t="e">
        <f>IF(SAISIE!#REF!="","",SAISIE!$Q103)</f>
        <v>#REF!</v>
      </c>
      <c r="J1501" s="71" t="str">
        <f>IF(COUNTBLANK(SAISIE!$J$6:$M$6)=4,"",IF(SAISIE!#REF!="","",IF(SAISIE!J103&gt;0,SAISIE!$J$6,IF(SAISIE!K103&gt;0,SAISIE!$K$6,IF(SAISIE!L103&gt;0,SAISIE!$L$6,IF(SAISIE!M103&gt;0,SAISIE!$M$6,""))))))</f>
        <v/>
      </c>
      <c r="O1501" s="59" t="s">
        <v>60</v>
      </c>
    </row>
    <row r="1502" spans="1:15" x14ac:dyDescent="0.25">
      <c r="A1502" s="63" t="str">
        <f>IF(AND(G1502="",H1502=""),"SUPPR",SAISIE!$B$3)</f>
        <v>SUPPR</v>
      </c>
      <c r="B1502" s="63" t="str">
        <f>IF(SAISIE!J103="","",IF(LEN(SAISIE!B103)=1,CONCATENATE("0",SAISIE!B103,"/",SAISIE!$B$4,"/",SAISIE!$B$5),CONCATENATE(SAISIE!B103,"/",SAISIE!$B$4,"/",SAISIE!$B$5)))</f>
        <v/>
      </c>
      <c r="C1502" s="63" t="str">
        <f>IF(SAISIE!J103="","",SAISIE!$J$8)</f>
        <v/>
      </c>
      <c r="D1502" s="63" t="str">
        <f>IF(SAISIE!J103="","",SAISIE!E103)</f>
        <v/>
      </c>
      <c r="E1502" s="63" t="str">
        <f>IF(SAISIE!J103="","",SAISIE!F103)</f>
        <v/>
      </c>
      <c r="F1502" s="70" t="str">
        <f>IF(SAISIE!$J103="","",IF(SAISIE!$N103="","",SAISIE!$N103))</f>
        <v/>
      </c>
      <c r="G1502" s="63" t="str">
        <f>IF(SAISIE!J103="","",SAISIE!J103)</f>
        <v/>
      </c>
      <c r="H1502" s="63"/>
      <c r="I1502" s="72"/>
      <c r="J1502" s="71"/>
      <c r="O1502" s="73"/>
    </row>
    <row r="1503" spans="1:15" x14ac:dyDescent="0.25">
      <c r="A1503" s="63" t="str">
        <f>IF(AND(G1503="",H1503=""),"SUPPR",SAISIE!$B$3)</f>
        <v>SUPPR</v>
      </c>
      <c r="B1503" s="63" t="str">
        <f>IF(SAISIE!K103="","",IF(LEN(SAISIE!B103)=1,CONCATENATE("0",SAISIE!B103,"/",SAISIE!$B$4,"/",SAISIE!$B$5),CONCATENATE(SAISIE!B103,"/",SAISIE!$B$4,"/",SAISIE!$B$5)))</f>
        <v/>
      </c>
      <c r="C1503" s="63" t="str">
        <f>IF(SAISIE!K103="","",SAISIE!$K$8)</f>
        <v/>
      </c>
      <c r="D1503" s="63" t="str">
        <f>IF(SAISIE!K103="","",SAISIE!E103)</f>
        <v/>
      </c>
      <c r="E1503" s="63" t="str">
        <f>IF(SAISIE!K103="","",SAISIE!F103)</f>
        <v/>
      </c>
      <c r="F1503" s="70" t="str">
        <f>IF(SAISIE!$K103="","",IF(SAISIE!$N103="","",SAISIE!$N103))</f>
        <v/>
      </c>
      <c r="G1503" s="63" t="str">
        <f>IF(SAISIE!K103="","",SAISIE!K103)</f>
        <v/>
      </c>
      <c r="H1503" s="63"/>
      <c r="I1503" s="72"/>
      <c r="J1503" s="71"/>
    </row>
    <row r="1504" spans="1:15" x14ac:dyDescent="0.25">
      <c r="A1504" s="63" t="str">
        <f>IF(AND(G1504="",H1504=""),"SUPPR",SAISIE!$B$3)</f>
        <v>SUPPR</v>
      </c>
      <c r="B1504" s="63" t="str">
        <f>IF(SAISIE!L103="","",IF(LEN(SAISIE!B103)=1,CONCATENATE("0",SAISIE!B103,"/",SAISIE!$B$4,"/",SAISIE!$B$5),CONCATENATE(SAISIE!B103,"/",SAISIE!$B$4,"/",SAISIE!$B$5)))</f>
        <v/>
      </c>
      <c r="C1504" s="63" t="str">
        <f>IF(SAISIE!L103="","",SAISIE!$L$8)</f>
        <v/>
      </c>
      <c r="D1504" s="63" t="str">
        <f>IF(SAISIE!L103="","",SAISIE!E103)</f>
        <v/>
      </c>
      <c r="E1504" s="63" t="str">
        <f>IF(SAISIE!L103="","",SAISIE!F103)</f>
        <v/>
      </c>
      <c r="F1504" s="70" t="str">
        <f>IF(SAISIE!$L103="","",IF(SAISIE!$N103="","",SAISIE!$N103))</f>
        <v/>
      </c>
      <c r="G1504" s="63" t="str">
        <f>IF(SAISIE!L103="","",SAISIE!L103)</f>
        <v/>
      </c>
      <c r="H1504" s="63"/>
      <c r="I1504" s="72"/>
      <c r="J1504" s="71"/>
    </row>
    <row r="1505" spans="1:15" x14ac:dyDescent="0.25">
      <c r="A1505" s="63" t="str">
        <f>IF(AND(G1505="",H1505=""),"SUPPR",SAISIE!$B$3)</f>
        <v>SUPPR</v>
      </c>
      <c r="B1505" s="63" t="str">
        <f>IF(SAISIE!M103="","",IF(LEN(SAISIE!B103)=1,CONCATENATE("0",SAISIE!B103,"/",SAISIE!$B$4,"/",SAISIE!$B$5),CONCATENATE(SAISIE!B103,"/",SAISIE!$B$4,"/",SAISIE!$B$5)))</f>
        <v/>
      </c>
      <c r="C1505" s="74" t="str">
        <f>IF(SAISIE!M103="","",SAISIE!$M$8)</f>
        <v/>
      </c>
      <c r="D1505" s="74" t="str">
        <f>IF(SAISIE!M103="","",SAISIE!E103)</f>
        <v/>
      </c>
      <c r="E1505" s="74" t="str">
        <f>IF(SAISIE!M103="","",SAISIE!F103)</f>
        <v/>
      </c>
      <c r="F1505" s="75" t="str">
        <f>IF(SAISIE!$M103="","",IF(SAISIE!$N103="","",SAISIE!$N103))</f>
        <v/>
      </c>
      <c r="G1505" s="74" t="str">
        <f>IF(SAISIE!M103="","",SAISIE!M103)</f>
        <v/>
      </c>
      <c r="H1505" s="76"/>
      <c r="I1505" s="77"/>
      <c r="J1505" s="78"/>
    </row>
    <row r="1506" spans="1:15" x14ac:dyDescent="0.25">
      <c r="A1506" s="63" t="str">
        <f>IF(AND(G1506="",H1506=""),"SUPPR",SAISIE!$B$3)</f>
        <v>SUPPR</v>
      </c>
      <c r="B1506" s="64" t="str">
        <f>IF(SAISIE!B104="","",IF(LEN(SAISIE!B104)=1,CONCATENATE("0",SAISIE!B104,"/",SAISIE!$B$4,"/",SAISIE!$B$5),CONCATENATE(SAISIE!B104,"/",SAISIE!$B$4,"/",SAISIE!$B$5)))</f>
        <v/>
      </c>
      <c r="C1506" s="64" t="str">
        <f>IF(SAISIE!B104="","",CONCATENATE($M$2,SAISIE!C104))</f>
        <v/>
      </c>
      <c r="D1506" s="64" t="str">
        <f>IF(SAISIE!B104="","",SAISIE!E104)</f>
        <v/>
      </c>
      <c r="E1506" s="64" t="str">
        <f>IF(SAISIE!B104="","",SAISIE!F104)</f>
        <v/>
      </c>
      <c r="F1506" s="65" t="str">
        <f>IF(A1506="SUPPR","",IF(SAISIE!$N104="","",SAISIE!$N104))</f>
        <v/>
      </c>
      <c r="G1506" s="64"/>
      <c r="H1506" s="64" t="str">
        <f>IF(SAISIE!B104="","",SAISIE!D104)</f>
        <v/>
      </c>
      <c r="I1506" s="66"/>
      <c r="J1506" s="67" t="str">
        <f>IF(AZ104="","","")</f>
        <v/>
      </c>
      <c r="O1506" s="69">
        <f>O1490+1</f>
        <v>104</v>
      </c>
    </row>
    <row r="1507" spans="1:15" x14ac:dyDescent="0.25">
      <c r="A1507" s="63" t="str">
        <f>IF(AND(G1507="",H1507=""),"SUPPR",SAISIE!$B$3)</f>
        <v>SUPPR</v>
      </c>
      <c r="B1507" s="63" t="str">
        <f>IF(SAISIE!P104="","",IF(LEN(SAISIE!B104)=1,CONCATENATE("0",SAISIE!B104,"/",SAISIE!$B$4,"/",SAISIE!$B$5),CONCATENATE(SAISIE!B104,"/",SAISIE!$B$4,"/",SAISIE!$B$5)))</f>
        <v/>
      </c>
      <c r="C1507" s="63" t="str">
        <f>IF(SAISIE!P104="","",SAISIE!O104)</f>
        <v/>
      </c>
      <c r="D1507" s="63" t="str">
        <f>IF(SAISIE!P104="","",SAISIE!E104)</f>
        <v/>
      </c>
      <c r="E1507" s="63" t="str">
        <f>IF(SAISIE!P104="","",SAISIE!F104)</f>
        <v/>
      </c>
      <c r="F1507" s="70" t="str">
        <f>IF(SAISIE!$P104="","",IF(SAISIE!$N104="","",SAISIE!$N104))</f>
        <v/>
      </c>
      <c r="G1507" s="63" t="str">
        <f>IF(SAISIE!P104="","",SAISIE!P104)</f>
        <v/>
      </c>
      <c r="H1507" s="63"/>
      <c r="I1507" s="63" t="str">
        <f>IF(SAISIE!$P104="","",SAISIE!$Q104)</f>
        <v/>
      </c>
      <c r="J1507" s="71" t="str">
        <f>IF(COUNTBLANK(SAISIE!$J$6:$M$6)=4,"",IF(SAISIE!P104="","",IF(SAISIE!J104&gt;0,SAISIE!$J$6,IF(SAISIE!K104&gt;0,SAISIE!$K$6,IF(SAISIE!L104&gt;0,SAISIE!$L$6,IF(SAISIE!M104&gt;0,SAISIE!$M$6,""))))))</f>
        <v/>
      </c>
      <c r="O1507" s="59" t="s">
        <v>50</v>
      </c>
    </row>
    <row r="1508" spans="1:15" x14ac:dyDescent="0.25">
      <c r="A1508" s="63" t="str">
        <f>IF(AND(G1508="",H1508=""),"SUPPR",SAISIE!$B$3)</f>
        <v>SUPPR</v>
      </c>
      <c r="B1508" s="63" t="str">
        <f>IF(SAISIE!G104="","",IF(LEN(SAISIE!B104)=1,CONCATENATE("0",SAISIE!B104,"/",SAISIE!$B$4,"/",SAISIE!$B$5),CONCATENATE(SAISIE!B104,"/",SAISIE!$B$4,"/",SAISIE!$B$5)))</f>
        <v/>
      </c>
      <c r="C1508" s="63" t="str">
        <f>IF(SAISIE!G104="","",SAISIE!$G$8)</f>
        <v/>
      </c>
      <c r="D1508" s="63" t="str">
        <f>IF(SAISIE!G104="","",SAISIE!E104)</f>
        <v/>
      </c>
      <c r="E1508" s="63" t="str">
        <f>IF(SAISIE!G104="","",SAISIE!F104)</f>
        <v/>
      </c>
      <c r="F1508" s="70" t="str">
        <f>IF(SAISIE!$G104="","",IF(SAISIE!$N104="","",SAISIE!$N104))</f>
        <v/>
      </c>
      <c r="G1508" s="63" t="str">
        <f>IF(SAISIE!G104="","",SAISIE!G104)</f>
        <v/>
      </c>
      <c r="H1508" s="63"/>
      <c r="I1508" s="63" t="str">
        <f>IF(SAISIE!$G104="","",SAISIE!$Q104)</f>
        <v/>
      </c>
      <c r="J1508" s="71" t="str">
        <f>IF(COUNTBLANK(SAISIE!$J$6:$M$6)=4,"",IF(SAISIE!G104="","",IF(SAISIE!J104&gt;0,SAISIE!$J$6,IF(SAISIE!K104&gt;0,SAISIE!$K$6,IF(SAISIE!L104&gt;0,SAISIE!$L$6,IF(SAISIE!M104&gt;0,SAISIE!$M$6,""))))))</f>
        <v/>
      </c>
      <c r="O1508" s="59" t="s">
        <v>51</v>
      </c>
    </row>
    <row r="1509" spans="1:15" x14ac:dyDescent="0.25">
      <c r="A1509" s="63" t="str">
        <f>IF(AND(G1509="",H1509=""),"SUPPR",SAISIE!$B$3)</f>
        <v>SUPPR</v>
      </c>
      <c r="B1509" s="63" t="str">
        <f>IF(SAISIE!H104="","",IF(LEN(SAISIE!B104)=1,CONCATENATE("0",SAISIE!B104,"/",SAISIE!$B$4,"/",SAISIE!$B$5),CONCATENATE(SAISIE!B104,"/",SAISIE!$B$4,"/",SAISIE!$B$5)))</f>
        <v/>
      </c>
      <c r="C1509" s="63" t="str">
        <f>IF(SAISIE!H104="","",SAISIE!$H$8)</f>
        <v/>
      </c>
      <c r="D1509" s="63" t="str">
        <f>IF(SAISIE!H104="","",SAISIE!E104)</f>
        <v/>
      </c>
      <c r="E1509" s="63" t="str">
        <f>IF(SAISIE!H104="","",SAISIE!F104)</f>
        <v/>
      </c>
      <c r="F1509" s="70" t="str">
        <f>IF(SAISIE!$H104="","",IF(SAISIE!$N104="","",SAISIE!$N104))</f>
        <v/>
      </c>
      <c r="G1509" s="63" t="str">
        <f>IF(SAISIE!H104="","",SAISIE!H104)</f>
        <v/>
      </c>
      <c r="H1509" s="63"/>
      <c r="I1509" s="63" t="str">
        <f>IF(SAISIE!$H104="","",SAISIE!$Q104)</f>
        <v/>
      </c>
      <c r="J1509" s="71" t="str">
        <f>IF(COUNTBLANK(SAISIE!$J$6:$M$6)=4,"",IF(SAISIE!H104="","",IF(SAISIE!J104&gt;0,SAISIE!$J$6,IF(SAISIE!K104&gt;0,SAISIE!$K$6,IF(SAISIE!L104&gt;0,SAISIE!$L$6,IF(SAISIE!M104&gt;0,SAISIE!$M$6,""))))))</f>
        <v/>
      </c>
      <c r="O1509" s="59" t="s">
        <v>52</v>
      </c>
    </row>
    <row r="1510" spans="1:15" x14ac:dyDescent="0.25">
      <c r="A1510" s="63" t="str">
        <f>IF(AND(G1510="",H1510=""),"SUPPR",SAISIE!$B$3)</f>
        <v>SUPPR</v>
      </c>
      <c r="B1510" s="63" t="str">
        <f>IF(SAISIE!I104="","",IF(LEN(SAISIE!B104)=1,CONCATENATE("0",SAISIE!B104,"/",SAISIE!$B$4,"/",SAISIE!$B$5),CONCATENATE(SAISIE!B104,"/",SAISIE!$B$4,"/",SAISIE!$B$5)))</f>
        <v/>
      </c>
      <c r="C1510" s="63" t="str">
        <f>IF(SAISIE!I104="","",SAISIE!$I$8)</f>
        <v/>
      </c>
      <c r="D1510" s="63" t="str">
        <f>IF(SAISIE!I104="","",SAISIE!E104)</f>
        <v/>
      </c>
      <c r="E1510" s="63" t="str">
        <f>IF(SAISIE!I104="","",SAISIE!F104)</f>
        <v/>
      </c>
      <c r="F1510" s="70" t="str">
        <f>IF(SAISIE!$I104="","",IF(SAISIE!$N104="","",SAISIE!$N104))</f>
        <v/>
      </c>
      <c r="G1510" s="63" t="str">
        <f>IF(SAISIE!I104="","",SAISIE!I104)</f>
        <v/>
      </c>
      <c r="H1510" s="63"/>
      <c r="I1510" s="63" t="str">
        <f>IF(SAISIE!$I104="","",SAISIE!$Q104)</f>
        <v/>
      </c>
      <c r="J1510" s="71" t="str">
        <f>IF(COUNTBLANK(SAISIE!$J$6:$M$6)=4,"",IF(SAISIE!I104="","",IF(SAISIE!J104&gt;0,SAISIE!$J$6,IF(SAISIE!K104&gt;0,SAISIE!$K$6,IF(SAISIE!L104&gt;0,SAISIE!$L$6,IF(SAISIE!M104&gt;0,SAISIE!$M$6,""))))))</f>
        <v/>
      </c>
      <c r="O1510" s="59" t="s">
        <v>53</v>
      </c>
    </row>
    <row r="1511" spans="1:15" x14ac:dyDescent="0.25">
      <c r="A1511" s="63" t="e">
        <f>IF(AND(G1511="",H1511=""),"SUPPR",SAISIE!$B$3)</f>
        <v>#REF!</v>
      </c>
      <c r="B1511" s="63" t="e">
        <f>IF(SAISIE!#REF!="","",IF(LEN(SAISIE!B104)=1,CONCATENATE("0",SAISIE!B104,"/",SAISIE!$B$4,"/",SAISIE!$B$5),CONCATENATE(SAISIE!B104,"/",SAISIE!$B$4,"/",SAISIE!$B$5)))</f>
        <v>#REF!</v>
      </c>
      <c r="C1511" s="63" t="e">
        <f>IF(SAISIE!#REF!="","",SAISIE!#REF!)</f>
        <v>#REF!</v>
      </c>
      <c r="D1511" s="63" t="e">
        <f>IF(SAISIE!#REF!="","",SAISIE!E104)</f>
        <v>#REF!</v>
      </c>
      <c r="E1511" s="63" t="e">
        <f>IF(SAISIE!#REF!="","",SAISIE!F104)</f>
        <v>#REF!</v>
      </c>
      <c r="F1511" s="70" t="e">
        <f>IF(SAISIE!#REF!="","",IF(SAISIE!$N104="","",SAISIE!$N104))</f>
        <v>#REF!</v>
      </c>
      <c r="G1511" s="63" t="e">
        <f>IF(SAISIE!#REF!="","",SAISIE!#REF!)</f>
        <v>#REF!</v>
      </c>
      <c r="H1511" s="63"/>
      <c r="I1511" s="63" t="e">
        <f>IF(SAISIE!#REF!="","",SAISIE!$Q104)</f>
        <v>#REF!</v>
      </c>
      <c r="J1511" s="71" t="str">
        <f>IF(COUNTBLANK(SAISIE!$J$6:$M$6)=4,"",IF(SAISIE!#REF!="","",IF(SAISIE!J104&gt;0,SAISIE!$J$6,IF(SAISIE!K104&gt;0,SAISIE!$K$6,IF(SAISIE!L104&gt;0,SAISIE!$L$6,IF(SAISIE!M104&gt;0,SAISIE!$M$6,""))))))</f>
        <v/>
      </c>
      <c r="O1511" s="59" t="s">
        <v>54</v>
      </c>
    </row>
    <row r="1512" spans="1:15" x14ac:dyDescent="0.25">
      <c r="A1512" s="63" t="e">
        <f>IF(AND(G1512="",H1512=""),"SUPPR",SAISIE!$B$3)</f>
        <v>#REF!</v>
      </c>
      <c r="B1512" s="63" t="e">
        <f>IF(SAISIE!#REF!="","",IF(LEN(SAISIE!B104)=1,CONCATENATE("0",SAISIE!B104,"/",SAISIE!$B$4,"/",SAISIE!$B$5),CONCATENATE(SAISIE!B104,"/",SAISIE!$B$4,"/",SAISIE!$B$5)))</f>
        <v>#REF!</v>
      </c>
      <c r="C1512" s="63" t="e">
        <f>IF(SAISIE!#REF!="","",SAISIE!#REF!)</f>
        <v>#REF!</v>
      </c>
      <c r="D1512" s="63" t="e">
        <f>IF(SAISIE!#REF!="","",SAISIE!E104)</f>
        <v>#REF!</v>
      </c>
      <c r="E1512" s="63" t="e">
        <f>IF(SAISIE!#REF!="","",SAISIE!F104)</f>
        <v>#REF!</v>
      </c>
      <c r="F1512" s="70" t="e">
        <f>IF(SAISIE!#REF!="","",IF(SAISIE!$N104="","",SAISIE!$N104))</f>
        <v>#REF!</v>
      </c>
      <c r="G1512" s="63" t="e">
        <f>IF(SAISIE!#REF!="","",SAISIE!#REF!)</f>
        <v>#REF!</v>
      </c>
      <c r="H1512" s="63"/>
      <c r="I1512" s="63" t="e">
        <f>IF(SAISIE!#REF!="","",SAISIE!$Q104)</f>
        <v>#REF!</v>
      </c>
      <c r="J1512" s="71" t="str">
        <f>IF(COUNTBLANK(SAISIE!$J$6:$M$6)=4,"",IF(SAISIE!#REF!="","",IF(SAISIE!J104&gt;0,SAISIE!$J$6,IF(SAISIE!K104&gt;0,SAISIE!$K$6,IF(SAISIE!L104&gt;0,SAISIE!$L$6,IF(SAISIE!M104&gt;0,SAISIE!$M$6,""))))))</f>
        <v/>
      </c>
      <c r="O1512" s="59" t="s">
        <v>55</v>
      </c>
    </row>
    <row r="1513" spans="1:15" x14ac:dyDescent="0.25">
      <c r="A1513" s="63" t="e">
        <f>IF(AND(G1513="",H1513=""),"SUPPR",SAISIE!$B$3)</f>
        <v>#REF!</v>
      </c>
      <c r="B1513" s="63" t="e">
        <f>IF(SAISIE!#REF!="","",IF(LEN(SAISIE!B104)=1,CONCATENATE("0",SAISIE!B104,"/",SAISIE!$B$4,"/",SAISIE!$B$5),CONCATENATE(SAISIE!B104,"/",SAISIE!$B$4,"/",SAISIE!$B$5)))</f>
        <v>#REF!</v>
      </c>
      <c r="C1513" s="63" t="e">
        <f>IF(SAISIE!#REF!="","",SAISIE!#REF!)</f>
        <v>#REF!</v>
      </c>
      <c r="D1513" s="63" t="e">
        <f>IF(SAISIE!#REF!="","",SAISIE!E104)</f>
        <v>#REF!</v>
      </c>
      <c r="E1513" s="63" t="e">
        <f>IF(SAISIE!#REF!="","",SAISIE!F104)</f>
        <v>#REF!</v>
      </c>
      <c r="F1513" s="70" t="e">
        <f>IF(SAISIE!#REF!="","",IF(SAISIE!$N104="","",SAISIE!$N104))</f>
        <v>#REF!</v>
      </c>
      <c r="G1513" s="63" t="e">
        <f>IF(SAISIE!#REF!="","",SAISIE!#REF!)</f>
        <v>#REF!</v>
      </c>
      <c r="H1513" s="63"/>
      <c r="I1513" s="63" t="e">
        <f>IF(SAISIE!#REF!="","",SAISIE!$Q104)</f>
        <v>#REF!</v>
      </c>
      <c r="J1513" s="71" t="str">
        <f>IF(COUNTBLANK(SAISIE!$J$6:$M$6)=4,"",IF(SAISIE!#REF!="","",IF(SAISIE!J104&gt;0,SAISIE!$J$6,IF(SAISIE!K104&gt;0,SAISIE!$K$6,IF(SAISIE!L104&gt;0,SAISIE!$L$6,IF(SAISIE!M104&gt;0,SAISIE!$M$6,""))))))</f>
        <v/>
      </c>
      <c r="O1513" s="59" t="s">
        <v>56</v>
      </c>
    </row>
    <row r="1514" spans="1:15" x14ac:dyDescent="0.25">
      <c r="A1514" s="63" t="e">
        <f>IF(AND(G1514="",H1514=""),"SUPPR",SAISIE!$B$3)</f>
        <v>#REF!</v>
      </c>
      <c r="B1514" s="63" t="e">
        <f>IF(SAISIE!#REF!="","",IF(LEN(SAISIE!B104)=1,CONCATENATE("0",SAISIE!B104,"/",SAISIE!$B$4,"/",SAISIE!$B$5),CONCATENATE(SAISIE!B104,"/",SAISIE!$B$4,"/",SAISIE!$B$5)))</f>
        <v>#REF!</v>
      </c>
      <c r="C1514" s="63" t="e">
        <f>IF(SAISIE!#REF!="","",SAISIE!#REF!)</f>
        <v>#REF!</v>
      </c>
      <c r="D1514" s="63" t="e">
        <f>IF(SAISIE!#REF!="","",SAISIE!E104)</f>
        <v>#REF!</v>
      </c>
      <c r="E1514" s="63" t="e">
        <f>IF(SAISIE!#REF!="","",SAISIE!F104)</f>
        <v>#REF!</v>
      </c>
      <c r="F1514" s="70" t="e">
        <f>IF(SAISIE!#REF!="","",IF(SAISIE!$N104="","",SAISIE!$N104))</f>
        <v>#REF!</v>
      </c>
      <c r="G1514" s="63" t="e">
        <f>IF(SAISIE!#REF!="","",SAISIE!#REF!)</f>
        <v>#REF!</v>
      </c>
      <c r="H1514" s="63"/>
      <c r="I1514" s="63" t="e">
        <f>IF(SAISIE!#REF!="","",SAISIE!$Q104)</f>
        <v>#REF!</v>
      </c>
      <c r="J1514" s="71" t="str">
        <f>IF(COUNTBLANK(SAISIE!$J$6:$M$6)=4,"",IF(SAISIE!#REF!="","",IF(SAISIE!J104&gt;0,SAISIE!$J$6,IF(SAISIE!K104&gt;0,SAISIE!$K$6,IF(SAISIE!L104&gt;0,SAISIE!$L$6,IF(SAISIE!M104&gt;0,SAISIE!$M$6,""))))))</f>
        <v/>
      </c>
      <c r="O1514" s="59" t="s">
        <v>57</v>
      </c>
    </row>
    <row r="1515" spans="1:15" x14ac:dyDescent="0.25">
      <c r="A1515" s="63" t="e">
        <f>IF(AND(G1515="",H1515=""),"SUPPR",SAISIE!$B$3)</f>
        <v>#REF!</v>
      </c>
      <c r="B1515" s="63" t="e">
        <f>IF(SAISIE!#REF!="","",IF(LEN(SAISIE!B104)=1,CONCATENATE("0",SAISIE!B104,"/",SAISIE!$B$4,"/",SAISIE!$B$5),CONCATENATE(SAISIE!B104,"/",SAISIE!$B$4,"/",SAISIE!$B$5)))</f>
        <v>#REF!</v>
      </c>
      <c r="C1515" s="63" t="e">
        <f>IF(SAISIE!#REF!="","",SAISIE!#REF!)</f>
        <v>#REF!</v>
      </c>
      <c r="D1515" s="63" t="e">
        <f>IF(SAISIE!#REF!="","",SAISIE!E104)</f>
        <v>#REF!</v>
      </c>
      <c r="E1515" s="63" t="e">
        <f>IF(SAISIE!#REF!="","",SAISIE!F104)</f>
        <v>#REF!</v>
      </c>
      <c r="F1515" s="70" t="e">
        <f>IF(SAISIE!#REF!="","",IF(SAISIE!$N104="","",SAISIE!$N104))</f>
        <v>#REF!</v>
      </c>
      <c r="G1515" s="63" t="e">
        <f>IF(SAISIE!#REF!="","",SAISIE!#REF!)</f>
        <v>#REF!</v>
      </c>
      <c r="H1515" s="63"/>
      <c r="I1515" s="63" t="e">
        <f>IF(SAISIE!#REF!="","",SAISIE!$Q104)</f>
        <v>#REF!</v>
      </c>
      <c r="J1515" s="71" t="str">
        <f>IF(COUNTBLANK(SAISIE!$J$6:$M$6)=4,"",IF(SAISIE!#REF!="","",IF(SAISIE!J104&gt;0,SAISIE!$J$6,IF(SAISIE!K104&gt;0,SAISIE!$K$6,IF(SAISIE!L104&gt;0,SAISIE!$L$6,IF(SAISIE!M104&gt;0,SAISIE!$M$6,""))))))</f>
        <v/>
      </c>
      <c r="O1515" s="59" t="s">
        <v>58</v>
      </c>
    </row>
    <row r="1516" spans="1:15" x14ac:dyDescent="0.25">
      <c r="A1516" s="63" t="e">
        <f>IF(AND(G1516="",H1516=""),"SUPPR",SAISIE!$B$3)</f>
        <v>#REF!</v>
      </c>
      <c r="B1516" s="63" t="e">
        <f>IF(SAISIE!#REF!="","",IF(LEN(SAISIE!B104)=1,CONCATENATE("0",SAISIE!B104,"/",SAISIE!$B$4,"/",SAISIE!$B$5),CONCATENATE(SAISIE!B104,"/",SAISIE!$B$4,"/",SAISIE!$B$5)))</f>
        <v>#REF!</v>
      </c>
      <c r="C1516" s="63" t="e">
        <f>IF(SAISIE!#REF!="","",SAISIE!#REF!)</f>
        <v>#REF!</v>
      </c>
      <c r="D1516" s="63" t="e">
        <f>IF(SAISIE!#REF!="","",SAISIE!E104)</f>
        <v>#REF!</v>
      </c>
      <c r="E1516" s="63" t="e">
        <f>IF(SAISIE!#REF!="","",SAISIE!F104)</f>
        <v>#REF!</v>
      </c>
      <c r="F1516" s="70" t="e">
        <f>IF(SAISIE!#REF!="","",IF(SAISIE!$N104="","",SAISIE!$N104))</f>
        <v>#REF!</v>
      </c>
      <c r="G1516" s="63" t="e">
        <f>IF(SAISIE!#REF!="","",SAISIE!#REF!)</f>
        <v>#REF!</v>
      </c>
      <c r="H1516" s="63"/>
      <c r="I1516" s="63" t="e">
        <f>IF(SAISIE!#REF!="","",SAISIE!$Q104)</f>
        <v>#REF!</v>
      </c>
      <c r="J1516" s="71" t="str">
        <f>IF(COUNTBLANK(SAISIE!$J$6:$M$6)=4,"",IF(SAISIE!#REF!="","",IF(SAISIE!J104&gt;0,SAISIE!$J$6,IF(SAISIE!K104&gt;0,SAISIE!$K$6,IF(SAISIE!L104&gt;0,SAISIE!$L$6,IF(SAISIE!M104&gt;0,SAISIE!$M$6,""))))))</f>
        <v/>
      </c>
      <c r="K1516" s="79"/>
      <c r="L1516" s="79"/>
      <c r="M1516" s="79"/>
      <c r="N1516" s="79"/>
      <c r="O1516" s="59" t="s">
        <v>59</v>
      </c>
    </row>
    <row r="1517" spans="1:15" x14ac:dyDescent="0.25">
      <c r="A1517" s="63" t="e">
        <f>IF(AND(G1517="",H1517=""),"SUPPR",SAISIE!$B$3)</f>
        <v>#REF!</v>
      </c>
      <c r="B1517" s="63" t="e">
        <f>IF(SAISIE!#REF!="","",IF(LEN(SAISIE!B104)=1,CONCATENATE("0",SAISIE!B104,"/",SAISIE!$B$4,"/",SAISIE!$B$5),CONCATENATE(SAISIE!B104,"/",SAISIE!$B$4,"/",SAISIE!$B$5)))</f>
        <v>#REF!</v>
      </c>
      <c r="C1517" s="63" t="e">
        <f>IF(SAISIE!#REF!="","",SAISIE!#REF!)</f>
        <v>#REF!</v>
      </c>
      <c r="D1517" s="63" t="e">
        <f>IF(SAISIE!#REF!="","",SAISIE!E104)</f>
        <v>#REF!</v>
      </c>
      <c r="E1517" s="63" t="e">
        <f>IF(SAISIE!#REF!="","",SAISIE!F104)</f>
        <v>#REF!</v>
      </c>
      <c r="F1517" s="70" t="e">
        <f>IF(SAISIE!#REF!="","",IF(SAISIE!$N104="","",SAISIE!$N104))</f>
        <v>#REF!</v>
      </c>
      <c r="G1517" s="63" t="e">
        <f>IF(SAISIE!#REF!="","",SAISIE!#REF!)</f>
        <v>#REF!</v>
      </c>
      <c r="H1517" s="63"/>
      <c r="I1517" s="63" t="e">
        <f>IF(SAISIE!#REF!="","",SAISIE!$Q104)</f>
        <v>#REF!</v>
      </c>
      <c r="J1517" s="71" t="str">
        <f>IF(COUNTBLANK(SAISIE!$J$6:$M$6)=4,"",IF(SAISIE!#REF!="","",IF(SAISIE!J104&gt;0,SAISIE!$J$6,IF(SAISIE!K104&gt;0,SAISIE!$K$6,IF(SAISIE!L104&gt;0,SAISIE!$L$6,IF(SAISIE!M104&gt;0,SAISIE!$M$6,""))))))</f>
        <v/>
      </c>
      <c r="K1517" s="79"/>
      <c r="L1517" s="79"/>
      <c r="M1517" s="79"/>
      <c r="N1517" s="79"/>
      <c r="O1517" s="59" t="s">
        <v>60</v>
      </c>
    </row>
    <row r="1518" spans="1:15" x14ac:dyDescent="0.25">
      <c r="A1518" s="63" t="str">
        <f>IF(AND(G1518="",H1518=""),"SUPPR",SAISIE!$B$3)</f>
        <v>SUPPR</v>
      </c>
      <c r="B1518" s="63" t="str">
        <f>IF(SAISIE!J104="","",IF(LEN(SAISIE!B104)=1,CONCATENATE("0",SAISIE!B104,"/",SAISIE!$B$4,"/",SAISIE!$B$5),CONCATENATE(SAISIE!B104,"/",SAISIE!$B$4,"/",SAISIE!$B$5)))</f>
        <v/>
      </c>
      <c r="C1518" s="63" t="str">
        <f>IF(SAISIE!J104="","",SAISIE!$J$8)</f>
        <v/>
      </c>
      <c r="D1518" s="63" t="str">
        <f>IF(SAISIE!J104="","",SAISIE!E104)</f>
        <v/>
      </c>
      <c r="E1518" s="63" t="str">
        <f>IF(SAISIE!J104="","",SAISIE!F104)</f>
        <v/>
      </c>
      <c r="F1518" s="70" t="str">
        <f>IF(SAISIE!$J104="","",IF(SAISIE!$N104="","",SAISIE!$N104))</f>
        <v/>
      </c>
      <c r="G1518" s="63" t="str">
        <f>IF(SAISIE!J104="","",SAISIE!J104)</f>
        <v/>
      </c>
      <c r="H1518" s="63"/>
      <c r="I1518" s="72"/>
      <c r="J1518" s="71"/>
      <c r="K1518" s="79"/>
      <c r="L1518" s="79"/>
      <c r="M1518" s="79"/>
      <c r="N1518" s="79"/>
      <c r="O1518" s="73"/>
    </row>
    <row r="1519" spans="1:15" x14ac:dyDescent="0.25">
      <c r="A1519" s="63" t="str">
        <f>IF(AND(G1519="",H1519=""),"SUPPR",SAISIE!$B$3)</f>
        <v>SUPPR</v>
      </c>
      <c r="B1519" s="63" t="str">
        <f>IF(SAISIE!K104="","",IF(LEN(SAISIE!B104)=1,CONCATENATE("0",SAISIE!B104,"/",SAISIE!$B$4,"/",SAISIE!$B$5),CONCATENATE(SAISIE!B104,"/",SAISIE!$B$4,"/",SAISIE!$B$5)))</f>
        <v/>
      </c>
      <c r="C1519" s="63" t="str">
        <f>IF(SAISIE!K104="","",SAISIE!$K$8)</f>
        <v/>
      </c>
      <c r="D1519" s="63" t="str">
        <f>IF(SAISIE!K104="","",SAISIE!E104)</f>
        <v/>
      </c>
      <c r="E1519" s="63" t="str">
        <f>IF(SAISIE!K104="","",SAISIE!F104)</f>
        <v/>
      </c>
      <c r="F1519" s="70" t="str">
        <f>IF(SAISIE!$K104="","",IF(SAISIE!$N104="","",SAISIE!$N104))</f>
        <v/>
      </c>
      <c r="G1519" s="63" t="str">
        <f>IF(SAISIE!K104="","",SAISIE!K104)</f>
        <v/>
      </c>
      <c r="H1519" s="63"/>
      <c r="I1519" s="72"/>
      <c r="J1519" s="71"/>
      <c r="K1519" s="79"/>
      <c r="L1519" s="79"/>
      <c r="M1519" s="79"/>
      <c r="N1519" s="79"/>
    </row>
    <row r="1520" spans="1:15" x14ac:dyDescent="0.25">
      <c r="A1520" s="63" t="str">
        <f>IF(AND(G1520="",H1520=""),"SUPPR",SAISIE!$B$3)</f>
        <v>SUPPR</v>
      </c>
      <c r="B1520" s="63" t="str">
        <f>IF(SAISIE!L104="","",IF(LEN(SAISIE!B104)=1,CONCATENATE("0",SAISIE!B104,"/",SAISIE!$B$4,"/",SAISIE!$B$5),CONCATENATE(SAISIE!B104,"/",SAISIE!$B$4,"/",SAISIE!$B$5)))</f>
        <v/>
      </c>
      <c r="C1520" s="63" t="str">
        <f>IF(SAISIE!L104="","",SAISIE!$L$8)</f>
        <v/>
      </c>
      <c r="D1520" s="63" t="str">
        <f>IF(SAISIE!L104="","",SAISIE!E104)</f>
        <v/>
      </c>
      <c r="E1520" s="63" t="str">
        <f>IF(SAISIE!L104="","",SAISIE!F104)</f>
        <v/>
      </c>
      <c r="F1520" s="70" t="str">
        <f>IF(SAISIE!$L104="","",IF(SAISIE!$N104="","",SAISIE!$N104))</f>
        <v/>
      </c>
      <c r="G1520" s="63" t="str">
        <f>IF(SAISIE!L104="","",SAISIE!L104)</f>
        <v/>
      </c>
      <c r="H1520" s="63"/>
      <c r="I1520" s="72"/>
      <c r="J1520" s="71"/>
      <c r="K1520" s="79"/>
      <c r="L1520" s="79"/>
      <c r="M1520" s="79"/>
      <c r="N1520" s="79"/>
    </row>
    <row r="1521" spans="1:15" x14ac:dyDescent="0.25">
      <c r="A1521" s="63" t="str">
        <f>IF(AND(G1521="",H1521=""),"SUPPR",SAISIE!$B$3)</f>
        <v>SUPPR</v>
      </c>
      <c r="B1521" s="63" t="str">
        <f>IF(SAISIE!M104="","",IF(LEN(SAISIE!B104)=1,CONCATENATE("0",SAISIE!B104,"/",SAISIE!$B$4,"/",SAISIE!$B$5),CONCATENATE(SAISIE!B104,"/",SAISIE!$B$4,"/",SAISIE!$B$5)))</f>
        <v/>
      </c>
      <c r="C1521" s="74" t="str">
        <f>IF(SAISIE!M104="","",SAISIE!$M$8)</f>
        <v/>
      </c>
      <c r="D1521" s="74" t="str">
        <f>IF(SAISIE!M104="","",SAISIE!E104)</f>
        <v/>
      </c>
      <c r="E1521" s="74" t="str">
        <f>IF(SAISIE!M104="","",SAISIE!F104)</f>
        <v/>
      </c>
      <c r="F1521" s="75" t="str">
        <f>IF(SAISIE!$M104="","",IF(SAISIE!$N104="","",SAISIE!$N104))</f>
        <v/>
      </c>
      <c r="G1521" s="74" t="str">
        <f>IF(SAISIE!M104="","",SAISIE!M104)</f>
        <v/>
      </c>
      <c r="H1521" s="76"/>
      <c r="I1521" s="77"/>
      <c r="J1521" s="78"/>
    </row>
    <row r="1522" spans="1:15" x14ac:dyDescent="0.25">
      <c r="A1522" s="63" t="str">
        <f>IF(AND(G1522="",H1522=""),"SUPPR",SAISIE!$B$3)</f>
        <v>SUPPR</v>
      </c>
      <c r="B1522" s="64" t="str">
        <f>IF(SAISIE!B105="","",IF(LEN(SAISIE!B105)=1,CONCATENATE("0",SAISIE!B105,"/",SAISIE!$B$4,"/",SAISIE!$B$5),CONCATENATE(SAISIE!B105,"/",SAISIE!$B$4,"/",SAISIE!$B$5)))</f>
        <v/>
      </c>
      <c r="C1522" s="64" t="str">
        <f>IF(SAISIE!B105="","",CONCATENATE($M$2,SAISIE!C105))</f>
        <v/>
      </c>
      <c r="D1522" s="64" t="str">
        <f>IF(SAISIE!B105="","",SAISIE!E105)</f>
        <v/>
      </c>
      <c r="E1522" s="64" t="str">
        <f>IF(SAISIE!B105="","",SAISIE!F105)</f>
        <v/>
      </c>
      <c r="F1522" s="65" t="str">
        <f>IF(A1522="SUPPR","",IF(SAISIE!$N105="","",SAISIE!$N105))</f>
        <v/>
      </c>
      <c r="G1522" s="64"/>
      <c r="H1522" s="64" t="str">
        <f>IF(SAISIE!B105="","",SAISIE!D105)</f>
        <v/>
      </c>
      <c r="I1522" s="66"/>
      <c r="J1522" s="67" t="str">
        <f>IF(AZ105="","","")</f>
        <v/>
      </c>
      <c r="O1522" s="69">
        <f>O1506+1</f>
        <v>105</v>
      </c>
    </row>
    <row r="1523" spans="1:15" x14ac:dyDescent="0.25">
      <c r="A1523" s="63" t="str">
        <f>IF(AND(G1523="",H1523=""),"SUPPR",SAISIE!$B$3)</f>
        <v>SUPPR</v>
      </c>
      <c r="B1523" s="63" t="str">
        <f>IF(SAISIE!P105="","",IF(LEN(SAISIE!B105)=1,CONCATENATE("0",SAISIE!B105,"/",SAISIE!$B$4,"/",SAISIE!$B$5),CONCATENATE(SAISIE!B105,"/",SAISIE!$B$4,"/",SAISIE!$B$5)))</f>
        <v/>
      </c>
      <c r="C1523" s="63" t="str">
        <f>IF(SAISIE!P105="","",SAISIE!O105)</f>
        <v/>
      </c>
      <c r="D1523" s="63" t="str">
        <f>IF(SAISIE!P105="","",SAISIE!E105)</f>
        <v/>
      </c>
      <c r="E1523" s="63" t="str">
        <f>IF(SAISIE!P105="","",SAISIE!F105)</f>
        <v/>
      </c>
      <c r="F1523" s="70" t="str">
        <f>IF(SAISIE!$P105="","",IF(SAISIE!$N105="","",SAISIE!$N105))</f>
        <v/>
      </c>
      <c r="G1523" s="63" t="str">
        <f>IF(SAISIE!P105="","",SAISIE!P105)</f>
        <v/>
      </c>
      <c r="H1523" s="63"/>
      <c r="I1523" s="63" t="str">
        <f>IF(SAISIE!$P105="","",SAISIE!$Q105)</f>
        <v/>
      </c>
      <c r="J1523" s="71" t="str">
        <f>IF(COUNTBLANK(SAISIE!$J$6:$M$6)=4,"",IF(SAISIE!P105="","",IF(SAISIE!J105&gt;0,SAISIE!$J$6,IF(SAISIE!K105&gt;0,SAISIE!$K$6,IF(SAISIE!L105&gt;0,SAISIE!$L$6,IF(SAISIE!M105&gt;0,SAISIE!$M$6,""))))))</f>
        <v/>
      </c>
      <c r="O1523" s="59" t="s">
        <v>50</v>
      </c>
    </row>
    <row r="1524" spans="1:15" x14ac:dyDescent="0.25">
      <c r="A1524" s="63" t="str">
        <f>IF(AND(G1524="",H1524=""),"SUPPR",SAISIE!$B$3)</f>
        <v>SUPPR</v>
      </c>
      <c r="B1524" s="63" t="str">
        <f>IF(SAISIE!G105="","",IF(LEN(SAISIE!B105)=1,CONCATENATE("0",SAISIE!B105,"/",SAISIE!$B$4,"/",SAISIE!$B$5),CONCATENATE(SAISIE!B105,"/",SAISIE!$B$4,"/",SAISIE!$B$5)))</f>
        <v/>
      </c>
      <c r="C1524" s="63" t="str">
        <f>IF(SAISIE!G105="","",SAISIE!$G$8)</f>
        <v/>
      </c>
      <c r="D1524" s="63" t="str">
        <f>IF(SAISIE!G105="","",SAISIE!E105)</f>
        <v/>
      </c>
      <c r="E1524" s="63" t="str">
        <f>IF(SAISIE!G105="","",SAISIE!F105)</f>
        <v/>
      </c>
      <c r="F1524" s="70" t="str">
        <f>IF(SAISIE!$G105="","",IF(SAISIE!$N105="","",SAISIE!$N105))</f>
        <v/>
      </c>
      <c r="G1524" s="63" t="str">
        <f>IF(SAISIE!G105="","",SAISIE!G105)</f>
        <v/>
      </c>
      <c r="H1524" s="63"/>
      <c r="I1524" s="63" t="str">
        <f>IF(SAISIE!$G105="","",SAISIE!$Q105)</f>
        <v/>
      </c>
      <c r="J1524" s="71" t="str">
        <f>IF(COUNTBLANK(SAISIE!$J$6:$M$6)=4,"",IF(SAISIE!G105="","",IF(SAISIE!J105&gt;0,SAISIE!$J$6,IF(SAISIE!K105&gt;0,SAISIE!$K$6,IF(SAISIE!L105&gt;0,SAISIE!$L$6,IF(SAISIE!M105&gt;0,SAISIE!$M$6,""))))))</f>
        <v/>
      </c>
      <c r="O1524" s="59" t="s">
        <v>51</v>
      </c>
    </row>
    <row r="1525" spans="1:15" x14ac:dyDescent="0.25">
      <c r="A1525" s="63" t="str">
        <f>IF(AND(G1525="",H1525=""),"SUPPR",SAISIE!$B$3)</f>
        <v>SUPPR</v>
      </c>
      <c r="B1525" s="63" t="str">
        <f>IF(SAISIE!H105="","",IF(LEN(SAISIE!B105)=1,CONCATENATE("0",SAISIE!B105,"/",SAISIE!$B$4,"/",SAISIE!$B$5),CONCATENATE(SAISIE!B105,"/",SAISIE!$B$4,"/",SAISIE!$B$5)))</f>
        <v/>
      </c>
      <c r="C1525" s="63" t="str">
        <f>IF(SAISIE!H105="","",SAISIE!$H$8)</f>
        <v/>
      </c>
      <c r="D1525" s="63" t="str">
        <f>IF(SAISIE!H105="","",SAISIE!E105)</f>
        <v/>
      </c>
      <c r="E1525" s="63" t="str">
        <f>IF(SAISIE!H105="","",SAISIE!F105)</f>
        <v/>
      </c>
      <c r="F1525" s="70" t="str">
        <f>IF(SAISIE!$H105="","",IF(SAISIE!$N105="","",SAISIE!$N105))</f>
        <v/>
      </c>
      <c r="G1525" s="63" t="str">
        <f>IF(SAISIE!H105="","",SAISIE!H105)</f>
        <v/>
      </c>
      <c r="H1525" s="63"/>
      <c r="I1525" s="63" t="str">
        <f>IF(SAISIE!$H105="","",SAISIE!$Q105)</f>
        <v/>
      </c>
      <c r="J1525" s="71" t="str">
        <f>IF(COUNTBLANK(SAISIE!$J$6:$M$6)=4,"",IF(SAISIE!H105="","",IF(SAISIE!J105&gt;0,SAISIE!$J$6,IF(SAISIE!K105&gt;0,SAISIE!$K$6,IF(SAISIE!L105&gt;0,SAISIE!$L$6,IF(SAISIE!M105&gt;0,SAISIE!$M$6,""))))))</f>
        <v/>
      </c>
      <c r="O1525" s="59" t="s">
        <v>52</v>
      </c>
    </row>
    <row r="1526" spans="1:15" x14ac:dyDescent="0.25">
      <c r="A1526" s="63" t="str">
        <f>IF(AND(G1526="",H1526=""),"SUPPR",SAISIE!$B$3)</f>
        <v>SUPPR</v>
      </c>
      <c r="B1526" s="63" t="str">
        <f>IF(SAISIE!I105="","",IF(LEN(SAISIE!B105)=1,CONCATENATE("0",SAISIE!B105,"/",SAISIE!$B$4,"/",SAISIE!$B$5),CONCATENATE(SAISIE!B105,"/",SAISIE!$B$4,"/",SAISIE!$B$5)))</f>
        <v/>
      </c>
      <c r="C1526" s="63" t="str">
        <f>IF(SAISIE!I105="","",SAISIE!$I$8)</f>
        <v/>
      </c>
      <c r="D1526" s="63" t="str">
        <f>IF(SAISIE!I105="","",SAISIE!E105)</f>
        <v/>
      </c>
      <c r="E1526" s="63" t="str">
        <f>IF(SAISIE!I105="","",SAISIE!F105)</f>
        <v/>
      </c>
      <c r="F1526" s="70" t="str">
        <f>IF(SAISIE!$I105="","",IF(SAISIE!$N105="","",SAISIE!$N105))</f>
        <v/>
      </c>
      <c r="G1526" s="63" t="str">
        <f>IF(SAISIE!I105="","",SAISIE!I105)</f>
        <v/>
      </c>
      <c r="H1526" s="63"/>
      <c r="I1526" s="63" t="str">
        <f>IF(SAISIE!$I105="","",SAISIE!$Q105)</f>
        <v/>
      </c>
      <c r="J1526" s="71" t="str">
        <f>IF(COUNTBLANK(SAISIE!$J$6:$M$6)=4,"",IF(SAISIE!I105="","",IF(SAISIE!J105&gt;0,SAISIE!$J$6,IF(SAISIE!K105&gt;0,SAISIE!$K$6,IF(SAISIE!L105&gt;0,SAISIE!$L$6,IF(SAISIE!M105&gt;0,SAISIE!$M$6,""))))))</f>
        <v/>
      </c>
      <c r="O1526" s="59" t="s">
        <v>53</v>
      </c>
    </row>
    <row r="1527" spans="1:15" x14ac:dyDescent="0.25">
      <c r="A1527" s="63" t="e">
        <f>IF(AND(G1527="",H1527=""),"SUPPR",SAISIE!$B$3)</f>
        <v>#REF!</v>
      </c>
      <c r="B1527" s="63" t="e">
        <f>IF(SAISIE!#REF!="","",IF(LEN(SAISIE!B105)=1,CONCATENATE("0",SAISIE!B105,"/",SAISIE!$B$4,"/",SAISIE!$B$5),CONCATENATE(SAISIE!B105,"/",SAISIE!$B$4,"/",SAISIE!$B$5)))</f>
        <v>#REF!</v>
      </c>
      <c r="C1527" s="63" t="e">
        <f>IF(SAISIE!#REF!="","",SAISIE!#REF!)</f>
        <v>#REF!</v>
      </c>
      <c r="D1527" s="63" t="e">
        <f>IF(SAISIE!#REF!="","",SAISIE!E105)</f>
        <v>#REF!</v>
      </c>
      <c r="E1527" s="63" t="e">
        <f>IF(SAISIE!#REF!="","",SAISIE!F105)</f>
        <v>#REF!</v>
      </c>
      <c r="F1527" s="70" t="e">
        <f>IF(SAISIE!#REF!="","",IF(SAISIE!$N105="","",SAISIE!$N105))</f>
        <v>#REF!</v>
      </c>
      <c r="G1527" s="63" t="e">
        <f>IF(SAISIE!#REF!="","",SAISIE!#REF!)</f>
        <v>#REF!</v>
      </c>
      <c r="H1527" s="63"/>
      <c r="I1527" s="63" t="e">
        <f>IF(SAISIE!#REF!="","",SAISIE!$Q105)</f>
        <v>#REF!</v>
      </c>
      <c r="J1527" s="71" t="str">
        <f>IF(COUNTBLANK(SAISIE!$J$6:$M$6)=4,"",IF(SAISIE!#REF!="","",IF(SAISIE!J105&gt;0,SAISIE!$J$6,IF(SAISIE!K105&gt;0,SAISIE!$K$6,IF(SAISIE!L105&gt;0,SAISIE!$L$6,IF(SAISIE!M105&gt;0,SAISIE!$M$6,""))))))</f>
        <v/>
      </c>
      <c r="O1527" s="59" t="s">
        <v>54</v>
      </c>
    </row>
    <row r="1528" spans="1:15" x14ac:dyDescent="0.25">
      <c r="A1528" s="63" t="e">
        <f>IF(AND(G1528="",H1528=""),"SUPPR",SAISIE!$B$3)</f>
        <v>#REF!</v>
      </c>
      <c r="B1528" s="63" t="e">
        <f>IF(SAISIE!#REF!="","",IF(LEN(SAISIE!B105)=1,CONCATENATE("0",SAISIE!B105,"/",SAISIE!$B$4,"/",SAISIE!$B$5),CONCATENATE(SAISIE!B105,"/",SAISIE!$B$4,"/",SAISIE!$B$5)))</f>
        <v>#REF!</v>
      </c>
      <c r="C1528" s="63" t="e">
        <f>IF(SAISIE!#REF!="","",SAISIE!#REF!)</f>
        <v>#REF!</v>
      </c>
      <c r="D1528" s="63" t="e">
        <f>IF(SAISIE!#REF!="","",SAISIE!E105)</f>
        <v>#REF!</v>
      </c>
      <c r="E1528" s="63" t="e">
        <f>IF(SAISIE!#REF!="","",SAISIE!F105)</f>
        <v>#REF!</v>
      </c>
      <c r="F1528" s="70" t="e">
        <f>IF(SAISIE!#REF!="","",IF(SAISIE!$N105="","",SAISIE!$N105))</f>
        <v>#REF!</v>
      </c>
      <c r="G1528" s="63" t="e">
        <f>IF(SAISIE!#REF!="","",SAISIE!#REF!)</f>
        <v>#REF!</v>
      </c>
      <c r="H1528" s="63"/>
      <c r="I1528" s="63" t="e">
        <f>IF(SAISIE!#REF!="","",SAISIE!$Q105)</f>
        <v>#REF!</v>
      </c>
      <c r="J1528" s="71" t="str">
        <f>IF(COUNTBLANK(SAISIE!$J$6:$M$6)=4,"",IF(SAISIE!#REF!="","",IF(SAISIE!J105&gt;0,SAISIE!$J$6,IF(SAISIE!K105&gt;0,SAISIE!$K$6,IF(SAISIE!L105&gt;0,SAISIE!$L$6,IF(SAISIE!M105&gt;0,SAISIE!$M$6,""))))))</f>
        <v/>
      </c>
      <c r="O1528" s="59" t="s">
        <v>55</v>
      </c>
    </row>
    <row r="1529" spans="1:15" x14ac:dyDescent="0.25">
      <c r="A1529" s="63" t="e">
        <f>IF(AND(G1529="",H1529=""),"SUPPR",SAISIE!$B$3)</f>
        <v>#REF!</v>
      </c>
      <c r="B1529" s="63" t="e">
        <f>IF(SAISIE!#REF!="","",IF(LEN(SAISIE!B105)=1,CONCATENATE("0",SAISIE!B105,"/",SAISIE!$B$4,"/",SAISIE!$B$5),CONCATENATE(SAISIE!B105,"/",SAISIE!$B$4,"/",SAISIE!$B$5)))</f>
        <v>#REF!</v>
      </c>
      <c r="C1529" s="63" t="e">
        <f>IF(SAISIE!#REF!="","",SAISIE!#REF!)</f>
        <v>#REF!</v>
      </c>
      <c r="D1529" s="63" t="e">
        <f>IF(SAISIE!#REF!="","",SAISIE!E105)</f>
        <v>#REF!</v>
      </c>
      <c r="E1529" s="63" t="e">
        <f>IF(SAISIE!#REF!="","",SAISIE!F105)</f>
        <v>#REF!</v>
      </c>
      <c r="F1529" s="70" t="e">
        <f>IF(SAISIE!#REF!="","",IF(SAISIE!$N105="","",SAISIE!$N105))</f>
        <v>#REF!</v>
      </c>
      <c r="G1529" s="63" t="e">
        <f>IF(SAISIE!#REF!="","",SAISIE!#REF!)</f>
        <v>#REF!</v>
      </c>
      <c r="H1529" s="63"/>
      <c r="I1529" s="63" t="e">
        <f>IF(SAISIE!#REF!="","",SAISIE!$Q105)</f>
        <v>#REF!</v>
      </c>
      <c r="J1529" s="71" t="str">
        <f>IF(COUNTBLANK(SAISIE!$J$6:$M$6)=4,"",IF(SAISIE!#REF!="","",IF(SAISIE!J105&gt;0,SAISIE!$J$6,IF(SAISIE!K105&gt;0,SAISIE!$K$6,IF(SAISIE!L105&gt;0,SAISIE!$L$6,IF(SAISIE!M105&gt;0,SAISIE!$M$6,""))))))</f>
        <v/>
      </c>
      <c r="O1529" s="59" t="s">
        <v>56</v>
      </c>
    </row>
    <row r="1530" spans="1:15" x14ac:dyDescent="0.25">
      <c r="A1530" s="63" t="e">
        <f>IF(AND(G1530="",H1530=""),"SUPPR",SAISIE!$B$3)</f>
        <v>#REF!</v>
      </c>
      <c r="B1530" s="63" t="e">
        <f>IF(SAISIE!#REF!="","",IF(LEN(SAISIE!B105)=1,CONCATENATE("0",SAISIE!B105,"/",SAISIE!$B$4,"/",SAISIE!$B$5),CONCATENATE(SAISIE!B105,"/",SAISIE!$B$4,"/",SAISIE!$B$5)))</f>
        <v>#REF!</v>
      </c>
      <c r="C1530" s="63" t="e">
        <f>IF(SAISIE!#REF!="","",SAISIE!#REF!)</f>
        <v>#REF!</v>
      </c>
      <c r="D1530" s="63" t="e">
        <f>IF(SAISIE!#REF!="","",SAISIE!E105)</f>
        <v>#REF!</v>
      </c>
      <c r="E1530" s="63" t="e">
        <f>IF(SAISIE!#REF!="","",SAISIE!F105)</f>
        <v>#REF!</v>
      </c>
      <c r="F1530" s="70" t="e">
        <f>IF(SAISIE!#REF!="","",IF(SAISIE!$N105="","",SAISIE!$N105))</f>
        <v>#REF!</v>
      </c>
      <c r="G1530" s="63" t="e">
        <f>IF(SAISIE!#REF!="","",SAISIE!#REF!)</f>
        <v>#REF!</v>
      </c>
      <c r="H1530" s="63"/>
      <c r="I1530" s="63" t="e">
        <f>IF(SAISIE!#REF!="","",SAISIE!$Q105)</f>
        <v>#REF!</v>
      </c>
      <c r="J1530" s="71" t="str">
        <f>IF(COUNTBLANK(SAISIE!$J$6:$M$6)=4,"",IF(SAISIE!#REF!="","",IF(SAISIE!J105&gt;0,SAISIE!$J$6,IF(SAISIE!K105&gt;0,SAISIE!$K$6,IF(SAISIE!L105&gt;0,SAISIE!$L$6,IF(SAISIE!M105&gt;0,SAISIE!$M$6,""))))))</f>
        <v/>
      </c>
      <c r="O1530" s="59" t="s">
        <v>57</v>
      </c>
    </row>
    <row r="1531" spans="1:15" x14ac:dyDescent="0.25">
      <c r="A1531" s="63" t="e">
        <f>IF(AND(G1531="",H1531=""),"SUPPR",SAISIE!$B$3)</f>
        <v>#REF!</v>
      </c>
      <c r="B1531" s="63" t="e">
        <f>IF(SAISIE!#REF!="","",IF(LEN(SAISIE!B105)=1,CONCATENATE("0",SAISIE!B105,"/",SAISIE!$B$4,"/",SAISIE!$B$5),CONCATENATE(SAISIE!B105,"/",SAISIE!$B$4,"/",SAISIE!$B$5)))</f>
        <v>#REF!</v>
      </c>
      <c r="C1531" s="63" t="e">
        <f>IF(SAISIE!#REF!="","",SAISIE!#REF!)</f>
        <v>#REF!</v>
      </c>
      <c r="D1531" s="63" t="e">
        <f>IF(SAISIE!#REF!="","",SAISIE!E105)</f>
        <v>#REF!</v>
      </c>
      <c r="E1531" s="63" t="e">
        <f>IF(SAISIE!#REF!="","",SAISIE!F105)</f>
        <v>#REF!</v>
      </c>
      <c r="F1531" s="70" t="e">
        <f>IF(SAISIE!#REF!="","",IF(SAISIE!$N105="","",SAISIE!$N105))</f>
        <v>#REF!</v>
      </c>
      <c r="G1531" s="63" t="e">
        <f>IF(SAISIE!#REF!="","",SAISIE!#REF!)</f>
        <v>#REF!</v>
      </c>
      <c r="H1531" s="63"/>
      <c r="I1531" s="63" t="e">
        <f>IF(SAISIE!#REF!="","",SAISIE!$Q105)</f>
        <v>#REF!</v>
      </c>
      <c r="J1531" s="71" t="str">
        <f>IF(COUNTBLANK(SAISIE!$J$6:$M$6)=4,"",IF(SAISIE!#REF!="","",IF(SAISIE!J105&gt;0,SAISIE!$J$6,IF(SAISIE!K105&gt;0,SAISIE!$K$6,IF(SAISIE!L105&gt;0,SAISIE!$L$6,IF(SAISIE!M105&gt;0,SAISIE!$M$6,""))))))</f>
        <v/>
      </c>
      <c r="O1531" s="59" t="s">
        <v>58</v>
      </c>
    </row>
    <row r="1532" spans="1:15" x14ac:dyDescent="0.25">
      <c r="A1532" s="63" t="e">
        <f>IF(AND(G1532="",H1532=""),"SUPPR",SAISIE!$B$3)</f>
        <v>#REF!</v>
      </c>
      <c r="B1532" s="63" t="e">
        <f>IF(SAISIE!#REF!="","",IF(LEN(SAISIE!B105)=1,CONCATENATE("0",SAISIE!B105,"/",SAISIE!$B$4,"/",SAISIE!$B$5),CONCATENATE(SAISIE!B105,"/",SAISIE!$B$4,"/",SAISIE!$B$5)))</f>
        <v>#REF!</v>
      </c>
      <c r="C1532" s="63" t="e">
        <f>IF(SAISIE!#REF!="","",SAISIE!#REF!)</f>
        <v>#REF!</v>
      </c>
      <c r="D1532" s="63" t="e">
        <f>IF(SAISIE!#REF!="","",SAISIE!E105)</f>
        <v>#REF!</v>
      </c>
      <c r="E1532" s="63" t="e">
        <f>IF(SAISIE!#REF!="","",SAISIE!F105)</f>
        <v>#REF!</v>
      </c>
      <c r="F1532" s="70" t="e">
        <f>IF(SAISIE!#REF!="","",IF(SAISIE!$N105="","",SAISIE!$N105))</f>
        <v>#REF!</v>
      </c>
      <c r="G1532" s="63" t="e">
        <f>IF(SAISIE!#REF!="","",SAISIE!#REF!)</f>
        <v>#REF!</v>
      </c>
      <c r="H1532" s="63"/>
      <c r="I1532" s="63" t="e">
        <f>IF(SAISIE!#REF!="","",SAISIE!$Q105)</f>
        <v>#REF!</v>
      </c>
      <c r="J1532" s="71" t="str">
        <f>IF(COUNTBLANK(SAISIE!$J$6:$M$6)=4,"",IF(SAISIE!#REF!="","",IF(SAISIE!J105&gt;0,SAISIE!$J$6,IF(SAISIE!K105&gt;0,SAISIE!$K$6,IF(SAISIE!L105&gt;0,SAISIE!$L$6,IF(SAISIE!M105&gt;0,SAISIE!$M$6,""))))))</f>
        <v/>
      </c>
      <c r="O1532" s="59" t="s">
        <v>59</v>
      </c>
    </row>
    <row r="1533" spans="1:15" x14ac:dyDescent="0.25">
      <c r="A1533" s="63" t="e">
        <f>IF(AND(G1533="",H1533=""),"SUPPR",SAISIE!$B$3)</f>
        <v>#REF!</v>
      </c>
      <c r="B1533" s="63" t="e">
        <f>IF(SAISIE!#REF!="","",IF(LEN(SAISIE!B105)=1,CONCATENATE("0",SAISIE!B105,"/",SAISIE!$B$4,"/",SAISIE!$B$5),CONCATENATE(SAISIE!B105,"/",SAISIE!$B$4,"/",SAISIE!$B$5)))</f>
        <v>#REF!</v>
      </c>
      <c r="C1533" s="63" t="e">
        <f>IF(SAISIE!#REF!="","",SAISIE!#REF!)</f>
        <v>#REF!</v>
      </c>
      <c r="D1533" s="63" t="e">
        <f>IF(SAISIE!#REF!="","",SAISIE!E105)</f>
        <v>#REF!</v>
      </c>
      <c r="E1533" s="63" t="e">
        <f>IF(SAISIE!#REF!="","",SAISIE!F105)</f>
        <v>#REF!</v>
      </c>
      <c r="F1533" s="70" t="e">
        <f>IF(SAISIE!#REF!="","",IF(SAISIE!$N105="","",SAISIE!$N105))</f>
        <v>#REF!</v>
      </c>
      <c r="G1533" s="63" t="e">
        <f>IF(SAISIE!#REF!="","",SAISIE!#REF!)</f>
        <v>#REF!</v>
      </c>
      <c r="H1533" s="63"/>
      <c r="I1533" s="63" t="e">
        <f>IF(SAISIE!#REF!="","",SAISIE!$Q105)</f>
        <v>#REF!</v>
      </c>
      <c r="J1533" s="71" t="str">
        <f>IF(COUNTBLANK(SAISIE!$J$6:$M$6)=4,"",IF(SAISIE!#REF!="","",IF(SAISIE!J105&gt;0,SAISIE!$J$6,IF(SAISIE!K105&gt;0,SAISIE!$K$6,IF(SAISIE!L105&gt;0,SAISIE!$L$6,IF(SAISIE!M105&gt;0,SAISIE!$M$6,""))))))</f>
        <v/>
      </c>
      <c r="O1533" s="59" t="s">
        <v>60</v>
      </c>
    </row>
    <row r="1534" spans="1:15" x14ac:dyDescent="0.25">
      <c r="A1534" s="63" t="str">
        <f>IF(AND(G1534="",H1534=""),"SUPPR",SAISIE!$B$3)</f>
        <v>SUPPR</v>
      </c>
      <c r="B1534" s="63" t="str">
        <f>IF(SAISIE!J105="","",IF(LEN(SAISIE!B105)=1,CONCATENATE("0",SAISIE!B105,"/",SAISIE!$B$4,"/",SAISIE!$B$5),CONCATENATE(SAISIE!B105,"/",SAISIE!$B$4,"/",SAISIE!$B$5)))</f>
        <v/>
      </c>
      <c r="C1534" s="63" t="str">
        <f>IF(SAISIE!J105="","",SAISIE!$J$8)</f>
        <v/>
      </c>
      <c r="D1534" s="63" t="str">
        <f>IF(SAISIE!J105="","",SAISIE!E105)</f>
        <v/>
      </c>
      <c r="E1534" s="63" t="str">
        <f>IF(SAISIE!J105="","",SAISIE!F105)</f>
        <v/>
      </c>
      <c r="F1534" s="70" t="str">
        <f>IF(SAISIE!$J105="","",IF(SAISIE!$N105="","",SAISIE!$N105))</f>
        <v/>
      </c>
      <c r="G1534" s="63" t="str">
        <f>IF(SAISIE!J105="","",SAISIE!J105)</f>
        <v/>
      </c>
      <c r="H1534" s="63"/>
      <c r="I1534" s="72"/>
      <c r="J1534" s="71"/>
      <c r="O1534" s="73"/>
    </row>
    <row r="1535" spans="1:15" x14ac:dyDescent="0.25">
      <c r="A1535" s="63" t="str">
        <f>IF(AND(G1535="",H1535=""),"SUPPR",SAISIE!$B$3)</f>
        <v>SUPPR</v>
      </c>
      <c r="B1535" s="63" t="str">
        <f>IF(SAISIE!K105="","",IF(LEN(SAISIE!B105)=1,CONCATENATE("0",SAISIE!B105,"/",SAISIE!$B$4,"/",SAISIE!$B$5),CONCATENATE(SAISIE!B105,"/",SAISIE!$B$4,"/",SAISIE!$B$5)))</f>
        <v/>
      </c>
      <c r="C1535" s="63" t="str">
        <f>IF(SAISIE!K105="","",SAISIE!$K$8)</f>
        <v/>
      </c>
      <c r="D1535" s="63" t="str">
        <f>IF(SAISIE!K105="","",SAISIE!E105)</f>
        <v/>
      </c>
      <c r="E1535" s="63" t="str">
        <f>IF(SAISIE!K105="","",SAISIE!F105)</f>
        <v/>
      </c>
      <c r="F1535" s="70" t="str">
        <f>IF(SAISIE!$K105="","",IF(SAISIE!$N105="","",SAISIE!$N105))</f>
        <v/>
      </c>
      <c r="G1535" s="63" t="str">
        <f>IF(SAISIE!K105="","",SAISIE!K105)</f>
        <v/>
      </c>
      <c r="H1535" s="63"/>
      <c r="I1535" s="72"/>
      <c r="J1535" s="71"/>
    </row>
    <row r="1536" spans="1:15" x14ac:dyDescent="0.25">
      <c r="A1536" s="63" t="str">
        <f>IF(AND(G1536="",H1536=""),"SUPPR",SAISIE!$B$3)</f>
        <v>SUPPR</v>
      </c>
      <c r="B1536" s="63" t="str">
        <f>IF(SAISIE!L105="","",IF(LEN(SAISIE!B105)=1,CONCATENATE("0",SAISIE!B105,"/",SAISIE!$B$4,"/",SAISIE!$B$5),CONCATENATE(SAISIE!B105,"/",SAISIE!$B$4,"/",SAISIE!$B$5)))</f>
        <v/>
      </c>
      <c r="C1536" s="63" t="str">
        <f>IF(SAISIE!L105="","",SAISIE!$L$8)</f>
        <v/>
      </c>
      <c r="D1536" s="63" t="str">
        <f>IF(SAISIE!L105="","",SAISIE!E105)</f>
        <v/>
      </c>
      <c r="E1536" s="63" t="str">
        <f>IF(SAISIE!L105="","",SAISIE!F105)</f>
        <v/>
      </c>
      <c r="F1536" s="70" t="str">
        <f>IF(SAISIE!$L105="","",IF(SAISIE!$N105="","",SAISIE!$N105))</f>
        <v/>
      </c>
      <c r="G1536" s="63" t="str">
        <f>IF(SAISIE!L105="","",SAISIE!L105)</f>
        <v/>
      </c>
      <c r="H1536" s="63"/>
      <c r="I1536" s="72"/>
      <c r="J1536" s="71"/>
    </row>
    <row r="1537" spans="1:15" x14ac:dyDescent="0.25">
      <c r="A1537" s="63" t="str">
        <f>IF(AND(G1537="",H1537=""),"SUPPR",SAISIE!$B$3)</f>
        <v>SUPPR</v>
      </c>
      <c r="B1537" s="63" t="str">
        <f>IF(SAISIE!M105="","",IF(LEN(SAISIE!B105)=1,CONCATENATE("0",SAISIE!B105,"/",SAISIE!$B$4,"/",SAISIE!$B$5),CONCATENATE(SAISIE!B105,"/",SAISIE!$B$4,"/",SAISIE!$B$5)))</f>
        <v/>
      </c>
      <c r="C1537" s="74" t="str">
        <f>IF(SAISIE!M105="","",SAISIE!$M$8)</f>
        <v/>
      </c>
      <c r="D1537" s="74" t="str">
        <f>IF(SAISIE!M105="","",SAISIE!E105)</f>
        <v/>
      </c>
      <c r="E1537" s="74" t="str">
        <f>IF(SAISIE!M105="","",SAISIE!F105)</f>
        <v/>
      </c>
      <c r="F1537" s="75" t="str">
        <f>IF(SAISIE!$M105="","",IF(SAISIE!$N105="","",SAISIE!$N105))</f>
        <v/>
      </c>
      <c r="G1537" s="74" t="str">
        <f>IF(SAISIE!M105="","",SAISIE!M105)</f>
        <v/>
      </c>
      <c r="H1537" s="76"/>
      <c r="I1537" s="77"/>
      <c r="J1537" s="78"/>
    </row>
    <row r="1538" spans="1:15" x14ac:dyDescent="0.25">
      <c r="A1538" s="63" t="str">
        <f>IF(AND(G1538="",H1538=""),"SUPPR",SAISIE!$B$3)</f>
        <v>SUPPR</v>
      </c>
      <c r="B1538" s="64" t="str">
        <f>IF(SAISIE!B106="","",IF(LEN(SAISIE!B106)=1,CONCATENATE("0",SAISIE!B106,"/",SAISIE!$B$4,"/",SAISIE!$B$5),CONCATENATE(SAISIE!B106,"/",SAISIE!$B$4,"/",SAISIE!$B$5)))</f>
        <v/>
      </c>
      <c r="C1538" s="64" t="str">
        <f>IF(SAISIE!B106="","",CONCATENATE($M$2,SAISIE!C106))</f>
        <v/>
      </c>
      <c r="D1538" s="64" t="str">
        <f>IF(SAISIE!B106="","",SAISIE!E106)</f>
        <v/>
      </c>
      <c r="E1538" s="64" t="str">
        <f>IF(SAISIE!B106="","",SAISIE!F106)</f>
        <v/>
      </c>
      <c r="F1538" s="65" t="str">
        <f>IF(A1538="SUPPR","",IF(SAISIE!$N106="","",SAISIE!$N106))</f>
        <v/>
      </c>
      <c r="G1538" s="64"/>
      <c r="H1538" s="64" t="str">
        <f>IF(SAISIE!B106="","",SAISIE!D106)</f>
        <v/>
      </c>
      <c r="I1538" s="66"/>
      <c r="J1538" s="67" t="str">
        <f>IF(AZ106="","","")</f>
        <v/>
      </c>
      <c r="O1538" s="69">
        <f>O1522+1</f>
        <v>106</v>
      </c>
    </row>
    <row r="1539" spans="1:15" x14ac:dyDescent="0.25">
      <c r="A1539" s="63" t="str">
        <f>IF(AND(G1539="",H1539=""),"SUPPR",SAISIE!$B$3)</f>
        <v>SUPPR</v>
      </c>
      <c r="B1539" s="63" t="str">
        <f>IF(SAISIE!P106="","",IF(LEN(SAISIE!B106)=1,CONCATENATE("0",SAISIE!B106,"/",SAISIE!$B$4,"/",SAISIE!$B$5),CONCATENATE(SAISIE!B106,"/",SAISIE!$B$4,"/",SAISIE!$B$5)))</f>
        <v/>
      </c>
      <c r="C1539" s="63" t="str">
        <f>IF(SAISIE!P106="","",SAISIE!O106)</f>
        <v/>
      </c>
      <c r="D1539" s="63" t="str">
        <f>IF(SAISIE!P106="","",SAISIE!E106)</f>
        <v/>
      </c>
      <c r="E1539" s="63" t="str">
        <f>IF(SAISIE!P106="","",SAISIE!F106)</f>
        <v/>
      </c>
      <c r="F1539" s="70" t="str">
        <f>IF(SAISIE!$P106="","",IF(SAISIE!$N106="","",SAISIE!$N106))</f>
        <v/>
      </c>
      <c r="G1539" s="63" t="str">
        <f>IF(SAISIE!P106="","",SAISIE!P106)</f>
        <v/>
      </c>
      <c r="H1539" s="63"/>
      <c r="I1539" s="63" t="str">
        <f>IF(SAISIE!$P106="","",SAISIE!$Q106)</f>
        <v/>
      </c>
      <c r="J1539" s="71" t="str">
        <f>IF(COUNTBLANK(SAISIE!$J$6:$M$6)=4,"",IF(SAISIE!P106="","",IF(SAISIE!J106&gt;0,SAISIE!$J$6,IF(SAISIE!K106&gt;0,SAISIE!$K$6,IF(SAISIE!L106&gt;0,SAISIE!$L$6,IF(SAISIE!M106&gt;0,SAISIE!$M$6,""))))))</f>
        <v/>
      </c>
      <c r="O1539" s="59" t="s">
        <v>50</v>
      </c>
    </row>
    <row r="1540" spans="1:15" x14ac:dyDescent="0.25">
      <c r="A1540" s="63" t="str">
        <f>IF(AND(G1540="",H1540=""),"SUPPR",SAISIE!$B$3)</f>
        <v>SUPPR</v>
      </c>
      <c r="B1540" s="63" t="str">
        <f>IF(SAISIE!G106="","",IF(LEN(SAISIE!B106)=1,CONCATENATE("0",SAISIE!B106,"/",SAISIE!$B$4,"/",SAISIE!$B$5),CONCATENATE(SAISIE!B106,"/",SAISIE!$B$4,"/",SAISIE!$B$5)))</f>
        <v/>
      </c>
      <c r="C1540" s="63" t="str">
        <f>IF(SAISIE!G106="","",SAISIE!$G$8)</f>
        <v/>
      </c>
      <c r="D1540" s="63" t="str">
        <f>IF(SAISIE!G106="","",SAISIE!E106)</f>
        <v/>
      </c>
      <c r="E1540" s="63" t="str">
        <f>IF(SAISIE!G106="","",SAISIE!F106)</f>
        <v/>
      </c>
      <c r="F1540" s="70" t="str">
        <f>IF(SAISIE!$G106="","",IF(SAISIE!$N106="","",SAISIE!$N106))</f>
        <v/>
      </c>
      <c r="G1540" s="63" t="str">
        <f>IF(SAISIE!G106="","",SAISIE!G106)</f>
        <v/>
      </c>
      <c r="H1540" s="63"/>
      <c r="I1540" s="63" t="str">
        <f>IF(SAISIE!$G106="","",SAISIE!$Q106)</f>
        <v/>
      </c>
      <c r="J1540" s="71" t="str">
        <f>IF(COUNTBLANK(SAISIE!$J$6:$M$6)=4,"",IF(SAISIE!G106="","",IF(SAISIE!J106&gt;0,SAISIE!$J$6,IF(SAISIE!K106&gt;0,SAISIE!$K$6,IF(SAISIE!L106&gt;0,SAISIE!$L$6,IF(SAISIE!M106&gt;0,SAISIE!$M$6,""))))))</f>
        <v/>
      </c>
      <c r="O1540" s="59" t="s">
        <v>51</v>
      </c>
    </row>
    <row r="1541" spans="1:15" x14ac:dyDescent="0.25">
      <c r="A1541" s="63" t="str">
        <f>IF(AND(G1541="",H1541=""),"SUPPR",SAISIE!$B$3)</f>
        <v>SUPPR</v>
      </c>
      <c r="B1541" s="63" t="str">
        <f>IF(SAISIE!H106="","",IF(LEN(SAISIE!B106)=1,CONCATENATE("0",SAISIE!B106,"/",SAISIE!$B$4,"/",SAISIE!$B$5),CONCATENATE(SAISIE!B106,"/",SAISIE!$B$4,"/",SAISIE!$B$5)))</f>
        <v/>
      </c>
      <c r="C1541" s="63" t="str">
        <f>IF(SAISIE!H106="","",SAISIE!$H$8)</f>
        <v/>
      </c>
      <c r="D1541" s="63" t="str">
        <f>IF(SAISIE!H106="","",SAISIE!E106)</f>
        <v/>
      </c>
      <c r="E1541" s="63" t="str">
        <f>IF(SAISIE!H106="","",SAISIE!F106)</f>
        <v/>
      </c>
      <c r="F1541" s="70" t="str">
        <f>IF(SAISIE!$H106="","",IF(SAISIE!$N106="","",SAISIE!$N106))</f>
        <v/>
      </c>
      <c r="G1541" s="63" t="str">
        <f>IF(SAISIE!H106="","",SAISIE!H106)</f>
        <v/>
      </c>
      <c r="H1541" s="63"/>
      <c r="I1541" s="63" t="str">
        <f>IF(SAISIE!$H106="","",SAISIE!$Q106)</f>
        <v/>
      </c>
      <c r="J1541" s="71" t="str">
        <f>IF(COUNTBLANK(SAISIE!$J$6:$M$6)=4,"",IF(SAISIE!H106="","",IF(SAISIE!J106&gt;0,SAISIE!$J$6,IF(SAISIE!K106&gt;0,SAISIE!$K$6,IF(SAISIE!L106&gt;0,SAISIE!$L$6,IF(SAISIE!M106&gt;0,SAISIE!$M$6,""))))))</f>
        <v/>
      </c>
      <c r="O1541" s="59" t="s">
        <v>52</v>
      </c>
    </row>
    <row r="1542" spans="1:15" x14ac:dyDescent="0.25">
      <c r="A1542" s="63" t="str">
        <f>IF(AND(G1542="",H1542=""),"SUPPR",SAISIE!$B$3)</f>
        <v>SUPPR</v>
      </c>
      <c r="B1542" s="63" t="str">
        <f>IF(SAISIE!I106="","",IF(LEN(SAISIE!B106)=1,CONCATENATE("0",SAISIE!B106,"/",SAISIE!$B$4,"/",SAISIE!$B$5),CONCATENATE(SAISIE!B106,"/",SAISIE!$B$4,"/",SAISIE!$B$5)))</f>
        <v/>
      </c>
      <c r="C1542" s="63" t="str">
        <f>IF(SAISIE!I106="","",SAISIE!$I$8)</f>
        <v/>
      </c>
      <c r="D1542" s="63" t="str">
        <f>IF(SAISIE!I106="","",SAISIE!E106)</f>
        <v/>
      </c>
      <c r="E1542" s="63" t="str">
        <f>IF(SAISIE!I106="","",SAISIE!F106)</f>
        <v/>
      </c>
      <c r="F1542" s="70" t="str">
        <f>IF(SAISIE!$I106="","",IF(SAISIE!$N106="","",SAISIE!$N106))</f>
        <v/>
      </c>
      <c r="G1542" s="63" t="str">
        <f>IF(SAISIE!I106="","",SAISIE!I106)</f>
        <v/>
      </c>
      <c r="H1542" s="63"/>
      <c r="I1542" s="63" t="str">
        <f>IF(SAISIE!$I106="","",SAISIE!$Q106)</f>
        <v/>
      </c>
      <c r="J1542" s="71" t="str">
        <f>IF(COUNTBLANK(SAISIE!$J$6:$M$6)=4,"",IF(SAISIE!I106="","",IF(SAISIE!J106&gt;0,SAISIE!$J$6,IF(SAISIE!K106&gt;0,SAISIE!$K$6,IF(SAISIE!L106&gt;0,SAISIE!$L$6,IF(SAISIE!M106&gt;0,SAISIE!$M$6,""))))))</f>
        <v/>
      </c>
      <c r="O1542" s="59" t="s">
        <v>53</v>
      </c>
    </row>
    <row r="1543" spans="1:15" x14ac:dyDescent="0.25">
      <c r="A1543" s="63" t="e">
        <f>IF(AND(G1543="",H1543=""),"SUPPR",SAISIE!$B$3)</f>
        <v>#REF!</v>
      </c>
      <c r="B1543" s="63" t="e">
        <f>IF(SAISIE!#REF!="","",IF(LEN(SAISIE!B106)=1,CONCATENATE("0",SAISIE!B106,"/",SAISIE!$B$4,"/",SAISIE!$B$5),CONCATENATE(SAISIE!B106,"/",SAISIE!$B$4,"/",SAISIE!$B$5)))</f>
        <v>#REF!</v>
      </c>
      <c r="C1543" s="63" t="e">
        <f>IF(SAISIE!#REF!="","",SAISIE!#REF!)</f>
        <v>#REF!</v>
      </c>
      <c r="D1543" s="63" t="e">
        <f>IF(SAISIE!#REF!="","",SAISIE!E106)</f>
        <v>#REF!</v>
      </c>
      <c r="E1543" s="63" t="e">
        <f>IF(SAISIE!#REF!="","",SAISIE!F106)</f>
        <v>#REF!</v>
      </c>
      <c r="F1543" s="70" t="e">
        <f>IF(SAISIE!#REF!="","",IF(SAISIE!$N106="","",SAISIE!$N106))</f>
        <v>#REF!</v>
      </c>
      <c r="G1543" s="63" t="e">
        <f>IF(SAISIE!#REF!="","",SAISIE!#REF!)</f>
        <v>#REF!</v>
      </c>
      <c r="H1543" s="63"/>
      <c r="I1543" s="63" t="e">
        <f>IF(SAISIE!#REF!="","",SAISIE!$Q106)</f>
        <v>#REF!</v>
      </c>
      <c r="J1543" s="71" t="str">
        <f>IF(COUNTBLANK(SAISIE!$J$6:$M$6)=4,"",IF(SAISIE!#REF!="","",IF(SAISIE!J106&gt;0,SAISIE!$J$6,IF(SAISIE!K106&gt;0,SAISIE!$K$6,IF(SAISIE!L106&gt;0,SAISIE!$L$6,IF(SAISIE!M106&gt;0,SAISIE!$M$6,""))))))</f>
        <v/>
      </c>
      <c r="O1543" s="59" t="s">
        <v>54</v>
      </c>
    </row>
    <row r="1544" spans="1:15" x14ac:dyDescent="0.25">
      <c r="A1544" s="63" t="e">
        <f>IF(AND(G1544="",H1544=""),"SUPPR",SAISIE!$B$3)</f>
        <v>#REF!</v>
      </c>
      <c r="B1544" s="63" t="e">
        <f>IF(SAISIE!#REF!="","",IF(LEN(SAISIE!B106)=1,CONCATENATE("0",SAISIE!B106,"/",SAISIE!$B$4,"/",SAISIE!$B$5),CONCATENATE(SAISIE!B106,"/",SAISIE!$B$4,"/",SAISIE!$B$5)))</f>
        <v>#REF!</v>
      </c>
      <c r="C1544" s="63" t="e">
        <f>IF(SAISIE!#REF!="","",SAISIE!#REF!)</f>
        <v>#REF!</v>
      </c>
      <c r="D1544" s="63" t="e">
        <f>IF(SAISIE!#REF!="","",SAISIE!E106)</f>
        <v>#REF!</v>
      </c>
      <c r="E1544" s="63" t="e">
        <f>IF(SAISIE!#REF!="","",SAISIE!F106)</f>
        <v>#REF!</v>
      </c>
      <c r="F1544" s="70" t="e">
        <f>IF(SAISIE!#REF!="","",IF(SAISIE!$N106="","",SAISIE!$N106))</f>
        <v>#REF!</v>
      </c>
      <c r="G1544" s="63" t="e">
        <f>IF(SAISIE!#REF!="","",SAISIE!#REF!)</f>
        <v>#REF!</v>
      </c>
      <c r="H1544" s="63"/>
      <c r="I1544" s="63" t="e">
        <f>IF(SAISIE!#REF!="","",SAISIE!$Q106)</f>
        <v>#REF!</v>
      </c>
      <c r="J1544" s="71" t="str">
        <f>IF(COUNTBLANK(SAISIE!$J$6:$M$6)=4,"",IF(SAISIE!#REF!="","",IF(SAISIE!J106&gt;0,SAISIE!$J$6,IF(SAISIE!K106&gt;0,SAISIE!$K$6,IF(SAISIE!L106&gt;0,SAISIE!$L$6,IF(SAISIE!M106&gt;0,SAISIE!$M$6,""))))))</f>
        <v/>
      </c>
      <c r="O1544" s="59" t="s">
        <v>55</v>
      </c>
    </row>
    <row r="1545" spans="1:15" x14ac:dyDescent="0.25">
      <c r="A1545" s="63" t="e">
        <f>IF(AND(G1545="",H1545=""),"SUPPR",SAISIE!$B$3)</f>
        <v>#REF!</v>
      </c>
      <c r="B1545" s="63" t="e">
        <f>IF(SAISIE!#REF!="","",IF(LEN(SAISIE!B106)=1,CONCATENATE("0",SAISIE!B106,"/",SAISIE!$B$4,"/",SAISIE!$B$5),CONCATENATE(SAISIE!B106,"/",SAISIE!$B$4,"/",SAISIE!$B$5)))</f>
        <v>#REF!</v>
      </c>
      <c r="C1545" s="63" t="e">
        <f>IF(SAISIE!#REF!="","",SAISIE!#REF!)</f>
        <v>#REF!</v>
      </c>
      <c r="D1545" s="63" t="e">
        <f>IF(SAISIE!#REF!="","",SAISIE!E106)</f>
        <v>#REF!</v>
      </c>
      <c r="E1545" s="63" t="e">
        <f>IF(SAISIE!#REF!="","",SAISIE!F106)</f>
        <v>#REF!</v>
      </c>
      <c r="F1545" s="70" t="e">
        <f>IF(SAISIE!#REF!="","",IF(SAISIE!$N106="","",SAISIE!$N106))</f>
        <v>#REF!</v>
      </c>
      <c r="G1545" s="63" t="e">
        <f>IF(SAISIE!#REF!="","",SAISIE!#REF!)</f>
        <v>#REF!</v>
      </c>
      <c r="H1545" s="63"/>
      <c r="I1545" s="63" t="e">
        <f>IF(SAISIE!#REF!="","",SAISIE!$Q106)</f>
        <v>#REF!</v>
      </c>
      <c r="J1545" s="71" t="str">
        <f>IF(COUNTBLANK(SAISIE!$J$6:$M$6)=4,"",IF(SAISIE!#REF!="","",IF(SAISIE!J106&gt;0,SAISIE!$J$6,IF(SAISIE!K106&gt;0,SAISIE!$K$6,IF(SAISIE!L106&gt;0,SAISIE!$L$6,IF(SAISIE!M106&gt;0,SAISIE!$M$6,""))))))</f>
        <v/>
      </c>
      <c r="O1545" s="59" t="s">
        <v>56</v>
      </c>
    </row>
    <row r="1546" spans="1:15" x14ac:dyDescent="0.25">
      <c r="A1546" s="63" t="e">
        <f>IF(AND(G1546="",H1546=""),"SUPPR",SAISIE!$B$3)</f>
        <v>#REF!</v>
      </c>
      <c r="B1546" s="63" t="e">
        <f>IF(SAISIE!#REF!="","",IF(LEN(SAISIE!B106)=1,CONCATENATE("0",SAISIE!B106,"/",SAISIE!$B$4,"/",SAISIE!$B$5),CONCATENATE(SAISIE!B106,"/",SAISIE!$B$4,"/",SAISIE!$B$5)))</f>
        <v>#REF!</v>
      </c>
      <c r="C1546" s="63" t="e">
        <f>IF(SAISIE!#REF!="","",SAISIE!#REF!)</f>
        <v>#REF!</v>
      </c>
      <c r="D1546" s="63" t="e">
        <f>IF(SAISIE!#REF!="","",SAISIE!E106)</f>
        <v>#REF!</v>
      </c>
      <c r="E1546" s="63" t="e">
        <f>IF(SAISIE!#REF!="","",SAISIE!F106)</f>
        <v>#REF!</v>
      </c>
      <c r="F1546" s="70" t="e">
        <f>IF(SAISIE!#REF!="","",IF(SAISIE!$N106="","",SAISIE!$N106))</f>
        <v>#REF!</v>
      </c>
      <c r="G1546" s="63" t="e">
        <f>IF(SAISIE!#REF!="","",SAISIE!#REF!)</f>
        <v>#REF!</v>
      </c>
      <c r="H1546" s="63"/>
      <c r="I1546" s="63" t="e">
        <f>IF(SAISIE!#REF!="","",SAISIE!$Q106)</f>
        <v>#REF!</v>
      </c>
      <c r="J1546" s="71" t="str">
        <f>IF(COUNTBLANK(SAISIE!$J$6:$M$6)=4,"",IF(SAISIE!#REF!="","",IF(SAISIE!J106&gt;0,SAISIE!$J$6,IF(SAISIE!K106&gt;0,SAISIE!$K$6,IF(SAISIE!L106&gt;0,SAISIE!$L$6,IF(SAISIE!M106&gt;0,SAISIE!$M$6,""))))))</f>
        <v/>
      </c>
      <c r="O1546" s="59" t="s">
        <v>57</v>
      </c>
    </row>
    <row r="1547" spans="1:15" x14ac:dyDescent="0.25">
      <c r="A1547" s="63" t="e">
        <f>IF(AND(G1547="",H1547=""),"SUPPR",SAISIE!$B$3)</f>
        <v>#REF!</v>
      </c>
      <c r="B1547" s="63" t="e">
        <f>IF(SAISIE!#REF!="","",IF(LEN(SAISIE!B106)=1,CONCATENATE("0",SAISIE!B106,"/",SAISIE!$B$4,"/",SAISIE!$B$5),CONCATENATE(SAISIE!B106,"/",SAISIE!$B$4,"/",SAISIE!$B$5)))</f>
        <v>#REF!</v>
      </c>
      <c r="C1547" s="63" t="e">
        <f>IF(SAISIE!#REF!="","",SAISIE!#REF!)</f>
        <v>#REF!</v>
      </c>
      <c r="D1547" s="63" t="e">
        <f>IF(SAISIE!#REF!="","",SAISIE!E106)</f>
        <v>#REF!</v>
      </c>
      <c r="E1547" s="63" t="e">
        <f>IF(SAISIE!#REF!="","",SAISIE!F106)</f>
        <v>#REF!</v>
      </c>
      <c r="F1547" s="70" t="e">
        <f>IF(SAISIE!#REF!="","",IF(SAISIE!$N106="","",SAISIE!$N106))</f>
        <v>#REF!</v>
      </c>
      <c r="G1547" s="63" t="e">
        <f>IF(SAISIE!#REF!="","",SAISIE!#REF!)</f>
        <v>#REF!</v>
      </c>
      <c r="H1547" s="63"/>
      <c r="I1547" s="63" t="e">
        <f>IF(SAISIE!#REF!="","",SAISIE!$Q106)</f>
        <v>#REF!</v>
      </c>
      <c r="J1547" s="71" t="str">
        <f>IF(COUNTBLANK(SAISIE!$J$6:$M$6)=4,"",IF(SAISIE!#REF!="","",IF(SAISIE!J106&gt;0,SAISIE!$J$6,IF(SAISIE!K106&gt;0,SAISIE!$K$6,IF(SAISIE!L106&gt;0,SAISIE!$L$6,IF(SAISIE!M106&gt;0,SAISIE!$M$6,""))))))</f>
        <v/>
      </c>
      <c r="O1547" s="59" t="s">
        <v>58</v>
      </c>
    </row>
    <row r="1548" spans="1:15" x14ac:dyDescent="0.25">
      <c r="A1548" s="63" t="e">
        <f>IF(AND(G1548="",H1548=""),"SUPPR",SAISIE!$B$3)</f>
        <v>#REF!</v>
      </c>
      <c r="B1548" s="63" t="e">
        <f>IF(SAISIE!#REF!="","",IF(LEN(SAISIE!B106)=1,CONCATENATE("0",SAISIE!B106,"/",SAISIE!$B$4,"/",SAISIE!$B$5),CONCATENATE(SAISIE!B106,"/",SAISIE!$B$4,"/",SAISIE!$B$5)))</f>
        <v>#REF!</v>
      </c>
      <c r="C1548" s="63" t="e">
        <f>IF(SAISIE!#REF!="","",SAISIE!#REF!)</f>
        <v>#REF!</v>
      </c>
      <c r="D1548" s="63" t="e">
        <f>IF(SAISIE!#REF!="","",SAISIE!E106)</f>
        <v>#REF!</v>
      </c>
      <c r="E1548" s="63" t="e">
        <f>IF(SAISIE!#REF!="","",SAISIE!F106)</f>
        <v>#REF!</v>
      </c>
      <c r="F1548" s="70" t="e">
        <f>IF(SAISIE!#REF!="","",IF(SAISIE!$N106="","",SAISIE!$N106))</f>
        <v>#REF!</v>
      </c>
      <c r="G1548" s="63" t="e">
        <f>IF(SAISIE!#REF!="","",SAISIE!#REF!)</f>
        <v>#REF!</v>
      </c>
      <c r="H1548" s="63"/>
      <c r="I1548" s="63" t="e">
        <f>IF(SAISIE!#REF!="","",SAISIE!$Q106)</f>
        <v>#REF!</v>
      </c>
      <c r="J1548" s="71" t="str">
        <f>IF(COUNTBLANK(SAISIE!$J$6:$M$6)=4,"",IF(SAISIE!#REF!="","",IF(SAISIE!J106&gt;0,SAISIE!$J$6,IF(SAISIE!K106&gt;0,SAISIE!$K$6,IF(SAISIE!L106&gt;0,SAISIE!$L$6,IF(SAISIE!M106&gt;0,SAISIE!$M$6,""))))))</f>
        <v/>
      </c>
      <c r="O1548" s="59" t="s">
        <v>59</v>
      </c>
    </row>
    <row r="1549" spans="1:15" x14ac:dyDescent="0.25">
      <c r="A1549" s="63" t="e">
        <f>IF(AND(G1549="",H1549=""),"SUPPR",SAISIE!$B$3)</f>
        <v>#REF!</v>
      </c>
      <c r="B1549" s="63" t="e">
        <f>IF(SAISIE!#REF!="","",IF(LEN(SAISIE!B106)=1,CONCATENATE("0",SAISIE!B106,"/",SAISIE!$B$4,"/",SAISIE!$B$5),CONCATENATE(SAISIE!B106,"/",SAISIE!$B$4,"/",SAISIE!$B$5)))</f>
        <v>#REF!</v>
      </c>
      <c r="C1549" s="63" t="e">
        <f>IF(SAISIE!#REF!="","",SAISIE!#REF!)</f>
        <v>#REF!</v>
      </c>
      <c r="D1549" s="63" t="e">
        <f>IF(SAISIE!#REF!="","",SAISIE!E106)</f>
        <v>#REF!</v>
      </c>
      <c r="E1549" s="63" t="e">
        <f>IF(SAISIE!#REF!="","",SAISIE!F106)</f>
        <v>#REF!</v>
      </c>
      <c r="F1549" s="70" t="e">
        <f>IF(SAISIE!#REF!="","",IF(SAISIE!$N106="","",SAISIE!$N106))</f>
        <v>#REF!</v>
      </c>
      <c r="G1549" s="63" t="e">
        <f>IF(SAISIE!#REF!="","",SAISIE!#REF!)</f>
        <v>#REF!</v>
      </c>
      <c r="H1549" s="63"/>
      <c r="I1549" s="63" t="e">
        <f>IF(SAISIE!#REF!="","",SAISIE!$Q106)</f>
        <v>#REF!</v>
      </c>
      <c r="J1549" s="71" t="str">
        <f>IF(COUNTBLANK(SAISIE!$J$6:$M$6)=4,"",IF(SAISIE!#REF!="","",IF(SAISIE!J106&gt;0,SAISIE!$J$6,IF(SAISIE!K106&gt;0,SAISIE!$K$6,IF(SAISIE!L106&gt;0,SAISIE!$L$6,IF(SAISIE!M106&gt;0,SAISIE!$M$6,""))))))</f>
        <v/>
      </c>
      <c r="O1549" s="59" t="s">
        <v>60</v>
      </c>
    </row>
    <row r="1550" spans="1:15" x14ac:dyDescent="0.25">
      <c r="A1550" s="63" t="str">
        <f>IF(AND(G1550="",H1550=""),"SUPPR",SAISIE!$B$3)</f>
        <v>SUPPR</v>
      </c>
      <c r="B1550" s="63" t="str">
        <f>IF(SAISIE!J106="","",IF(LEN(SAISIE!B106)=1,CONCATENATE("0",SAISIE!B106,"/",SAISIE!$B$4,"/",SAISIE!$B$5),CONCATENATE(SAISIE!B106,"/",SAISIE!$B$4,"/",SAISIE!$B$5)))</f>
        <v/>
      </c>
      <c r="C1550" s="63" t="str">
        <f>IF(SAISIE!J106="","",SAISIE!$J$8)</f>
        <v/>
      </c>
      <c r="D1550" s="63" t="str">
        <f>IF(SAISIE!J106="","",SAISIE!E106)</f>
        <v/>
      </c>
      <c r="E1550" s="63" t="str">
        <f>IF(SAISIE!J106="","",SAISIE!F106)</f>
        <v/>
      </c>
      <c r="F1550" s="70" t="str">
        <f>IF(SAISIE!$J106="","",IF(SAISIE!$N106="","",SAISIE!$N106))</f>
        <v/>
      </c>
      <c r="G1550" s="63" t="str">
        <f>IF(SAISIE!J106="","",SAISIE!J106)</f>
        <v/>
      </c>
      <c r="H1550" s="63"/>
      <c r="I1550" s="72"/>
      <c r="J1550" s="71"/>
      <c r="O1550" s="73"/>
    </row>
    <row r="1551" spans="1:15" x14ac:dyDescent="0.25">
      <c r="A1551" s="63" t="str">
        <f>IF(AND(G1551="",H1551=""),"SUPPR",SAISIE!$B$3)</f>
        <v>SUPPR</v>
      </c>
      <c r="B1551" s="63" t="str">
        <f>IF(SAISIE!K106="","",IF(LEN(SAISIE!B106)=1,CONCATENATE("0",SAISIE!B106,"/",SAISIE!$B$4,"/",SAISIE!$B$5),CONCATENATE(SAISIE!B106,"/",SAISIE!$B$4,"/",SAISIE!$B$5)))</f>
        <v/>
      </c>
      <c r="C1551" s="63" t="str">
        <f>IF(SAISIE!K106="","",SAISIE!$K$8)</f>
        <v/>
      </c>
      <c r="D1551" s="63" t="str">
        <f>IF(SAISIE!K106="","",SAISIE!E106)</f>
        <v/>
      </c>
      <c r="E1551" s="63" t="str">
        <f>IF(SAISIE!K106="","",SAISIE!F106)</f>
        <v/>
      </c>
      <c r="F1551" s="70" t="str">
        <f>IF(SAISIE!$K106="","",IF(SAISIE!$N106="","",SAISIE!$N106))</f>
        <v/>
      </c>
      <c r="G1551" s="63" t="str">
        <f>IF(SAISIE!K106="","",SAISIE!K106)</f>
        <v/>
      </c>
      <c r="H1551" s="63"/>
      <c r="I1551" s="72"/>
      <c r="J1551" s="71"/>
    </row>
    <row r="1552" spans="1:15" x14ac:dyDescent="0.25">
      <c r="A1552" s="63" t="str">
        <f>IF(AND(G1552="",H1552=""),"SUPPR",SAISIE!$B$3)</f>
        <v>SUPPR</v>
      </c>
      <c r="B1552" s="63" t="str">
        <f>IF(SAISIE!L106="","",IF(LEN(SAISIE!B106)=1,CONCATENATE("0",SAISIE!B106,"/",SAISIE!$B$4,"/",SAISIE!$B$5),CONCATENATE(SAISIE!B106,"/",SAISIE!$B$4,"/",SAISIE!$B$5)))</f>
        <v/>
      </c>
      <c r="C1552" s="63" t="str">
        <f>IF(SAISIE!L106="","",SAISIE!$L$8)</f>
        <v/>
      </c>
      <c r="D1552" s="63" t="str">
        <f>IF(SAISIE!L106="","",SAISIE!E106)</f>
        <v/>
      </c>
      <c r="E1552" s="63" t="str">
        <f>IF(SAISIE!L106="","",SAISIE!F106)</f>
        <v/>
      </c>
      <c r="F1552" s="70" t="str">
        <f>IF(SAISIE!$L106="","",IF(SAISIE!$N106="","",SAISIE!$N106))</f>
        <v/>
      </c>
      <c r="G1552" s="63" t="str">
        <f>IF(SAISIE!L106="","",SAISIE!L106)</f>
        <v/>
      </c>
      <c r="H1552" s="63"/>
      <c r="I1552" s="72"/>
      <c r="J1552" s="71"/>
    </row>
    <row r="1553" spans="1:15" x14ac:dyDescent="0.25">
      <c r="A1553" s="63" t="str">
        <f>IF(AND(G1553="",H1553=""),"SUPPR",SAISIE!$B$3)</f>
        <v>SUPPR</v>
      </c>
      <c r="B1553" s="63" t="str">
        <f>IF(SAISIE!M106="","",IF(LEN(SAISIE!B106)=1,CONCATENATE("0",SAISIE!B106,"/",SAISIE!$B$4,"/",SAISIE!$B$5),CONCATENATE(SAISIE!B106,"/",SAISIE!$B$4,"/",SAISIE!$B$5)))</f>
        <v/>
      </c>
      <c r="C1553" s="74" t="str">
        <f>IF(SAISIE!M106="","",SAISIE!$M$8)</f>
        <v/>
      </c>
      <c r="D1553" s="74" t="str">
        <f>IF(SAISIE!M106="","",SAISIE!E106)</f>
        <v/>
      </c>
      <c r="E1553" s="74" t="str">
        <f>IF(SAISIE!M106="","",SAISIE!F106)</f>
        <v/>
      </c>
      <c r="F1553" s="75" t="str">
        <f>IF(SAISIE!$M106="","",IF(SAISIE!$N106="","",SAISIE!$N106))</f>
        <v/>
      </c>
      <c r="G1553" s="74" t="str">
        <f>IF(SAISIE!M106="","",SAISIE!M106)</f>
        <v/>
      </c>
      <c r="H1553" s="76"/>
      <c r="I1553" s="77"/>
      <c r="J1553" s="78"/>
    </row>
    <row r="1554" spans="1:15" x14ac:dyDescent="0.25">
      <c r="A1554" s="63" t="str">
        <f>IF(AND(G1554="",H1554=""),"SUPPR",SAISIE!$B$3)</f>
        <v>SUPPR</v>
      </c>
      <c r="B1554" s="64" t="str">
        <f>IF(SAISIE!B107="","",IF(LEN(SAISIE!B107)=1,CONCATENATE("0",SAISIE!B107,"/",SAISIE!$B$4,"/",SAISIE!$B$5),CONCATENATE(SAISIE!B107,"/",SAISIE!$B$4,"/",SAISIE!$B$5)))</f>
        <v/>
      </c>
      <c r="C1554" s="64" t="str">
        <f>IF(SAISIE!B107="","",CONCATENATE($M$2,SAISIE!C107))</f>
        <v/>
      </c>
      <c r="D1554" s="64" t="str">
        <f>IF(SAISIE!B107="","",SAISIE!E107)</f>
        <v/>
      </c>
      <c r="E1554" s="64" t="str">
        <f>IF(SAISIE!B107="","",SAISIE!F107)</f>
        <v/>
      </c>
      <c r="F1554" s="65" t="str">
        <f>IF(A1554="SUPPR","",IF(SAISIE!$N107="","",SAISIE!$N107))</f>
        <v/>
      </c>
      <c r="G1554" s="64"/>
      <c r="H1554" s="64" t="str">
        <f>IF(SAISIE!B107="","",SAISIE!D107)</f>
        <v/>
      </c>
      <c r="I1554" s="66"/>
      <c r="J1554" s="67" t="str">
        <f>IF(AZ107="","","")</f>
        <v/>
      </c>
      <c r="O1554" s="69">
        <f>O1538+1</f>
        <v>107</v>
      </c>
    </row>
    <row r="1555" spans="1:15" x14ac:dyDescent="0.25">
      <c r="A1555" s="63" t="str">
        <f>IF(AND(G1555="",H1555=""),"SUPPR",SAISIE!$B$3)</f>
        <v>SUPPR</v>
      </c>
      <c r="B1555" s="63" t="str">
        <f>IF(SAISIE!P107="","",IF(LEN(SAISIE!B107)=1,CONCATENATE("0",SAISIE!B107,"/",SAISIE!$B$4,"/",SAISIE!$B$5),CONCATENATE(SAISIE!B107,"/",SAISIE!$B$4,"/",SAISIE!$B$5)))</f>
        <v/>
      </c>
      <c r="C1555" s="63" t="str">
        <f>IF(SAISIE!P107="","",SAISIE!O107)</f>
        <v/>
      </c>
      <c r="D1555" s="63" t="str">
        <f>IF(SAISIE!P107="","",SAISIE!E107)</f>
        <v/>
      </c>
      <c r="E1555" s="63" t="str">
        <f>IF(SAISIE!P107="","",SAISIE!F107)</f>
        <v/>
      </c>
      <c r="F1555" s="70" t="str">
        <f>IF(SAISIE!$P107="","",IF(SAISIE!$N107="","",SAISIE!$N107))</f>
        <v/>
      </c>
      <c r="G1555" s="63" t="str">
        <f>IF(SAISIE!P107="","",SAISIE!P107)</f>
        <v/>
      </c>
      <c r="H1555" s="63"/>
      <c r="I1555" s="63" t="str">
        <f>IF(SAISIE!$P107="","",SAISIE!$Q107)</f>
        <v/>
      </c>
      <c r="J1555" s="71" t="str">
        <f>IF(COUNTBLANK(SAISIE!$J$6:$M$6)=4,"",IF(SAISIE!P107="","",IF(SAISIE!J107&gt;0,SAISIE!$J$6,IF(SAISIE!K107&gt;0,SAISIE!$K$6,IF(SAISIE!L107&gt;0,SAISIE!$L$6,IF(SAISIE!M107&gt;0,SAISIE!$M$6,""))))))</f>
        <v/>
      </c>
      <c r="O1555" s="59" t="s">
        <v>50</v>
      </c>
    </row>
    <row r="1556" spans="1:15" x14ac:dyDescent="0.25">
      <c r="A1556" s="63" t="str">
        <f>IF(AND(G1556="",H1556=""),"SUPPR",SAISIE!$B$3)</f>
        <v>SUPPR</v>
      </c>
      <c r="B1556" s="63" t="str">
        <f>IF(SAISIE!G107="","",IF(LEN(SAISIE!B107)=1,CONCATENATE("0",SAISIE!B107,"/",SAISIE!$B$4,"/",SAISIE!$B$5),CONCATENATE(SAISIE!B107,"/",SAISIE!$B$4,"/",SAISIE!$B$5)))</f>
        <v/>
      </c>
      <c r="C1556" s="63" t="str">
        <f>IF(SAISIE!G107="","",SAISIE!$G$8)</f>
        <v/>
      </c>
      <c r="D1556" s="63" t="str">
        <f>IF(SAISIE!G107="","",SAISIE!E107)</f>
        <v/>
      </c>
      <c r="E1556" s="63" t="str">
        <f>IF(SAISIE!G107="","",SAISIE!F107)</f>
        <v/>
      </c>
      <c r="F1556" s="70" t="str">
        <f>IF(SAISIE!$G107="","",IF(SAISIE!$N107="","",SAISIE!$N107))</f>
        <v/>
      </c>
      <c r="G1556" s="63" t="str">
        <f>IF(SAISIE!G107="","",SAISIE!G107)</f>
        <v/>
      </c>
      <c r="H1556" s="63"/>
      <c r="I1556" s="63" t="str">
        <f>IF(SAISIE!$G107="","",SAISIE!$Q107)</f>
        <v/>
      </c>
      <c r="J1556" s="71" t="str">
        <f>IF(COUNTBLANK(SAISIE!$J$6:$M$6)=4,"",IF(SAISIE!G107="","",IF(SAISIE!J107&gt;0,SAISIE!$J$6,IF(SAISIE!K107&gt;0,SAISIE!$K$6,IF(SAISIE!L107&gt;0,SAISIE!$L$6,IF(SAISIE!M107&gt;0,SAISIE!$M$6,""))))))</f>
        <v/>
      </c>
      <c r="O1556" s="59" t="s">
        <v>51</v>
      </c>
    </row>
    <row r="1557" spans="1:15" x14ac:dyDescent="0.25">
      <c r="A1557" s="63" t="str">
        <f>IF(AND(G1557="",H1557=""),"SUPPR",SAISIE!$B$3)</f>
        <v>SUPPR</v>
      </c>
      <c r="B1557" s="63" t="str">
        <f>IF(SAISIE!H107="","",IF(LEN(SAISIE!B107)=1,CONCATENATE("0",SAISIE!B107,"/",SAISIE!$B$4,"/",SAISIE!$B$5),CONCATENATE(SAISIE!B107,"/",SAISIE!$B$4,"/",SAISIE!$B$5)))</f>
        <v/>
      </c>
      <c r="C1557" s="63" t="str">
        <f>IF(SAISIE!H107="","",SAISIE!$H$8)</f>
        <v/>
      </c>
      <c r="D1557" s="63" t="str">
        <f>IF(SAISIE!H107="","",SAISIE!E107)</f>
        <v/>
      </c>
      <c r="E1557" s="63" t="str">
        <f>IF(SAISIE!H107="","",SAISIE!F107)</f>
        <v/>
      </c>
      <c r="F1557" s="70" t="str">
        <f>IF(SAISIE!$H107="","",IF(SAISIE!$N107="","",SAISIE!$N107))</f>
        <v/>
      </c>
      <c r="G1557" s="63" t="str">
        <f>IF(SAISIE!H107="","",SAISIE!H107)</f>
        <v/>
      </c>
      <c r="H1557" s="63"/>
      <c r="I1557" s="63" t="str">
        <f>IF(SAISIE!$H107="","",SAISIE!$Q107)</f>
        <v/>
      </c>
      <c r="J1557" s="71" t="str">
        <f>IF(COUNTBLANK(SAISIE!$J$6:$M$6)=4,"",IF(SAISIE!H107="","",IF(SAISIE!J107&gt;0,SAISIE!$J$6,IF(SAISIE!K107&gt;0,SAISIE!$K$6,IF(SAISIE!L107&gt;0,SAISIE!$L$6,IF(SAISIE!M107&gt;0,SAISIE!$M$6,""))))))</f>
        <v/>
      </c>
      <c r="O1557" s="59" t="s">
        <v>52</v>
      </c>
    </row>
    <row r="1558" spans="1:15" x14ac:dyDescent="0.25">
      <c r="A1558" s="63" t="str">
        <f>IF(AND(G1558="",H1558=""),"SUPPR",SAISIE!$B$3)</f>
        <v>SUPPR</v>
      </c>
      <c r="B1558" s="63" t="str">
        <f>IF(SAISIE!I107="","",IF(LEN(SAISIE!B107)=1,CONCATENATE("0",SAISIE!B107,"/",SAISIE!$B$4,"/",SAISIE!$B$5),CONCATENATE(SAISIE!B107,"/",SAISIE!$B$4,"/",SAISIE!$B$5)))</f>
        <v/>
      </c>
      <c r="C1558" s="63" t="str">
        <f>IF(SAISIE!I107="","",SAISIE!$I$8)</f>
        <v/>
      </c>
      <c r="D1558" s="63" t="str">
        <f>IF(SAISIE!I107="","",SAISIE!E107)</f>
        <v/>
      </c>
      <c r="E1558" s="63" t="str">
        <f>IF(SAISIE!I107="","",SAISIE!F107)</f>
        <v/>
      </c>
      <c r="F1558" s="70" t="str">
        <f>IF(SAISIE!$I107="","",IF(SAISIE!$N107="","",SAISIE!$N107))</f>
        <v/>
      </c>
      <c r="G1558" s="63" t="str">
        <f>IF(SAISIE!I107="","",SAISIE!I107)</f>
        <v/>
      </c>
      <c r="H1558" s="63"/>
      <c r="I1558" s="63" t="str">
        <f>IF(SAISIE!$I107="","",SAISIE!$Q107)</f>
        <v/>
      </c>
      <c r="J1558" s="71" t="str">
        <f>IF(COUNTBLANK(SAISIE!$J$6:$M$6)=4,"",IF(SAISIE!I107="","",IF(SAISIE!J107&gt;0,SAISIE!$J$6,IF(SAISIE!K107&gt;0,SAISIE!$K$6,IF(SAISIE!L107&gt;0,SAISIE!$L$6,IF(SAISIE!M107&gt;0,SAISIE!$M$6,""))))))</f>
        <v/>
      </c>
      <c r="O1558" s="59" t="s">
        <v>53</v>
      </c>
    </row>
    <row r="1559" spans="1:15" x14ac:dyDescent="0.25">
      <c r="A1559" s="63" t="e">
        <f>IF(AND(G1559="",H1559=""),"SUPPR",SAISIE!$B$3)</f>
        <v>#REF!</v>
      </c>
      <c r="B1559" s="63" t="e">
        <f>IF(SAISIE!#REF!="","",IF(LEN(SAISIE!B107)=1,CONCATENATE("0",SAISIE!B107,"/",SAISIE!$B$4,"/",SAISIE!$B$5),CONCATENATE(SAISIE!B107,"/",SAISIE!$B$4,"/",SAISIE!$B$5)))</f>
        <v>#REF!</v>
      </c>
      <c r="C1559" s="63" t="e">
        <f>IF(SAISIE!#REF!="","",SAISIE!#REF!)</f>
        <v>#REF!</v>
      </c>
      <c r="D1559" s="63" t="e">
        <f>IF(SAISIE!#REF!="","",SAISIE!E107)</f>
        <v>#REF!</v>
      </c>
      <c r="E1559" s="63" t="e">
        <f>IF(SAISIE!#REF!="","",SAISIE!F107)</f>
        <v>#REF!</v>
      </c>
      <c r="F1559" s="70" t="e">
        <f>IF(SAISIE!#REF!="","",IF(SAISIE!$N107="","",SAISIE!$N107))</f>
        <v>#REF!</v>
      </c>
      <c r="G1559" s="63" t="e">
        <f>IF(SAISIE!#REF!="","",SAISIE!#REF!)</f>
        <v>#REF!</v>
      </c>
      <c r="H1559" s="63"/>
      <c r="I1559" s="63" t="e">
        <f>IF(SAISIE!#REF!="","",SAISIE!$Q107)</f>
        <v>#REF!</v>
      </c>
      <c r="J1559" s="71" t="str">
        <f>IF(COUNTBLANK(SAISIE!$J$6:$M$6)=4,"",IF(SAISIE!#REF!="","",IF(SAISIE!J107&gt;0,SAISIE!$J$6,IF(SAISIE!K107&gt;0,SAISIE!$K$6,IF(SAISIE!L107&gt;0,SAISIE!$L$6,IF(SAISIE!M107&gt;0,SAISIE!$M$6,""))))))</f>
        <v/>
      </c>
      <c r="O1559" s="59" t="s">
        <v>54</v>
      </c>
    </row>
    <row r="1560" spans="1:15" x14ac:dyDescent="0.25">
      <c r="A1560" s="63" t="e">
        <f>IF(AND(G1560="",H1560=""),"SUPPR",SAISIE!$B$3)</f>
        <v>#REF!</v>
      </c>
      <c r="B1560" s="63" t="e">
        <f>IF(SAISIE!#REF!="","",IF(LEN(SAISIE!B107)=1,CONCATENATE("0",SAISIE!B107,"/",SAISIE!$B$4,"/",SAISIE!$B$5),CONCATENATE(SAISIE!B107,"/",SAISIE!$B$4,"/",SAISIE!$B$5)))</f>
        <v>#REF!</v>
      </c>
      <c r="C1560" s="63" t="e">
        <f>IF(SAISIE!#REF!="","",SAISIE!#REF!)</f>
        <v>#REF!</v>
      </c>
      <c r="D1560" s="63" t="e">
        <f>IF(SAISIE!#REF!="","",SAISIE!E107)</f>
        <v>#REF!</v>
      </c>
      <c r="E1560" s="63" t="e">
        <f>IF(SAISIE!#REF!="","",SAISIE!F107)</f>
        <v>#REF!</v>
      </c>
      <c r="F1560" s="70" t="e">
        <f>IF(SAISIE!#REF!="","",IF(SAISIE!$N107="","",SAISIE!$N107))</f>
        <v>#REF!</v>
      </c>
      <c r="G1560" s="63" t="e">
        <f>IF(SAISIE!#REF!="","",SAISIE!#REF!)</f>
        <v>#REF!</v>
      </c>
      <c r="H1560" s="63"/>
      <c r="I1560" s="63" t="e">
        <f>IF(SAISIE!#REF!="","",SAISIE!$Q107)</f>
        <v>#REF!</v>
      </c>
      <c r="J1560" s="71" t="str">
        <f>IF(COUNTBLANK(SAISIE!$J$6:$M$6)=4,"",IF(SAISIE!#REF!="","",IF(SAISIE!J107&gt;0,SAISIE!$J$6,IF(SAISIE!K107&gt;0,SAISIE!$K$6,IF(SAISIE!L107&gt;0,SAISIE!$L$6,IF(SAISIE!M107&gt;0,SAISIE!$M$6,""))))))</f>
        <v/>
      </c>
      <c r="O1560" s="59" t="s">
        <v>55</v>
      </c>
    </row>
    <row r="1561" spans="1:15" x14ac:dyDescent="0.25">
      <c r="A1561" s="63" t="e">
        <f>IF(AND(G1561="",H1561=""),"SUPPR",SAISIE!$B$3)</f>
        <v>#REF!</v>
      </c>
      <c r="B1561" s="63" t="e">
        <f>IF(SAISIE!#REF!="","",IF(LEN(SAISIE!B107)=1,CONCATENATE("0",SAISIE!B107,"/",SAISIE!$B$4,"/",SAISIE!$B$5),CONCATENATE(SAISIE!B107,"/",SAISIE!$B$4,"/",SAISIE!$B$5)))</f>
        <v>#REF!</v>
      </c>
      <c r="C1561" s="63" t="e">
        <f>IF(SAISIE!#REF!="","",SAISIE!#REF!)</f>
        <v>#REF!</v>
      </c>
      <c r="D1561" s="63" t="e">
        <f>IF(SAISIE!#REF!="","",SAISIE!E107)</f>
        <v>#REF!</v>
      </c>
      <c r="E1561" s="63" t="e">
        <f>IF(SAISIE!#REF!="","",SAISIE!F107)</f>
        <v>#REF!</v>
      </c>
      <c r="F1561" s="70" t="e">
        <f>IF(SAISIE!#REF!="","",IF(SAISIE!$N107="","",SAISIE!$N107))</f>
        <v>#REF!</v>
      </c>
      <c r="G1561" s="63" t="e">
        <f>IF(SAISIE!#REF!="","",SAISIE!#REF!)</f>
        <v>#REF!</v>
      </c>
      <c r="H1561" s="63"/>
      <c r="I1561" s="63" t="e">
        <f>IF(SAISIE!#REF!="","",SAISIE!$Q107)</f>
        <v>#REF!</v>
      </c>
      <c r="J1561" s="71" t="str">
        <f>IF(COUNTBLANK(SAISIE!$J$6:$M$6)=4,"",IF(SAISIE!#REF!="","",IF(SAISIE!J107&gt;0,SAISIE!$J$6,IF(SAISIE!K107&gt;0,SAISIE!$K$6,IF(SAISIE!L107&gt;0,SAISIE!$L$6,IF(SAISIE!M107&gt;0,SAISIE!$M$6,""))))))</f>
        <v/>
      </c>
      <c r="O1561" s="59" t="s">
        <v>56</v>
      </c>
    </row>
    <row r="1562" spans="1:15" x14ac:dyDescent="0.25">
      <c r="A1562" s="63" t="e">
        <f>IF(AND(G1562="",H1562=""),"SUPPR",SAISIE!$B$3)</f>
        <v>#REF!</v>
      </c>
      <c r="B1562" s="63" t="e">
        <f>IF(SAISIE!#REF!="","",IF(LEN(SAISIE!B107)=1,CONCATENATE("0",SAISIE!B107,"/",SAISIE!$B$4,"/",SAISIE!$B$5),CONCATENATE(SAISIE!B107,"/",SAISIE!$B$4,"/",SAISIE!$B$5)))</f>
        <v>#REF!</v>
      </c>
      <c r="C1562" s="63" t="e">
        <f>IF(SAISIE!#REF!="","",SAISIE!#REF!)</f>
        <v>#REF!</v>
      </c>
      <c r="D1562" s="63" t="e">
        <f>IF(SAISIE!#REF!="","",SAISIE!E107)</f>
        <v>#REF!</v>
      </c>
      <c r="E1562" s="63" t="e">
        <f>IF(SAISIE!#REF!="","",SAISIE!F107)</f>
        <v>#REF!</v>
      </c>
      <c r="F1562" s="70" t="e">
        <f>IF(SAISIE!#REF!="","",IF(SAISIE!$N107="","",SAISIE!$N107))</f>
        <v>#REF!</v>
      </c>
      <c r="G1562" s="63" t="e">
        <f>IF(SAISIE!#REF!="","",SAISIE!#REF!)</f>
        <v>#REF!</v>
      </c>
      <c r="H1562" s="63"/>
      <c r="I1562" s="63" t="e">
        <f>IF(SAISIE!#REF!="","",SAISIE!$Q107)</f>
        <v>#REF!</v>
      </c>
      <c r="J1562" s="71" t="str">
        <f>IF(COUNTBLANK(SAISIE!$J$6:$M$6)=4,"",IF(SAISIE!#REF!="","",IF(SAISIE!J107&gt;0,SAISIE!$J$6,IF(SAISIE!K107&gt;0,SAISIE!$K$6,IF(SAISIE!L107&gt;0,SAISIE!$L$6,IF(SAISIE!M107&gt;0,SAISIE!$M$6,""))))))</f>
        <v/>
      </c>
      <c r="O1562" s="59" t="s">
        <v>57</v>
      </c>
    </row>
    <row r="1563" spans="1:15" x14ac:dyDescent="0.25">
      <c r="A1563" s="63" t="e">
        <f>IF(AND(G1563="",H1563=""),"SUPPR",SAISIE!$B$3)</f>
        <v>#REF!</v>
      </c>
      <c r="B1563" s="63" t="e">
        <f>IF(SAISIE!#REF!="","",IF(LEN(SAISIE!B107)=1,CONCATENATE("0",SAISIE!B107,"/",SAISIE!$B$4,"/",SAISIE!$B$5),CONCATENATE(SAISIE!B107,"/",SAISIE!$B$4,"/",SAISIE!$B$5)))</f>
        <v>#REF!</v>
      </c>
      <c r="C1563" s="63" t="e">
        <f>IF(SAISIE!#REF!="","",SAISIE!#REF!)</f>
        <v>#REF!</v>
      </c>
      <c r="D1563" s="63" t="e">
        <f>IF(SAISIE!#REF!="","",SAISIE!E107)</f>
        <v>#REF!</v>
      </c>
      <c r="E1563" s="63" t="e">
        <f>IF(SAISIE!#REF!="","",SAISIE!F107)</f>
        <v>#REF!</v>
      </c>
      <c r="F1563" s="70" t="e">
        <f>IF(SAISIE!#REF!="","",IF(SAISIE!$N107="","",SAISIE!$N107))</f>
        <v>#REF!</v>
      </c>
      <c r="G1563" s="63" t="e">
        <f>IF(SAISIE!#REF!="","",SAISIE!#REF!)</f>
        <v>#REF!</v>
      </c>
      <c r="H1563" s="63"/>
      <c r="I1563" s="63" t="e">
        <f>IF(SAISIE!#REF!="","",SAISIE!$Q107)</f>
        <v>#REF!</v>
      </c>
      <c r="J1563" s="71" t="str">
        <f>IF(COUNTBLANK(SAISIE!$J$6:$M$6)=4,"",IF(SAISIE!#REF!="","",IF(SAISIE!J107&gt;0,SAISIE!$J$6,IF(SAISIE!K107&gt;0,SAISIE!$K$6,IF(SAISIE!L107&gt;0,SAISIE!$L$6,IF(SAISIE!M107&gt;0,SAISIE!$M$6,""))))))</f>
        <v/>
      </c>
      <c r="O1563" s="59" t="s">
        <v>58</v>
      </c>
    </row>
    <row r="1564" spans="1:15" x14ac:dyDescent="0.25">
      <c r="A1564" s="63" t="e">
        <f>IF(AND(G1564="",H1564=""),"SUPPR",SAISIE!$B$3)</f>
        <v>#REF!</v>
      </c>
      <c r="B1564" s="63" t="e">
        <f>IF(SAISIE!#REF!="","",IF(LEN(SAISIE!B107)=1,CONCATENATE("0",SAISIE!B107,"/",SAISIE!$B$4,"/",SAISIE!$B$5),CONCATENATE(SAISIE!B107,"/",SAISIE!$B$4,"/",SAISIE!$B$5)))</f>
        <v>#REF!</v>
      </c>
      <c r="C1564" s="63" t="e">
        <f>IF(SAISIE!#REF!="","",SAISIE!#REF!)</f>
        <v>#REF!</v>
      </c>
      <c r="D1564" s="63" t="e">
        <f>IF(SAISIE!#REF!="","",SAISIE!E107)</f>
        <v>#REF!</v>
      </c>
      <c r="E1564" s="63" t="e">
        <f>IF(SAISIE!#REF!="","",SAISIE!F107)</f>
        <v>#REF!</v>
      </c>
      <c r="F1564" s="70" t="e">
        <f>IF(SAISIE!#REF!="","",IF(SAISIE!$N107="","",SAISIE!$N107))</f>
        <v>#REF!</v>
      </c>
      <c r="G1564" s="63" t="e">
        <f>IF(SAISIE!#REF!="","",SAISIE!#REF!)</f>
        <v>#REF!</v>
      </c>
      <c r="H1564" s="63"/>
      <c r="I1564" s="63" t="e">
        <f>IF(SAISIE!#REF!="","",SAISIE!$Q107)</f>
        <v>#REF!</v>
      </c>
      <c r="J1564" s="71" t="str">
        <f>IF(COUNTBLANK(SAISIE!$J$6:$M$6)=4,"",IF(SAISIE!#REF!="","",IF(SAISIE!J107&gt;0,SAISIE!$J$6,IF(SAISIE!K107&gt;0,SAISIE!$K$6,IF(SAISIE!L107&gt;0,SAISIE!$L$6,IF(SAISIE!M107&gt;0,SAISIE!$M$6,""))))))</f>
        <v/>
      </c>
      <c r="O1564" s="59" t="s">
        <v>59</v>
      </c>
    </row>
    <row r="1565" spans="1:15" x14ac:dyDescent="0.25">
      <c r="A1565" s="63" t="e">
        <f>IF(AND(G1565="",H1565=""),"SUPPR",SAISIE!$B$3)</f>
        <v>#REF!</v>
      </c>
      <c r="B1565" s="63" t="e">
        <f>IF(SAISIE!#REF!="","",IF(LEN(SAISIE!B107)=1,CONCATENATE("0",SAISIE!B107,"/",SAISIE!$B$4,"/",SAISIE!$B$5),CONCATENATE(SAISIE!B107,"/",SAISIE!$B$4,"/",SAISIE!$B$5)))</f>
        <v>#REF!</v>
      </c>
      <c r="C1565" s="63" t="e">
        <f>IF(SAISIE!#REF!="","",SAISIE!#REF!)</f>
        <v>#REF!</v>
      </c>
      <c r="D1565" s="63" t="e">
        <f>IF(SAISIE!#REF!="","",SAISIE!E107)</f>
        <v>#REF!</v>
      </c>
      <c r="E1565" s="63" t="e">
        <f>IF(SAISIE!#REF!="","",SAISIE!F107)</f>
        <v>#REF!</v>
      </c>
      <c r="F1565" s="70" t="e">
        <f>IF(SAISIE!#REF!="","",IF(SAISIE!$N107="","",SAISIE!$N107))</f>
        <v>#REF!</v>
      </c>
      <c r="G1565" s="63" t="e">
        <f>IF(SAISIE!#REF!="","",SAISIE!#REF!)</f>
        <v>#REF!</v>
      </c>
      <c r="H1565" s="63"/>
      <c r="I1565" s="63" t="e">
        <f>IF(SAISIE!#REF!="","",SAISIE!$Q107)</f>
        <v>#REF!</v>
      </c>
      <c r="J1565" s="71" t="str">
        <f>IF(COUNTBLANK(SAISIE!$J$6:$M$6)=4,"",IF(SAISIE!#REF!="","",IF(SAISIE!J107&gt;0,SAISIE!$J$6,IF(SAISIE!K107&gt;0,SAISIE!$K$6,IF(SAISIE!L107&gt;0,SAISIE!$L$6,IF(SAISIE!M107&gt;0,SAISIE!$M$6,""))))))</f>
        <v/>
      </c>
      <c r="O1565" s="59" t="s">
        <v>60</v>
      </c>
    </row>
    <row r="1566" spans="1:15" x14ac:dyDescent="0.25">
      <c r="A1566" s="63" t="str">
        <f>IF(AND(G1566="",H1566=""),"SUPPR",SAISIE!$B$3)</f>
        <v>SUPPR</v>
      </c>
      <c r="B1566" s="63" t="str">
        <f>IF(SAISIE!J107="","",IF(LEN(SAISIE!B107)=1,CONCATENATE("0",SAISIE!B107,"/",SAISIE!$B$4,"/",SAISIE!$B$5),CONCATENATE(SAISIE!B107,"/",SAISIE!$B$4,"/",SAISIE!$B$5)))</f>
        <v/>
      </c>
      <c r="C1566" s="63" t="str">
        <f>IF(SAISIE!J107="","",SAISIE!$J$8)</f>
        <v/>
      </c>
      <c r="D1566" s="63" t="str">
        <f>IF(SAISIE!J107="","",SAISIE!E107)</f>
        <v/>
      </c>
      <c r="E1566" s="63" t="str">
        <f>IF(SAISIE!J107="","",SAISIE!F107)</f>
        <v/>
      </c>
      <c r="F1566" s="70" t="str">
        <f>IF(SAISIE!$J107="","",IF(SAISIE!$N107="","",SAISIE!$N107))</f>
        <v/>
      </c>
      <c r="G1566" s="63" t="str">
        <f>IF(SAISIE!J107="","",SAISIE!J107)</f>
        <v/>
      </c>
      <c r="H1566" s="63"/>
      <c r="I1566" s="72"/>
      <c r="J1566" s="71"/>
      <c r="O1566" s="73"/>
    </row>
    <row r="1567" spans="1:15" x14ac:dyDescent="0.25">
      <c r="A1567" s="63" t="str">
        <f>IF(AND(G1567="",H1567=""),"SUPPR",SAISIE!$B$3)</f>
        <v>SUPPR</v>
      </c>
      <c r="B1567" s="63" t="str">
        <f>IF(SAISIE!K107="","",IF(LEN(SAISIE!B107)=1,CONCATENATE("0",SAISIE!B107,"/",SAISIE!$B$4,"/",SAISIE!$B$5),CONCATENATE(SAISIE!B107,"/",SAISIE!$B$4,"/",SAISIE!$B$5)))</f>
        <v/>
      </c>
      <c r="C1567" s="63" t="str">
        <f>IF(SAISIE!K107="","",SAISIE!$K$8)</f>
        <v/>
      </c>
      <c r="D1567" s="63" t="str">
        <f>IF(SAISIE!K107="","",SAISIE!E107)</f>
        <v/>
      </c>
      <c r="E1567" s="63" t="str">
        <f>IF(SAISIE!K107="","",SAISIE!F107)</f>
        <v/>
      </c>
      <c r="F1567" s="70" t="str">
        <f>IF(SAISIE!$K107="","",IF(SAISIE!$N107="","",SAISIE!$N107))</f>
        <v/>
      </c>
      <c r="G1567" s="63" t="str">
        <f>IF(SAISIE!K107="","",SAISIE!K107)</f>
        <v/>
      </c>
      <c r="H1567" s="63"/>
      <c r="I1567" s="72"/>
      <c r="J1567" s="71"/>
    </row>
    <row r="1568" spans="1:15" x14ac:dyDescent="0.25">
      <c r="A1568" s="63" t="str">
        <f>IF(AND(G1568="",H1568=""),"SUPPR",SAISIE!$B$3)</f>
        <v>SUPPR</v>
      </c>
      <c r="B1568" s="63" t="str">
        <f>IF(SAISIE!L107="","",IF(LEN(SAISIE!B107)=1,CONCATENATE("0",SAISIE!B107,"/",SAISIE!$B$4,"/",SAISIE!$B$5),CONCATENATE(SAISIE!B107,"/",SAISIE!$B$4,"/",SAISIE!$B$5)))</f>
        <v/>
      </c>
      <c r="C1568" s="63" t="str">
        <f>IF(SAISIE!L107="","",SAISIE!$L$8)</f>
        <v/>
      </c>
      <c r="D1568" s="63" t="str">
        <f>IF(SAISIE!L107="","",SAISIE!E107)</f>
        <v/>
      </c>
      <c r="E1568" s="63" t="str">
        <f>IF(SAISIE!L107="","",SAISIE!F107)</f>
        <v/>
      </c>
      <c r="F1568" s="70" t="str">
        <f>IF(SAISIE!$L107="","",IF(SAISIE!$N107="","",SAISIE!$N107))</f>
        <v/>
      </c>
      <c r="G1568" s="63" t="str">
        <f>IF(SAISIE!L107="","",SAISIE!L107)</f>
        <v/>
      </c>
      <c r="H1568" s="63"/>
      <c r="I1568" s="72"/>
      <c r="J1568" s="71"/>
    </row>
    <row r="1569" spans="1:15" x14ac:dyDescent="0.25">
      <c r="A1569" s="63" t="str">
        <f>IF(AND(G1569="",H1569=""),"SUPPR",SAISIE!$B$3)</f>
        <v>SUPPR</v>
      </c>
      <c r="B1569" s="63" t="str">
        <f>IF(SAISIE!M107="","",IF(LEN(SAISIE!B107)=1,CONCATENATE("0",SAISIE!B107,"/",SAISIE!$B$4,"/",SAISIE!$B$5),CONCATENATE(SAISIE!B107,"/",SAISIE!$B$4,"/",SAISIE!$B$5)))</f>
        <v/>
      </c>
      <c r="C1569" s="74" t="str">
        <f>IF(SAISIE!M107="","",SAISIE!$M$8)</f>
        <v/>
      </c>
      <c r="D1569" s="74" t="str">
        <f>IF(SAISIE!M107="","",SAISIE!E107)</f>
        <v/>
      </c>
      <c r="E1569" s="74" t="str">
        <f>IF(SAISIE!M107="","",SAISIE!F107)</f>
        <v/>
      </c>
      <c r="F1569" s="75" t="str">
        <f>IF(SAISIE!$M107="","",IF(SAISIE!$N107="","",SAISIE!$N107))</f>
        <v/>
      </c>
      <c r="G1569" s="74" t="str">
        <f>IF(SAISIE!M107="","",SAISIE!M107)</f>
        <v/>
      </c>
      <c r="H1569" s="76"/>
      <c r="I1569" s="77"/>
      <c r="J1569" s="78"/>
    </row>
    <row r="1570" spans="1:15" x14ac:dyDescent="0.25">
      <c r="A1570" s="63" t="str">
        <f>IF(AND(G1570="",H1570=""),"SUPPR",SAISIE!$B$3)</f>
        <v>SUPPR</v>
      </c>
      <c r="B1570" s="64" t="str">
        <f>IF(SAISIE!B108="","",IF(LEN(SAISIE!B108)=1,CONCATENATE("0",SAISIE!B108,"/",SAISIE!$B$4,"/",SAISIE!$B$5),CONCATENATE(SAISIE!B108,"/",SAISIE!$B$4,"/",SAISIE!$B$5)))</f>
        <v/>
      </c>
      <c r="C1570" s="64" t="str">
        <f>IF(SAISIE!B108="","",CONCATENATE($M$2,SAISIE!C108))</f>
        <v/>
      </c>
      <c r="D1570" s="64" t="str">
        <f>IF(SAISIE!B108="","",SAISIE!E108)</f>
        <v/>
      </c>
      <c r="E1570" s="64" t="str">
        <f>IF(SAISIE!B108="","",SAISIE!F108)</f>
        <v/>
      </c>
      <c r="F1570" s="65" t="str">
        <f>IF(A1570="SUPPR","",IF(SAISIE!$N108="","",SAISIE!$N108))</f>
        <v/>
      </c>
      <c r="G1570" s="64"/>
      <c r="H1570" s="64" t="str">
        <f>IF(SAISIE!B108="","",SAISIE!D108)</f>
        <v/>
      </c>
      <c r="I1570" s="66"/>
      <c r="J1570" s="67" t="str">
        <f>IF(AZ108="","","")</f>
        <v/>
      </c>
      <c r="O1570" s="69">
        <f>O1554+1</f>
        <v>108</v>
      </c>
    </row>
    <row r="1571" spans="1:15" x14ac:dyDescent="0.25">
      <c r="A1571" s="63" t="str">
        <f>IF(AND(G1571="",H1571=""),"SUPPR",SAISIE!$B$3)</f>
        <v>SUPPR</v>
      </c>
      <c r="B1571" s="63" t="str">
        <f>IF(SAISIE!P108="","",IF(LEN(SAISIE!B108)=1,CONCATENATE("0",SAISIE!B108,"/",SAISIE!$B$4,"/",SAISIE!$B$5),CONCATENATE(SAISIE!B108,"/",SAISIE!$B$4,"/",SAISIE!$B$5)))</f>
        <v/>
      </c>
      <c r="C1571" s="63" t="str">
        <f>IF(SAISIE!P108="","",SAISIE!O108)</f>
        <v/>
      </c>
      <c r="D1571" s="63" t="str">
        <f>IF(SAISIE!P108="","",SAISIE!E108)</f>
        <v/>
      </c>
      <c r="E1571" s="63" t="str">
        <f>IF(SAISIE!P108="","",SAISIE!F108)</f>
        <v/>
      </c>
      <c r="F1571" s="70" t="str">
        <f>IF(SAISIE!$P108="","",IF(SAISIE!$N108="","",SAISIE!$N108))</f>
        <v/>
      </c>
      <c r="G1571" s="63" t="str">
        <f>IF(SAISIE!P108="","",SAISIE!P108)</f>
        <v/>
      </c>
      <c r="H1571" s="63"/>
      <c r="I1571" s="63" t="str">
        <f>IF(SAISIE!$P108="","",SAISIE!$Q108)</f>
        <v/>
      </c>
      <c r="J1571" s="71" t="str">
        <f>IF(COUNTBLANK(SAISIE!$J$6:$M$6)=4,"",IF(SAISIE!P108="","",IF(SAISIE!J108&gt;0,SAISIE!$J$6,IF(SAISIE!K108&gt;0,SAISIE!$K$6,IF(SAISIE!L108&gt;0,SAISIE!$L$6,IF(SAISIE!M108&gt;0,SAISIE!$M$6,""))))))</f>
        <v/>
      </c>
      <c r="O1571" s="59" t="s">
        <v>50</v>
      </c>
    </row>
    <row r="1572" spans="1:15" x14ac:dyDescent="0.25">
      <c r="A1572" s="63" t="str">
        <f>IF(AND(G1572="",H1572=""),"SUPPR",SAISIE!$B$3)</f>
        <v>SUPPR</v>
      </c>
      <c r="B1572" s="63" t="str">
        <f>IF(SAISIE!G108="","",IF(LEN(SAISIE!B108)=1,CONCATENATE("0",SAISIE!B108,"/",SAISIE!$B$4,"/",SAISIE!$B$5),CONCATENATE(SAISIE!B108,"/",SAISIE!$B$4,"/",SAISIE!$B$5)))</f>
        <v/>
      </c>
      <c r="C1572" s="63" t="str">
        <f>IF(SAISIE!G108="","",SAISIE!$G$8)</f>
        <v/>
      </c>
      <c r="D1572" s="63" t="str">
        <f>IF(SAISIE!G108="","",SAISIE!E108)</f>
        <v/>
      </c>
      <c r="E1572" s="63" t="str">
        <f>IF(SAISIE!G108="","",SAISIE!F108)</f>
        <v/>
      </c>
      <c r="F1572" s="70" t="str">
        <f>IF(SAISIE!$G108="","",IF(SAISIE!$N108="","",SAISIE!$N108))</f>
        <v/>
      </c>
      <c r="G1572" s="63" t="str">
        <f>IF(SAISIE!G108="","",SAISIE!G108)</f>
        <v/>
      </c>
      <c r="H1572" s="63"/>
      <c r="I1572" s="63" t="str">
        <f>IF(SAISIE!$G108="","",SAISIE!$Q108)</f>
        <v/>
      </c>
      <c r="J1572" s="71" t="str">
        <f>IF(COUNTBLANK(SAISIE!$J$6:$M$6)=4,"",IF(SAISIE!G108="","",IF(SAISIE!J108&gt;0,SAISIE!$J$6,IF(SAISIE!K108&gt;0,SAISIE!$K$6,IF(SAISIE!L108&gt;0,SAISIE!$L$6,IF(SAISIE!M108&gt;0,SAISIE!$M$6,""))))))</f>
        <v/>
      </c>
      <c r="O1572" s="59" t="s">
        <v>51</v>
      </c>
    </row>
    <row r="1573" spans="1:15" x14ac:dyDescent="0.25">
      <c r="A1573" s="63" t="str">
        <f>IF(AND(G1573="",H1573=""),"SUPPR",SAISIE!$B$3)</f>
        <v>SUPPR</v>
      </c>
      <c r="B1573" s="63" t="str">
        <f>IF(SAISIE!H108="","",IF(LEN(SAISIE!B108)=1,CONCATENATE("0",SAISIE!B108,"/",SAISIE!$B$4,"/",SAISIE!$B$5),CONCATENATE(SAISIE!B108,"/",SAISIE!$B$4,"/",SAISIE!$B$5)))</f>
        <v/>
      </c>
      <c r="C1573" s="63" t="str">
        <f>IF(SAISIE!H108="","",SAISIE!$H$8)</f>
        <v/>
      </c>
      <c r="D1573" s="63" t="str">
        <f>IF(SAISIE!H108="","",SAISIE!E108)</f>
        <v/>
      </c>
      <c r="E1573" s="63" t="str">
        <f>IF(SAISIE!H108="","",SAISIE!F108)</f>
        <v/>
      </c>
      <c r="F1573" s="70" t="str">
        <f>IF(SAISIE!$H108="","",IF(SAISIE!$N108="","",SAISIE!$N108))</f>
        <v/>
      </c>
      <c r="G1573" s="63" t="str">
        <f>IF(SAISIE!H108="","",SAISIE!H108)</f>
        <v/>
      </c>
      <c r="H1573" s="63"/>
      <c r="I1573" s="63" t="str">
        <f>IF(SAISIE!$H108="","",SAISIE!$Q108)</f>
        <v/>
      </c>
      <c r="J1573" s="71" t="str">
        <f>IF(COUNTBLANK(SAISIE!$J$6:$M$6)=4,"",IF(SAISIE!H108="","",IF(SAISIE!J108&gt;0,SAISIE!$J$6,IF(SAISIE!K108&gt;0,SAISIE!$K$6,IF(SAISIE!L108&gt;0,SAISIE!$L$6,IF(SAISIE!M108&gt;0,SAISIE!$M$6,""))))))</f>
        <v/>
      </c>
      <c r="O1573" s="59" t="s">
        <v>52</v>
      </c>
    </row>
    <row r="1574" spans="1:15" x14ac:dyDescent="0.25">
      <c r="A1574" s="63" t="str">
        <f>IF(AND(G1574="",H1574=""),"SUPPR",SAISIE!$B$3)</f>
        <v>SUPPR</v>
      </c>
      <c r="B1574" s="63" t="str">
        <f>IF(SAISIE!I108="","",IF(LEN(SAISIE!B108)=1,CONCATENATE("0",SAISIE!B108,"/",SAISIE!$B$4,"/",SAISIE!$B$5),CONCATENATE(SAISIE!B108,"/",SAISIE!$B$4,"/",SAISIE!$B$5)))</f>
        <v/>
      </c>
      <c r="C1574" s="63" t="str">
        <f>IF(SAISIE!I108="","",SAISIE!$I$8)</f>
        <v/>
      </c>
      <c r="D1574" s="63" t="str">
        <f>IF(SAISIE!I108="","",SAISIE!E108)</f>
        <v/>
      </c>
      <c r="E1574" s="63" t="str">
        <f>IF(SAISIE!I108="","",SAISIE!F108)</f>
        <v/>
      </c>
      <c r="F1574" s="70" t="str">
        <f>IF(SAISIE!$I108="","",IF(SAISIE!$N108="","",SAISIE!$N108))</f>
        <v/>
      </c>
      <c r="G1574" s="63" t="str">
        <f>IF(SAISIE!I108="","",SAISIE!I108)</f>
        <v/>
      </c>
      <c r="H1574" s="63"/>
      <c r="I1574" s="63" t="str">
        <f>IF(SAISIE!$I108="","",SAISIE!$Q108)</f>
        <v/>
      </c>
      <c r="J1574" s="71" t="str">
        <f>IF(COUNTBLANK(SAISIE!$J$6:$M$6)=4,"",IF(SAISIE!I108="","",IF(SAISIE!J108&gt;0,SAISIE!$J$6,IF(SAISIE!K108&gt;0,SAISIE!$K$6,IF(SAISIE!L108&gt;0,SAISIE!$L$6,IF(SAISIE!M108&gt;0,SAISIE!$M$6,""))))))</f>
        <v/>
      </c>
      <c r="O1574" s="59" t="s">
        <v>53</v>
      </c>
    </row>
    <row r="1575" spans="1:15" x14ac:dyDescent="0.25">
      <c r="A1575" s="63" t="e">
        <f>IF(AND(G1575="",H1575=""),"SUPPR",SAISIE!$B$3)</f>
        <v>#REF!</v>
      </c>
      <c r="B1575" s="63" t="e">
        <f>IF(SAISIE!#REF!="","",IF(LEN(SAISIE!B108)=1,CONCATENATE("0",SAISIE!B108,"/",SAISIE!$B$4,"/",SAISIE!$B$5),CONCATENATE(SAISIE!B108,"/",SAISIE!$B$4,"/",SAISIE!$B$5)))</f>
        <v>#REF!</v>
      </c>
      <c r="C1575" s="63" t="e">
        <f>IF(SAISIE!#REF!="","",SAISIE!#REF!)</f>
        <v>#REF!</v>
      </c>
      <c r="D1575" s="63" t="e">
        <f>IF(SAISIE!#REF!="","",SAISIE!E108)</f>
        <v>#REF!</v>
      </c>
      <c r="E1575" s="63" t="e">
        <f>IF(SAISIE!#REF!="","",SAISIE!F108)</f>
        <v>#REF!</v>
      </c>
      <c r="F1575" s="70" t="e">
        <f>IF(SAISIE!#REF!="","",IF(SAISIE!$N108="","",SAISIE!$N108))</f>
        <v>#REF!</v>
      </c>
      <c r="G1575" s="63" t="e">
        <f>IF(SAISIE!#REF!="","",SAISIE!#REF!)</f>
        <v>#REF!</v>
      </c>
      <c r="H1575" s="63"/>
      <c r="I1575" s="63" t="e">
        <f>IF(SAISIE!#REF!="","",SAISIE!$Q108)</f>
        <v>#REF!</v>
      </c>
      <c r="J1575" s="71" t="str">
        <f>IF(COUNTBLANK(SAISIE!$J$6:$M$6)=4,"",IF(SAISIE!#REF!="","",IF(SAISIE!J108&gt;0,SAISIE!$J$6,IF(SAISIE!K108&gt;0,SAISIE!$K$6,IF(SAISIE!L108&gt;0,SAISIE!$L$6,IF(SAISIE!M108&gt;0,SAISIE!$M$6,""))))))</f>
        <v/>
      </c>
      <c r="O1575" s="59" t="s">
        <v>54</v>
      </c>
    </row>
    <row r="1576" spans="1:15" x14ac:dyDescent="0.25">
      <c r="A1576" s="63" t="e">
        <f>IF(AND(G1576="",H1576=""),"SUPPR",SAISIE!$B$3)</f>
        <v>#REF!</v>
      </c>
      <c r="B1576" s="63" t="e">
        <f>IF(SAISIE!#REF!="","",IF(LEN(SAISIE!B108)=1,CONCATENATE("0",SAISIE!B108,"/",SAISIE!$B$4,"/",SAISIE!$B$5),CONCATENATE(SAISIE!B108,"/",SAISIE!$B$4,"/",SAISIE!$B$5)))</f>
        <v>#REF!</v>
      </c>
      <c r="C1576" s="63" t="e">
        <f>IF(SAISIE!#REF!="","",SAISIE!#REF!)</f>
        <v>#REF!</v>
      </c>
      <c r="D1576" s="63" t="e">
        <f>IF(SAISIE!#REF!="","",SAISIE!E108)</f>
        <v>#REF!</v>
      </c>
      <c r="E1576" s="63" t="e">
        <f>IF(SAISIE!#REF!="","",SAISIE!F108)</f>
        <v>#REF!</v>
      </c>
      <c r="F1576" s="70" t="e">
        <f>IF(SAISIE!#REF!="","",IF(SAISIE!$N108="","",SAISIE!$N108))</f>
        <v>#REF!</v>
      </c>
      <c r="G1576" s="63" t="e">
        <f>IF(SAISIE!#REF!="","",SAISIE!#REF!)</f>
        <v>#REF!</v>
      </c>
      <c r="H1576" s="63"/>
      <c r="I1576" s="63" t="e">
        <f>IF(SAISIE!#REF!="","",SAISIE!$Q108)</f>
        <v>#REF!</v>
      </c>
      <c r="J1576" s="71" t="str">
        <f>IF(COUNTBLANK(SAISIE!$J$6:$M$6)=4,"",IF(SAISIE!#REF!="","",IF(SAISIE!J108&gt;0,SAISIE!$J$6,IF(SAISIE!K108&gt;0,SAISIE!$K$6,IF(SAISIE!L108&gt;0,SAISIE!$L$6,IF(SAISIE!M108&gt;0,SAISIE!$M$6,""))))))</f>
        <v/>
      </c>
      <c r="O1576" s="59" t="s">
        <v>55</v>
      </c>
    </row>
    <row r="1577" spans="1:15" x14ac:dyDescent="0.25">
      <c r="A1577" s="63" t="e">
        <f>IF(AND(G1577="",H1577=""),"SUPPR",SAISIE!$B$3)</f>
        <v>#REF!</v>
      </c>
      <c r="B1577" s="63" t="e">
        <f>IF(SAISIE!#REF!="","",IF(LEN(SAISIE!B108)=1,CONCATENATE("0",SAISIE!B108,"/",SAISIE!$B$4,"/",SAISIE!$B$5),CONCATENATE(SAISIE!B108,"/",SAISIE!$B$4,"/",SAISIE!$B$5)))</f>
        <v>#REF!</v>
      </c>
      <c r="C1577" s="63" t="e">
        <f>IF(SAISIE!#REF!="","",SAISIE!#REF!)</f>
        <v>#REF!</v>
      </c>
      <c r="D1577" s="63" t="e">
        <f>IF(SAISIE!#REF!="","",SAISIE!E108)</f>
        <v>#REF!</v>
      </c>
      <c r="E1577" s="63" t="e">
        <f>IF(SAISIE!#REF!="","",SAISIE!F108)</f>
        <v>#REF!</v>
      </c>
      <c r="F1577" s="70" t="e">
        <f>IF(SAISIE!#REF!="","",IF(SAISIE!$N108="","",SAISIE!$N108))</f>
        <v>#REF!</v>
      </c>
      <c r="G1577" s="63" t="e">
        <f>IF(SAISIE!#REF!="","",SAISIE!#REF!)</f>
        <v>#REF!</v>
      </c>
      <c r="H1577" s="63"/>
      <c r="I1577" s="63" t="e">
        <f>IF(SAISIE!#REF!="","",SAISIE!$Q108)</f>
        <v>#REF!</v>
      </c>
      <c r="J1577" s="71" t="str">
        <f>IF(COUNTBLANK(SAISIE!$J$6:$M$6)=4,"",IF(SAISIE!#REF!="","",IF(SAISIE!J108&gt;0,SAISIE!$J$6,IF(SAISIE!K108&gt;0,SAISIE!$K$6,IF(SAISIE!L108&gt;0,SAISIE!$L$6,IF(SAISIE!M108&gt;0,SAISIE!$M$6,""))))))</f>
        <v/>
      </c>
      <c r="O1577" s="59" t="s">
        <v>56</v>
      </c>
    </row>
    <row r="1578" spans="1:15" x14ac:dyDescent="0.25">
      <c r="A1578" s="63" t="e">
        <f>IF(AND(G1578="",H1578=""),"SUPPR",SAISIE!$B$3)</f>
        <v>#REF!</v>
      </c>
      <c r="B1578" s="63" t="e">
        <f>IF(SAISIE!#REF!="","",IF(LEN(SAISIE!B108)=1,CONCATENATE("0",SAISIE!B108,"/",SAISIE!$B$4,"/",SAISIE!$B$5),CONCATENATE(SAISIE!B108,"/",SAISIE!$B$4,"/",SAISIE!$B$5)))</f>
        <v>#REF!</v>
      </c>
      <c r="C1578" s="63" t="e">
        <f>IF(SAISIE!#REF!="","",SAISIE!#REF!)</f>
        <v>#REF!</v>
      </c>
      <c r="D1578" s="63" t="e">
        <f>IF(SAISIE!#REF!="","",SAISIE!E108)</f>
        <v>#REF!</v>
      </c>
      <c r="E1578" s="63" t="e">
        <f>IF(SAISIE!#REF!="","",SAISIE!F108)</f>
        <v>#REF!</v>
      </c>
      <c r="F1578" s="70" t="e">
        <f>IF(SAISIE!#REF!="","",IF(SAISIE!$N108="","",SAISIE!$N108))</f>
        <v>#REF!</v>
      </c>
      <c r="G1578" s="63" t="e">
        <f>IF(SAISIE!#REF!="","",SAISIE!#REF!)</f>
        <v>#REF!</v>
      </c>
      <c r="H1578" s="63"/>
      <c r="I1578" s="63" t="e">
        <f>IF(SAISIE!#REF!="","",SAISIE!$Q108)</f>
        <v>#REF!</v>
      </c>
      <c r="J1578" s="71" t="str">
        <f>IF(COUNTBLANK(SAISIE!$J$6:$M$6)=4,"",IF(SAISIE!#REF!="","",IF(SAISIE!J108&gt;0,SAISIE!$J$6,IF(SAISIE!K108&gt;0,SAISIE!$K$6,IF(SAISIE!L108&gt;0,SAISIE!$L$6,IF(SAISIE!M108&gt;0,SAISIE!$M$6,""))))))</f>
        <v/>
      </c>
      <c r="O1578" s="59" t="s">
        <v>57</v>
      </c>
    </row>
    <row r="1579" spans="1:15" x14ac:dyDescent="0.25">
      <c r="A1579" s="63" t="e">
        <f>IF(AND(G1579="",H1579=""),"SUPPR",SAISIE!$B$3)</f>
        <v>#REF!</v>
      </c>
      <c r="B1579" s="63" t="e">
        <f>IF(SAISIE!#REF!="","",IF(LEN(SAISIE!B108)=1,CONCATENATE("0",SAISIE!B108,"/",SAISIE!$B$4,"/",SAISIE!$B$5),CONCATENATE(SAISIE!B108,"/",SAISIE!$B$4,"/",SAISIE!$B$5)))</f>
        <v>#REF!</v>
      </c>
      <c r="C1579" s="63" t="e">
        <f>IF(SAISIE!#REF!="","",SAISIE!#REF!)</f>
        <v>#REF!</v>
      </c>
      <c r="D1579" s="63" t="e">
        <f>IF(SAISIE!#REF!="","",SAISIE!E108)</f>
        <v>#REF!</v>
      </c>
      <c r="E1579" s="63" t="e">
        <f>IF(SAISIE!#REF!="","",SAISIE!F108)</f>
        <v>#REF!</v>
      </c>
      <c r="F1579" s="70" t="e">
        <f>IF(SAISIE!#REF!="","",IF(SAISIE!$N108="","",SAISIE!$N108))</f>
        <v>#REF!</v>
      </c>
      <c r="G1579" s="63" t="e">
        <f>IF(SAISIE!#REF!="","",SAISIE!#REF!)</f>
        <v>#REF!</v>
      </c>
      <c r="H1579" s="63"/>
      <c r="I1579" s="63" t="e">
        <f>IF(SAISIE!#REF!="","",SAISIE!$Q108)</f>
        <v>#REF!</v>
      </c>
      <c r="J1579" s="71" t="str">
        <f>IF(COUNTBLANK(SAISIE!$J$6:$M$6)=4,"",IF(SAISIE!#REF!="","",IF(SAISIE!J108&gt;0,SAISIE!$J$6,IF(SAISIE!K108&gt;0,SAISIE!$K$6,IF(SAISIE!L108&gt;0,SAISIE!$L$6,IF(SAISIE!M108&gt;0,SAISIE!$M$6,""))))))</f>
        <v/>
      </c>
      <c r="O1579" s="59" t="s">
        <v>58</v>
      </c>
    </row>
    <row r="1580" spans="1:15" x14ac:dyDescent="0.25">
      <c r="A1580" s="63" t="e">
        <f>IF(AND(G1580="",H1580=""),"SUPPR",SAISIE!$B$3)</f>
        <v>#REF!</v>
      </c>
      <c r="B1580" s="63" t="e">
        <f>IF(SAISIE!#REF!="","",IF(LEN(SAISIE!B108)=1,CONCATENATE("0",SAISIE!B108,"/",SAISIE!$B$4,"/",SAISIE!$B$5),CONCATENATE(SAISIE!B108,"/",SAISIE!$B$4,"/",SAISIE!$B$5)))</f>
        <v>#REF!</v>
      </c>
      <c r="C1580" s="63" t="e">
        <f>IF(SAISIE!#REF!="","",SAISIE!#REF!)</f>
        <v>#REF!</v>
      </c>
      <c r="D1580" s="63" t="e">
        <f>IF(SAISIE!#REF!="","",SAISIE!E108)</f>
        <v>#REF!</v>
      </c>
      <c r="E1580" s="63" t="e">
        <f>IF(SAISIE!#REF!="","",SAISIE!F108)</f>
        <v>#REF!</v>
      </c>
      <c r="F1580" s="70" t="e">
        <f>IF(SAISIE!#REF!="","",IF(SAISIE!$N108="","",SAISIE!$N108))</f>
        <v>#REF!</v>
      </c>
      <c r="G1580" s="63" t="e">
        <f>IF(SAISIE!#REF!="","",SAISIE!#REF!)</f>
        <v>#REF!</v>
      </c>
      <c r="H1580" s="63"/>
      <c r="I1580" s="63" t="e">
        <f>IF(SAISIE!#REF!="","",SAISIE!$Q108)</f>
        <v>#REF!</v>
      </c>
      <c r="J1580" s="71" t="str">
        <f>IF(COUNTBLANK(SAISIE!$J$6:$M$6)=4,"",IF(SAISIE!#REF!="","",IF(SAISIE!J108&gt;0,SAISIE!$J$6,IF(SAISIE!K108&gt;0,SAISIE!$K$6,IF(SAISIE!L108&gt;0,SAISIE!$L$6,IF(SAISIE!M108&gt;0,SAISIE!$M$6,""))))))</f>
        <v/>
      </c>
      <c r="O1580" s="59" t="s">
        <v>59</v>
      </c>
    </row>
    <row r="1581" spans="1:15" x14ac:dyDescent="0.25">
      <c r="A1581" s="63" t="e">
        <f>IF(AND(G1581="",H1581=""),"SUPPR",SAISIE!$B$3)</f>
        <v>#REF!</v>
      </c>
      <c r="B1581" s="63" t="e">
        <f>IF(SAISIE!#REF!="","",IF(LEN(SAISIE!B108)=1,CONCATENATE("0",SAISIE!B108,"/",SAISIE!$B$4,"/",SAISIE!$B$5),CONCATENATE(SAISIE!B108,"/",SAISIE!$B$4,"/",SAISIE!$B$5)))</f>
        <v>#REF!</v>
      </c>
      <c r="C1581" s="63" t="e">
        <f>IF(SAISIE!#REF!="","",SAISIE!#REF!)</f>
        <v>#REF!</v>
      </c>
      <c r="D1581" s="63" t="e">
        <f>IF(SAISIE!#REF!="","",SAISIE!E108)</f>
        <v>#REF!</v>
      </c>
      <c r="E1581" s="63" t="e">
        <f>IF(SAISIE!#REF!="","",SAISIE!F108)</f>
        <v>#REF!</v>
      </c>
      <c r="F1581" s="70" t="e">
        <f>IF(SAISIE!#REF!="","",IF(SAISIE!$N108="","",SAISIE!$N108))</f>
        <v>#REF!</v>
      </c>
      <c r="G1581" s="63" t="e">
        <f>IF(SAISIE!#REF!="","",SAISIE!#REF!)</f>
        <v>#REF!</v>
      </c>
      <c r="H1581" s="63"/>
      <c r="I1581" s="63" t="e">
        <f>IF(SAISIE!#REF!="","",SAISIE!$Q108)</f>
        <v>#REF!</v>
      </c>
      <c r="J1581" s="71" t="str">
        <f>IF(COUNTBLANK(SAISIE!$J$6:$M$6)=4,"",IF(SAISIE!#REF!="","",IF(SAISIE!J108&gt;0,SAISIE!$J$6,IF(SAISIE!K108&gt;0,SAISIE!$K$6,IF(SAISIE!L108&gt;0,SAISIE!$L$6,IF(SAISIE!M108&gt;0,SAISIE!$M$6,""))))))</f>
        <v/>
      </c>
      <c r="O1581" s="59" t="s">
        <v>60</v>
      </c>
    </row>
    <row r="1582" spans="1:15" x14ac:dyDescent="0.25">
      <c r="A1582" s="63" t="str">
        <f>IF(AND(G1582="",H1582=""),"SUPPR",SAISIE!$B$3)</f>
        <v>SUPPR</v>
      </c>
      <c r="B1582" s="63" t="str">
        <f>IF(SAISIE!J108="","",IF(LEN(SAISIE!B108)=1,CONCATENATE("0",SAISIE!B108,"/",SAISIE!$B$4,"/",SAISIE!$B$5),CONCATENATE(SAISIE!B108,"/",SAISIE!$B$4,"/",SAISIE!$B$5)))</f>
        <v/>
      </c>
      <c r="C1582" s="63" t="str">
        <f>IF(SAISIE!J108="","",SAISIE!$J$8)</f>
        <v/>
      </c>
      <c r="D1582" s="63" t="str">
        <f>IF(SAISIE!J108="","",SAISIE!E108)</f>
        <v/>
      </c>
      <c r="E1582" s="63" t="str">
        <f>IF(SAISIE!J108="","",SAISIE!F108)</f>
        <v/>
      </c>
      <c r="F1582" s="70" t="str">
        <f>IF(SAISIE!$J108="","",IF(SAISIE!$N108="","",SAISIE!$N108))</f>
        <v/>
      </c>
      <c r="G1582" s="63" t="str">
        <f>IF(SAISIE!J108="","",SAISIE!J108)</f>
        <v/>
      </c>
      <c r="H1582" s="63"/>
      <c r="I1582" s="72"/>
      <c r="J1582" s="71"/>
      <c r="O1582" s="73"/>
    </row>
    <row r="1583" spans="1:15" x14ac:dyDescent="0.25">
      <c r="A1583" s="63" t="str">
        <f>IF(AND(G1583="",H1583=""),"SUPPR",SAISIE!$B$3)</f>
        <v>SUPPR</v>
      </c>
      <c r="B1583" s="63" t="str">
        <f>IF(SAISIE!K108="","",IF(LEN(SAISIE!B108)=1,CONCATENATE("0",SAISIE!B108,"/",SAISIE!$B$4,"/",SAISIE!$B$5),CONCATENATE(SAISIE!B108,"/",SAISIE!$B$4,"/",SAISIE!$B$5)))</f>
        <v/>
      </c>
      <c r="C1583" s="63" t="str">
        <f>IF(SAISIE!K108="","",SAISIE!$K$8)</f>
        <v/>
      </c>
      <c r="D1583" s="63" t="str">
        <f>IF(SAISIE!K108="","",SAISIE!E108)</f>
        <v/>
      </c>
      <c r="E1583" s="63" t="str">
        <f>IF(SAISIE!K108="","",SAISIE!F108)</f>
        <v/>
      </c>
      <c r="F1583" s="70" t="str">
        <f>IF(SAISIE!$K108="","",IF(SAISIE!$N108="","",SAISIE!$N108))</f>
        <v/>
      </c>
      <c r="G1583" s="63" t="str">
        <f>IF(SAISIE!K108="","",SAISIE!K108)</f>
        <v/>
      </c>
      <c r="H1583" s="63"/>
      <c r="I1583" s="72"/>
      <c r="J1583" s="71"/>
    </row>
    <row r="1584" spans="1:15" x14ac:dyDescent="0.25">
      <c r="A1584" s="63" t="str">
        <f>IF(AND(G1584="",H1584=""),"SUPPR",SAISIE!$B$3)</f>
        <v>SUPPR</v>
      </c>
      <c r="B1584" s="63" t="str">
        <f>IF(SAISIE!L108="","",IF(LEN(SAISIE!B108)=1,CONCATENATE("0",SAISIE!B108,"/",SAISIE!$B$4,"/",SAISIE!$B$5),CONCATENATE(SAISIE!B108,"/",SAISIE!$B$4,"/",SAISIE!$B$5)))</f>
        <v/>
      </c>
      <c r="C1584" s="63" t="str">
        <f>IF(SAISIE!L108="","",SAISIE!$L$8)</f>
        <v/>
      </c>
      <c r="D1584" s="63" t="str">
        <f>IF(SAISIE!L108="","",SAISIE!E108)</f>
        <v/>
      </c>
      <c r="E1584" s="63" t="str">
        <f>IF(SAISIE!L108="","",SAISIE!F108)</f>
        <v/>
      </c>
      <c r="F1584" s="70" t="str">
        <f>IF(SAISIE!$L108="","",IF(SAISIE!$N108="","",SAISIE!$N108))</f>
        <v/>
      </c>
      <c r="G1584" s="63" t="str">
        <f>IF(SAISIE!L108="","",SAISIE!L108)</f>
        <v/>
      </c>
      <c r="H1584" s="63"/>
      <c r="I1584" s="72"/>
      <c r="J1584" s="71"/>
    </row>
    <row r="1585" spans="1:15" x14ac:dyDescent="0.25">
      <c r="A1585" s="63" t="str">
        <f>IF(AND(G1585="",H1585=""),"SUPPR",SAISIE!$B$3)</f>
        <v>SUPPR</v>
      </c>
      <c r="B1585" s="63" t="str">
        <f>IF(SAISIE!M108="","",IF(LEN(SAISIE!B108)=1,CONCATENATE("0",SAISIE!B108,"/",SAISIE!$B$4,"/",SAISIE!$B$5),CONCATENATE(SAISIE!B108,"/",SAISIE!$B$4,"/",SAISIE!$B$5)))</f>
        <v/>
      </c>
      <c r="C1585" s="74" t="str">
        <f>IF(SAISIE!M108="","",SAISIE!$M$8)</f>
        <v/>
      </c>
      <c r="D1585" s="74" t="str">
        <f>IF(SAISIE!M108="","",SAISIE!E108)</f>
        <v/>
      </c>
      <c r="E1585" s="74" t="str">
        <f>IF(SAISIE!M108="","",SAISIE!F108)</f>
        <v/>
      </c>
      <c r="F1585" s="75" t="str">
        <f>IF(SAISIE!$M108="","",IF(SAISIE!$N108="","",SAISIE!$N108))</f>
        <v/>
      </c>
      <c r="G1585" s="74" t="str">
        <f>IF(SAISIE!M108="","",SAISIE!M108)</f>
        <v/>
      </c>
      <c r="H1585" s="76"/>
      <c r="I1585" s="77"/>
      <c r="J1585" s="78"/>
    </row>
    <row r="1586" spans="1:15" x14ac:dyDescent="0.25">
      <c r="A1586" s="63" t="str">
        <f>IF(AND(G1586="",H1586=""),"SUPPR",SAISIE!$B$3)</f>
        <v>SUPPR</v>
      </c>
      <c r="B1586" s="64" t="str">
        <f>IF(SAISIE!B109="","",IF(LEN(SAISIE!B109)=1,CONCATENATE("0",SAISIE!B109,"/",SAISIE!$B$4,"/",SAISIE!$B$5),CONCATENATE(SAISIE!B109,"/",SAISIE!$B$4,"/",SAISIE!$B$5)))</f>
        <v/>
      </c>
      <c r="C1586" s="64" t="str">
        <f>IF(SAISIE!B109="","",CONCATENATE($M$2,SAISIE!C109))</f>
        <v/>
      </c>
      <c r="D1586" s="64" t="str">
        <f>IF(SAISIE!B109="","",SAISIE!E109)</f>
        <v/>
      </c>
      <c r="E1586" s="64" t="str">
        <f>IF(SAISIE!B109="","",SAISIE!F109)</f>
        <v/>
      </c>
      <c r="F1586" s="65" t="str">
        <f>IF(A1586="SUPPR","",IF(SAISIE!N109="","",SAISIE!N109))</f>
        <v/>
      </c>
      <c r="G1586" s="64"/>
      <c r="H1586" s="64" t="str">
        <f>IF(SAISIE!B109="","",SAISIE!D109)</f>
        <v/>
      </c>
      <c r="I1586" s="66"/>
      <c r="J1586" s="67" t="str">
        <f>IF(AZ109="","","")</f>
        <v/>
      </c>
      <c r="O1586" s="69">
        <f>O1570+1</f>
        <v>109</v>
      </c>
    </row>
    <row r="1587" spans="1:15" x14ac:dyDescent="0.25">
      <c r="A1587" s="63" t="str">
        <f>IF(AND(G1587="",H1587=""),"SUPPR",SAISIE!$B$3)</f>
        <v>SUPPR</v>
      </c>
      <c r="B1587" s="63" t="str">
        <f>IF(SAISIE!P109="","",IF(LEN(SAISIE!B109)=1,CONCATENATE("0",SAISIE!B109,"/",SAISIE!$B$4,"/",SAISIE!$B$5),CONCATENATE(SAISIE!B109,"/",SAISIE!$B$4,"/",SAISIE!$B$5)))</f>
        <v/>
      </c>
      <c r="C1587" s="63" t="str">
        <f>IF(SAISIE!P109="","",SAISIE!O109)</f>
        <v/>
      </c>
      <c r="D1587" s="63" t="str">
        <f>IF(SAISIE!P109="","",SAISIE!E109)</f>
        <v/>
      </c>
      <c r="E1587" s="63" t="str">
        <f>IF(SAISIE!P109="","",SAISIE!F109)</f>
        <v/>
      </c>
      <c r="F1587" s="70" t="str">
        <f>IF(SAISIE!$P109="","",IF(SAISIE!$N109="","",SAISIE!$N109))</f>
        <v/>
      </c>
      <c r="G1587" s="63" t="str">
        <f>IF(SAISIE!P109="","",SAISIE!P109)</f>
        <v/>
      </c>
      <c r="H1587" s="63"/>
      <c r="I1587" s="63" t="str">
        <f>IF(SAISIE!$P109="","",SAISIE!$Q109)</f>
        <v/>
      </c>
      <c r="J1587" s="71" t="str">
        <f>IF(COUNTBLANK(SAISIE!$J$6:$M$6)=4,"",IF(SAISIE!P109="","",IF(SAISIE!J109&gt;0,SAISIE!$J$6,IF(SAISIE!K109&gt;0,SAISIE!$K$6,IF(SAISIE!L109&gt;0,SAISIE!$L$6,IF(SAISIE!M109&gt;0,SAISIE!$M$6,""))))))</f>
        <v/>
      </c>
      <c r="O1587" s="59" t="s">
        <v>50</v>
      </c>
    </row>
    <row r="1588" spans="1:15" x14ac:dyDescent="0.25">
      <c r="A1588" s="63" t="str">
        <f>IF(AND(G1588="",H1588=""),"SUPPR",SAISIE!$B$3)</f>
        <v>SUPPR</v>
      </c>
      <c r="B1588" s="63" t="str">
        <f>IF(SAISIE!G109="","",IF(LEN(SAISIE!B109)=1,CONCATENATE("0",SAISIE!B109,"/",SAISIE!$B$4,"/",SAISIE!$B$5),CONCATENATE(SAISIE!B109,"/",SAISIE!$B$4,"/",SAISIE!$B$5)))</f>
        <v/>
      </c>
      <c r="C1588" s="63" t="str">
        <f>IF(SAISIE!G109="","",SAISIE!$G$8)</f>
        <v/>
      </c>
      <c r="D1588" s="63" t="str">
        <f>IF(SAISIE!G109="","",SAISIE!E109)</f>
        <v/>
      </c>
      <c r="E1588" s="63" t="str">
        <f>IF(SAISIE!G109="","",SAISIE!F109)</f>
        <v/>
      </c>
      <c r="F1588" s="70" t="str">
        <f>IF(SAISIE!$G109="","",IF(SAISIE!$N109="","",SAISIE!$N109))</f>
        <v/>
      </c>
      <c r="G1588" s="63" t="str">
        <f>IF(SAISIE!G109="","",SAISIE!G109)</f>
        <v/>
      </c>
      <c r="H1588" s="63"/>
      <c r="I1588" s="63" t="str">
        <f>IF(SAISIE!$G109="","",SAISIE!$Q109)</f>
        <v/>
      </c>
      <c r="J1588" s="71" t="str">
        <f>IF(COUNTBLANK(SAISIE!$J$6:$M$6)=4,"",IF(SAISIE!G109="","",IF(SAISIE!J109&gt;0,SAISIE!$J$6,IF(SAISIE!K109&gt;0,SAISIE!$K$6,IF(SAISIE!L109&gt;0,SAISIE!$L$6,IF(SAISIE!M109&gt;0,SAISIE!$M$6,""))))))</f>
        <v/>
      </c>
      <c r="O1588" s="59" t="s">
        <v>51</v>
      </c>
    </row>
    <row r="1589" spans="1:15" x14ac:dyDescent="0.25">
      <c r="A1589" s="63" t="str">
        <f>IF(AND(G1589="",H1589=""),"SUPPR",SAISIE!$B$3)</f>
        <v>SUPPR</v>
      </c>
      <c r="B1589" s="63" t="str">
        <f>IF(SAISIE!H109="","",IF(LEN(SAISIE!B109)=1,CONCATENATE("0",SAISIE!B109,"/",SAISIE!$B$4,"/",SAISIE!$B$5),CONCATENATE(SAISIE!B109,"/",SAISIE!$B$4,"/",SAISIE!$B$5)))</f>
        <v/>
      </c>
      <c r="C1589" s="63" t="str">
        <f>IF(SAISIE!H109="","",SAISIE!$H$8)</f>
        <v/>
      </c>
      <c r="D1589" s="63" t="str">
        <f>IF(SAISIE!H109="","",SAISIE!E109)</f>
        <v/>
      </c>
      <c r="E1589" s="63" t="str">
        <f>IF(SAISIE!H109="","",SAISIE!F109)</f>
        <v/>
      </c>
      <c r="F1589" s="70" t="str">
        <f>IF(SAISIE!$H109="","",IF(SAISIE!$N109="","",SAISIE!$N109))</f>
        <v/>
      </c>
      <c r="G1589" s="63" t="str">
        <f>IF(SAISIE!H109="","",SAISIE!H109)</f>
        <v/>
      </c>
      <c r="H1589" s="63"/>
      <c r="I1589" s="63" t="str">
        <f>IF(SAISIE!$H109="","",SAISIE!$Q109)</f>
        <v/>
      </c>
      <c r="J1589" s="71" t="str">
        <f>IF(COUNTBLANK(SAISIE!$J$6:$M$6)=4,"",IF(SAISIE!H109="","",IF(SAISIE!J109&gt;0,SAISIE!$J$6,IF(SAISIE!K109&gt;0,SAISIE!$K$6,IF(SAISIE!L109&gt;0,SAISIE!$L$6,IF(SAISIE!M109&gt;0,SAISIE!$M$6,""))))))</f>
        <v/>
      </c>
      <c r="O1589" s="59" t="s">
        <v>52</v>
      </c>
    </row>
    <row r="1590" spans="1:15" x14ac:dyDescent="0.25">
      <c r="A1590" s="63" t="str">
        <f>IF(AND(G1590="",H1590=""),"SUPPR",SAISIE!$B$3)</f>
        <v>SUPPR</v>
      </c>
      <c r="B1590" s="63" t="str">
        <f>IF(SAISIE!I109="","",IF(LEN(SAISIE!B109)=1,CONCATENATE("0",SAISIE!B109,"/",SAISIE!$B$4,"/",SAISIE!$B$5),CONCATENATE(SAISIE!B109,"/",SAISIE!$B$4,"/",SAISIE!$B$5)))</f>
        <v/>
      </c>
      <c r="C1590" s="63" t="str">
        <f>IF(SAISIE!I109="","",SAISIE!$I$8)</f>
        <v/>
      </c>
      <c r="D1590" s="63" t="str">
        <f>IF(SAISIE!I109="","",SAISIE!E109)</f>
        <v/>
      </c>
      <c r="E1590" s="63" t="str">
        <f>IF(SAISIE!I109="","",SAISIE!F109)</f>
        <v/>
      </c>
      <c r="F1590" s="70" t="str">
        <f>IF(SAISIE!$I109="","",IF(SAISIE!$N109="","",SAISIE!$N109))</f>
        <v/>
      </c>
      <c r="G1590" s="63" t="str">
        <f>IF(SAISIE!I109="","",SAISIE!I109)</f>
        <v/>
      </c>
      <c r="H1590" s="63"/>
      <c r="I1590" s="63" t="str">
        <f>IF(SAISIE!$I109="","",SAISIE!$Q109)</f>
        <v/>
      </c>
      <c r="J1590" s="71" t="str">
        <f>IF(COUNTBLANK(SAISIE!$J$6:$M$6)=4,"",IF(SAISIE!I109="","",IF(SAISIE!J109&gt;0,SAISIE!$J$6,IF(SAISIE!K109&gt;0,SAISIE!$K$6,IF(SAISIE!L109&gt;0,SAISIE!$L$6,IF(SAISIE!M109&gt;0,SAISIE!$M$6,""))))))</f>
        <v/>
      </c>
      <c r="O1590" s="59" t="s">
        <v>53</v>
      </c>
    </row>
    <row r="1591" spans="1:15" x14ac:dyDescent="0.25">
      <c r="A1591" s="63" t="e">
        <f>IF(AND(G1591="",H1591=""),"SUPPR",SAISIE!$B$3)</f>
        <v>#REF!</v>
      </c>
      <c r="B1591" s="63" t="e">
        <f>IF(SAISIE!#REF!="","",IF(LEN(SAISIE!B109)=1,CONCATENATE("0",SAISIE!B109,"/",SAISIE!$B$4,"/",SAISIE!$B$5),CONCATENATE(SAISIE!B109,"/",SAISIE!$B$4,"/",SAISIE!$B$5)))</f>
        <v>#REF!</v>
      </c>
      <c r="C1591" s="63" t="e">
        <f>IF(SAISIE!#REF!="","",SAISIE!#REF!)</f>
        <v>#REF!</v>
      </c>
      <c r="D1591" s="63" t="e">
        <f>IF(SAISIE!#REF!="","",SAISIE!E109)</f>
        <v>#REF!</v>
      </c>
      <c r="E1591" s="63" t="e">
        <f>IF(SAISIE!#REF!="","",SAISIE!F109)</f>
        <v>#REF!</v>
      </c>
      <c r="F1591" s="70" t="e">
        <f>IF(SAISIE!#REF!="","",IF(SAISIE!$N109="","",SAISIE!$N109))</f>
        <v>#REF!</v>
      </c>
      <c r="G1591" s="63" t="e">
        <f>IF(SAISIE!#REF!="","",SAISIE!#REF!)</f>
        <v>#REF!</v>
      </c>
      <c r="H1591" s="63"/>
      <c r="I1591" s="63" t="e">
        <f>IF(SAISIE!#REF!="","",SAISIE!$Q109)</f>
        <v>#REF!</v>
      </c>
      <c r="J1591" s="71" t="str">
        <f>IF(COUNTBLANK(SAISIE!$J$6:$M$6)=4,"",IF(SAISIE!#REF!="","",IF(SAISIE!J109&gt;0,SAISIE!$J$6,IF(SAISIE!K109&gt;0,SAISIE!$K$6,IF(SAISIE!L109&gt;0,SAISIE!$L$6,IF(SAISIE!M109&gt;0,SAISIE!$M$6,""))))))</f>
        <v/>
      </c>
      <c r="O1591" s="59" t="s">
        <v>54</v>
      </c>
    </row>
    <row r="1592" spans="1:15" x14ac:dyDescent="0.25">
      <c r="A1592" s="63" t="e">
        <f>IF(AND(G1592="",H1592=""),"SUPPR",SAISIE!$B$3)</f>
        <v>#REF!</v>
      </c>
      <c r="B1592" s="63" t="e">
        <f>IF(SAISIE!#REF!="","",IF(LEN(SAISIE!B109)=1,CONCATENATE("0",SAISIE!B109,"/",SAISIE!$B$4,"/",SAISIE!$B$5),CONCATENATE(SAISIE!B109,"/",SAISIE!$B$4,"/",SAISIE!$B$5)))</f>
        <v>#REF!</v>
      </c>
      <c r="C1592" s="63" t="e">
        <f>IF(SAISIE!#REF!="","",SAISIE!#REF!)</f>
        <v>#REF!</v>
      </c>
      <c r="D1592" s="63" t="e">
        <f>IF(SAISIE!#REF!="","",SAISIE!E109)</f>
        <v>#REF!</v>
      </c>
      <c r="E1592" s="63" t="e">
        <f>IF(SAISIE!#REF!="","",SAISIE!F109)</f>
        <v>#REF!</v>
      </c>
      <c r="F1592" s="70" t="e">
        <f>IF(SAISIE!#REF!="","",IF(SAISIE!$N109="","",SAISIE!$N109))</f>
        <v>#REF!</v>
      </c>
      <c r="G1592" s="63" t="e">
        <f>IF(SAISIE!#REF!="","",SAISIE!#REF!)</f>
        <v>#REF!</v>
      </c>
      <c r="H1592" s="63"/>
      <c r="I1592" s="63" t="e">
        <f>IF(SAISIE!#REF!="","",SAISIE!$Q109)</f>
        <v>#REF!</v>
      </c>
      <c r="J1592" s="71" t="str">
        <f>IF(COUNTBLANK(SAISIE!$J$6:$M$6)=4,"",IF(SAISIE!#REF!="","",IF(SAISIE!J109&gt;0,SAISIE!$J$6,IF(SAISIE!K109&gt;0,SAISIE!$K$6,IF(SAISIE!L109&gt;0,SAISIE!$L$6,IF(SAISIE!M109&gt;0,SAISIE!$M$6,""))))))</f>
        <v/>
      </c>
      <c r="O1592" s="59" t="s">
        <v>55</v>
      </c>
    </row>
    <row r="1593" spans="1:15" x14ac:dyDescent="0.25">
      <c r="A1593" s="63" t="e">
        <f>IF(AND(G1593="",H1593=""),"SUPPR",SAISIE!$B$3)</f>
        <v>#REF!</v>
      </c>
      <c r="B1593" s="63" t="e">
        <f>IF(SAISIE!#REF!="","",IF(LEN(SAISIE!B109)=1,CONCATENATE("0",SAISIE!B109,"/",SAISIE!$B$4,"/",SAISIE!$B$5),CONCATENATE(SAISIE!B109,"/",SAISIE!$B$4,"/",SAISIE!$B$5)))</f>
        <v>#REF!</v>
      </c>
      <c r="C1593" s="63" t="e">
        <f>IF(SAISIE!#REF!="","",SAISIE!#REF!)</f>
        <v>#REF!</v>
      </c>
      <c r="D1593" s="63" t="e">
        <f>IF(SAISIE!#REF!="","",SAISIE!E109)</f>
        <v>#REF!</v>
      </c>
      <c r="E1593" s="63" t="e">
        <f>IF(SAISIE!#REF!="","",SAISIE!F109)</f>
        <v>#REF!</v>
      </c>
      <c r="F1593" s="70" t="e">
        <f>IF(SAISIE!#REF!="","",IF(SAISIE!$N109="","",SAISIE!$N109))</f>
        <v>#REF!</v>
      </c>
      <c r="G1593" s="63" t="e">
        <f>IF(SAISIE!#REF!="","",SAISIE!#REF!)</f>
        <v>#REF!</v>
      </c>
      <c r="H1593" s="63"/>
      <c r="I1593" s="63" t="e">
        <f>IF(SAISIE!#REF!="","",SAISIE!$Q109)</f>
        <v>#REF!</v>
      </c>
      <c r="J1593" s="71" t="str">
        <f>IF(COUNTBLANK(SAISIE!$J$6:$M$6)=4,"",IF(SAISIE!#REF!="","",IF(SAISIE!J109&gt;0,SAISIE!$J$6,IF(SAISIE!K109&gt;0,SAISIE!$K$6,IF(SAISIE!L109&gt;0,SAISIE!$L$6,IF(SAISIE!M109&gt;0,SAISIE!$M$6,""))))))</f>
        <v/>
      </c>
      <c r="O1593" s="59" t="s">
        <v>56</v>
      </c>
    </row>
    <row r="1594" spans="1:15" x14ac:dyDescent="0.25">
      <c r="A1594" s="63" t="e">
        <f>IF(AND(G1594="",H1594=""),"SUPPR",SAISIE!$B$3)</f>
        <v>#REF!</v>
      </c>
      <c r="B1594" s="63" t="e">
        <f>IF(SAISIE!#REF!="","",IF(LEN(SAISIE!B109)=1,CONCATENATE("0",SAISIE!B109,"/",SAISIE!$B$4,"/",SAISIE!$B$5),CONCATENATE(SAISIE!B109,"/",SAISIE!$B$4,"/",SAISIE!$B$5)))</f>
        <v>#REF!</v>
      </c>
      <c r="C1594" s="63" t="e">
        <f>IF(SAISIE!#REF!="","",SAISIE!#REF!)</f>
        <v>#REF!</v>
      </c>
      <c r="D1594" s="63" t="e">
        <f>IF(SAISIE!#REF!="","",SAISIE!E109)</f>
        <v>#REF!</v>
      </c>
      <c r="E1594" s="63" t="e">
        <f>IF(SAISIE!#REF!="","",SAISIE!F109)</f>
        <v>#REF!</v>
      </c>
      <c r="F1594" s="70" t="e">
        <f>IF(SAISIE!#REF!="","",IF(SAISIE!$N109="","",SAISIE!$N109))</f>
        <v>#REF!</v>
      </c>
      <c r="G1594" s="63" t="e">
        <f>IF(SAISIE!#REF!="","",SAISIE!#REF!)</f>
        <v>#REF!</v>
      </c>
      <c r="H1594" s="63"/>
      <c r="I1594" s="63" t="e">
        <f>IF(SAISIE!#REF!="","",SAISIE!$Q109)</f>
        <v>#REF!</v>
      </c>
      <c r="J1594" s="71" t="str">
        <f>IF(COUNTBLANK(SAISIE!$J$6:$M$6)=4,"",IF(SAISIE!#REF!="","",IF(SAISIE!J109&gt;0,SAISIE!$J$6,IF(SAISIE!K109&gt;0,SAISIE!$K$6,IF(SAISIE!L109&gt;0,SAISIE!$L$6,IF(SAISIE!M109&gt;0,SAISIE!$M$6,""))))))</f>
        <v/>
      </c>
      <c r="O1594" s="59" t="s">
        <v>57</v>
      </c>
    </row>
    <row r="1595" spans="1:15" x14ac:dyDescent="0.25">
      <c r="A1595" s="63" t="e">
        <f>IF(AND(G1595="",H1595=""),"SUPPR",SAISIE!$B$3)</f>
        <v>#REF!</v>
      </c>
      <c r="B1595" s="63" t="e">
        <f>IF(SAISIE!#REF!="","",IF(LEN(SAISIE!B109)=1,CONCATENATE("0",SAISIE!B109,"/",SAISIE!$B$4,"/",SAISIE!$B$5),CONCATENATE(SAISIE!B109,"/",SAISIE!$B$4,"/",SAISIE!$B$5)))</f>
        <v>#REF!</v>
      </c>
      <c r="C1595" s="63" t="e">
        <f>IF(SAISIE!#REF!="","",SAISIE!#REF!)</f>
        <v>#REF!</v>
      </c>
      <c r="D1595" s="63" t="e">
        <f>IF(SAISIE!#REF!="","",SAISIE!E109)</f>
        <v>#REF!</v>
      </c>
      <c r="E1595" s="63" t="e">
        <f>IF(SAISIE!#REF!="","",SAISIE!F109)</f>
        <v>#REF!</v>
      </c>
      <c r="F1595" s="70" t="e">
        <f>IF(SAISIE!#REF!="","",IF(SAISIE!$N109="","",SAISIE!$N109))</f>
        <v>#REF!</v>
      </c>
      <c r="G1595" s="63" t="e">
        <f>IF(SAISIE!#REF!="","",SAISIE!#REF!)</f>
        <v>#REF!</v>
      </c>
      <c r="H1595" s="63"/>
      <c r="I1595" s="63" t="e">
        <f>IF(SAISIE!#REF!="","",SAISIE!$Q109)</f>
        <v>#REF!</v>
      </c>
      <c r="J1595" s="71" t="str">
        <f>IF(COUNTBLANK(SAISIE!$J$6:$M$6)=4,"",IF(SAISIE!#REF!="","",IF(SAISIE!J109&gt;0,SAISIE!$J$6,IF(SAISIE!K109&gt;0,SAISIE!$K$6,IF(SAISIE!L109&gt;0,SAISIE!$L$6,IF(SAISIE!M109&gt;0,SAISIE!$M$6,""))))))</f>
        <v/>
      </c>
      <c r="O1595" s="59" t="s">
        <v>58</v>
      </c>
    </row>
    <row r="1596" spans="1:15" x14ac:dyDescent="0.25">
      <c r="A1596" s="63" t="e">
        <f>IF(AND(G1596="",H1596=""),"SUPPR",SAISIE!$B$3)</f>
        <v>#REF!</v>
      </c>
      <c r="B1596" s="63" t="e">
        <f>IF(SAISIE!#REF!="","",IF(LEN(SAISIE!B109)=1,CONCATENATE("0",SAISIE!B109,"/",SAISIE!$B$4,"/",SAISIE!$B$5),CONCATENATE(SAISIE!B109,"/",SAISIE!$B$4,"/",SAISIE!$B$5)))</f>
        <v>#REF!</v>
      </c>
      <c r="C1596" s="63" t="e">
        <f>IF(SAISIE!#REF!="","",SAISIE!#REF!)</f>
        <v>#REF!</v>
      </c>
      <c r="D1596" s="63" t="e">
        <f>IF(SAISIE!#REF!="","",SAISIE!E109)</f>
        <v>#REF!</v>
      </c>
      <c r="E1596" s="63" t="e">
        <f>IF(SAISIE!#REF!="","",SAISIE!F109)</f>
        <v>#REF!</v>
      </c>
      <c r="F1596" s="70" t="e">
        <f>IF(SAISIE!#REF!="","",IF(SAISIE!$N109="","",SAISIE!$N109))</f>
        <v>#REF!</v>
      </c>
      <c r="G1596" s="63" t="e">
        <f>IF(SAISIE!#REF!="","",SAISIE!#REF!)</f>
        <v>#REF!</v>
      </c>
      <c r="H1596" s="63"/>
      <c r="I1596" s="63" t="e">
        <f>IF(SAISIE!#REF!="","",SAISIE!$Q109)</f>
        <v>#REF!</v>
      </c>
      <c r="J1596" s="71" t="str">
        <f>IF(COUNTBLANK(SAISIE!$J$6:$M$6)=4,"",IF(SAISIE!#REF!="","",IF(SAISIE!J109&gt;0,SAISIE!$J$6,IF(SAISIE!K109&gt;0,SAISIE!$K$6,IF(SAISIE!L109&gt;0,SAISIE!$L$6,IF(SAISIE!M109&gt;0,SAISIE!$M$6,""))))))</f>
        <v/>
      </c>
      <c r="O1596" s="59" t="s">
        <v>59</v>
      </c>
    </row>
    <row r="1597" spans="1:15" x14ac:dyDescent="0.25">
      <c r="A1597" s="63" t="e">
        <f>IF(AND(G1597="",H1597=""),"SUPPR",SAISIE!$B$3)</f>
        <v>#REF!</v>
      </c>
      <c r="B1597" s="63" t="e">
        <f>IF(SAISIE!#REF!="","",IF(LEN(SAISIE!B109)=1,CONCATENATE("0",SAISIE!B109,"/",SAISIE!$B$4,"/",SAISIE!$B$5),CONCATENATE(SAISIE!B109,"/",SAISIE!$B$4,"/",SAISIE!$B$5)))</f>
        <v>#REF!</v>
      </c>
      <c r="C1597" s="63" t="e">
        <f>IF(SAISIE!#REF!="","",SAISIE!#REF!)</f>
        <v>#REF!</v>
      </c>
      <c r="D1597" s="63" t="e">
        <f>IF(SAISIE!#REF!="","",SAISIE!E109)</f>
        <v>#REF!</v>
      </c>
      <c r="E1597" s="63" t="e">
        <f>IF(SAISIE!#REF!="","",SAISIE!F109)</f>
        <v>#REF!</v>
      </c>
      <c r="F1597" s="70" t="e">
        <f>IF(SAISIE!#REF!="","",IF(SAISIE!$N109="","",SAISIE!$N109))</f>
        <v>#REF!</v>
      </c>
      <c r="G1597" s="63" t="e">
        <f>IF(SAISIE!#REF!="","",SAISIE!#REF!)</f>
        <v>#REF!</v>
      </c>
      <c r="H1597" s="63"/>
      <c r="I1597" s="63" t="e">
        <f>IF(SAISIE!#REF!="","",SAISIE!$Q109)</f>
        <v>#REF!</v>
      </c>
      <c r="J1597" s="71" t="str">
        <f>IF(COUNTBLANK(SAISIE!$J$6:$M$6)=4,"",IF(SAISIE!#REF!="","",IF(SAISIE!J109&gt;0,SAISIE!$J$6,IF(SAISIE!K109&gt;0,SAISIE!$K$6,IF(SAISIE!L109&gt;0,SAISIE!$L$6,IF(SAISIE!M109&gt;0,SAISIE!$M$6,""))))))</f>
        <v/>
      </c>
      <c r="O1597" s="59" t="s">
        <v>60</v>
      </c>
    </row>
    <row r="1598" spans="1:15" x14ac:dyDescent="0.25">
      <c r="A1598" s="63" t="str">
        <f>IF(AND(G1598="",H1598=""),"SUPPR",SAISIE!$B$3)</f>
        <v>SUPPR</v>
      </c>
      <c r="B1598" s="63" t="str">
        <f>IF(SAISIE!J109="","",IF(LEN(SAISIE!B109)=1,CONCATENATE("0",SAISIE!B109,"/",SAISIE!$B$4,"/",SAISIE!$B$5),CONCATENATE(SAISIE!B109,"/",SAISIE!$B$4,"/",SAISIE!$B$5)))</f>
        <v/>
      </c>
      <c r="C1598" s="63" t="str">
        <f>IF(SAISIE!J109="","",SAISIE!$J$8)</f>
        <v/>
      </c>
      <c r="D1598" s="63" t="str">
        <f>IF(SAISIE!J109="","",SAISIE!E109)</f>
        <v/>
      </c>
      <c r="E1598" s="63" t="str">
        <f>IF(SAISIE!J109="","",SAISIE!F109)</f>
        <v/>
      </c>
      <c r="F1598" s="70" t="str">
        <f>IF(SAISIE!$J109="","",IF(SAISIE!$N109="","",SAISIE!$N109))</f>
        <v/>
      </c>
      <c r="G1598" s="63" t="str">
        <f>IF(SAISIE!J109="","",SAISIE!J109)</f>
        <v/>
      </c>
      <c r="H1598" s="63"/>
      <c r="I1598" s="72"/>
      <c r="J1598" s="71"/>
      <c r="O1598" s="73"/>
    </row>
    <row r="1599" spans="1:15" x14ac:dyDescent="0.25">
      <c r="A1599" s="63" t="str">
        <f>IF(AND(G1599="",H1599=""),"SUPPR",SAISIE!$B$3)</f>
        <v>SUPPR</v>
      </c>
      <c r="B1599" s="63" t="str">
        <f>IF(SAISIE!K109="","",IF(LEN(SAISIE!B109)=1,CONCATENATE("0",SAISIE!B109,"/",SAISIE!$B$4,"/",SAISIE!$B$5),CONCATENATE(SAISIE!B109,"/",SAISIE!$B$4,"/",SAISIE!$B$5)))</f>
        <v/>
      </c>
      <c r="C1599" s="63" t="str">
        <f>IF(SAISIE!K109="","",SAISIE!$K$8)</f>
        <v/>
      </c>
      <c r="D1599" s="63" t="str">
        <f>IF(SAISIE!K109="","",SAISIE!E109)</f>
        <v/>
      </c>
      <c r="E1599" s="63" t="str">
        <f>IF(SAISIE!K109="","",SAISIE!F109)</f>
        <v/>
      </c>
      <c r="F1599" s="70" t="str">
        <f>IF(SAISIE!$K109="","",IF(SAISIE!$N109="","",SAISIE!$N109))</f>
        <v/>
      </c>
      <c r="G1599" s="63" t="str">
        <f>IF(SAISIE!K109="","",SAISIE!K109)</f>
        <v/>
      </c>
      <c r="H1599" s="63"/>
      <c r="I1599" s="72"/>
      <c r="J1599" s="71"/>
    </row>
    <row r="1600" spans="1:15" x14ac:dyDescent="0.25">
      <c r="A1600" s="63" t="str">
        <f>IF(AND(G1600="",H1600=""),"SUPPR",SAISIE!$B$3)</f>
        <v>SUPPR</v>
      </c>
      <c r="B1600" s="63" t="str">
        <f>IF(SAISIE!L109="","",IF(LEN(SAISIE!B109)=1,CONCATENATE("0",SAISIE!B109,"/",SAISIE!$B$4,"/",SAISIE!$B$5),CONCATENATE(SAISIE!B109,"/",SAISIE!$B$4,"/",SAISIE!$B$5)))</f>
        <v/>
      </c>
      <c r="C1600" s="63" t="str">
        <f>IF(SAISIE!L109="","",SAISIE!$L$8)</f>
        <v/>
      </c>
      <c r="D1600" s="63" t="str">
        <f>IF(SAISIE!L109="","",SAISIE!E109)</f>
        <v/>
      </c>
      <c r="E1600" s="63" t="str">
        <f>IF(SAISIE!L109="","",SAISIE!F109)</f>
        <v/>
      </c>
      <c r="F1600" s="70" t="str">
        <f>IF(SAISIE!$L109="","",IF(SAISIE!$N109="","",SAISIE!$N109))</f>
        <v/>
      </c>
      <c r="G1600" s="63" t="str">
        <f>IF(SAISIE!L109="","",SAISIE!L109)</f>
        <v/>
      </c>
      <c r="H1600" s="63"/>
      <c r="I1600" s="72"/>
      <c r="J1600" s="71"/>
    </row>
    <row r="1601" spans="1:15" x14ac:dyDescent="0.25">
      <c r="A1601" s="63" t="str">
        <f>IF(AND(G1601="",H1601=""),"SUPPR",SAISIE!$B$3)</f>
        <v>SUPPR</v>
      </c>
      <c r="B1601" s="63" t="str">
        <f>IF(SAISIE!M109="","",IF(LEN(SAISIE!B109)=1,CONCATENATE("0",SAISIE!B109,"/",SAISIE!$B$4,"/",SAISIE!$B$5),CONCATENATE(SAISIE!B109,"/",SAISIE!$B$4,"/",SAISIE!$B$5)))</f>
        <v/>
      </c>
      <c r="C1601" s="74" t="str">
        <f>IF(SAISIE!M109="","",SAISIE!$M$8)</f>
        <v/>
      </c>
      <c r="D1601" s="74" t="str">
        <f>IF(SAISIE!M109="","",SAISIE!E109)</f>
        <v/>
      </c>
      <c r="E1601" s="74" t="str">
        <f>IF(SAISIE!M109="","",SAISIE!F109)</f>
        <v/>
      </c>
      <c r="F1601" s="75" t="str">
        <f>IF(SAISIE!$M109="","",IF(SAISIE!$N109="","",SAISIE!$N109))</f>
        <v/>
      </c>
      <c r="G1601" s="74" t="str">
        <f>IF(SAISIE!M109="","",SAISIE!M109)</f>
        <v/>
      </c>
      <c r="H1601" s="76"/>
      <c r="I1601" s="77"/>
      <c r="J1601" s="78"/>
    </row>
    <row r="1602" spans="1:15" x14ac:dyDescent="0.25">
      <c r="A1602" s="63" t="str">
        <f>IF(AND(G1602="",H1602=""),"SUPPR",SAISIE!$B$3)</f>
        <v>SUPPR</v>
      </c>
      <c r="B1602" s="64" t="str">
        <f>IF(SAISIE!B110="","",IF(LEN(SAISIE!B110)=1,CONCATENATE("0",SAISIE!B110,"/",SAISIE!$B$4,"/",SAISIE!$B$5),CONCATENATE(SAISIE!B110,"/",SAISIE!$B$4,"/",SAISIE!$B$5)))</f>
        <v/>
      </c>
      <c r="C1602" s="64" t="str">
        <f>IF(SAISIE!B110="","",CONCATENATE($M$2,SAISIE!C110))</f>
        <v/>
      </c>
      <c r="D1602" s="64" t="str">
        <f>IF(SAISIE!B110="","",SAISIE!E110)</f>
        <v/>
      </c>
      <c r="E1602" s="64" t="str">
        <f>IF(SAISIE!B110="","",SAISIE!F110)</f>
        <v/>
      </c>
      <c r="F1602" s="65" t="str">
        <f>IF(A1602="SUPPR","",IF(SAISIE!N110="","",SAISIE!N110))</f>
        <v/>
      </c>
      <c r="G1602" s="64"/>
      <c r="H1602" s="64" t="str">
        <f>IF(SAISIE!B110="","",SAISIE!D110)</f>
        <v/>
      </c>
      <c r="I1602" s="66"/>
      <c r="J1602" s="67" t="str">
        <f>IF(AZ110="","","")</f>
        <v/>
      </c>
      <c r="O1602" s="69">
        <f>O1586+1</f>
        <v>110</v>
      </c>
    </row>
    <row r="1603" spans="1:15" x14ac:dyDescent="0.25">
      <c r="A1603" s="63" t="str">
        <f>IF(AND(G1603="",H1603=""),"SUPPR",SAISIE!$B$3)</f>
        <v>SUPPR</v>
      </c>
      <c r="B1603" s="63" t="str">
        <f>IF(SAISIE!P110="","",IF(LEN(SAISIE!B110)=1,CONCATENATE("0",SAISIE!B110,"/",SAISIE!$B$4,"/",SAISIE!$B$5),CONCATENATE(SAISIE!B110,"/",SAISIE!$B$4,"/",SAISIE!$B$5)))</f>
        <v/>
      </c>
      <c r="C1603" s="63" t="str">
        <f>IF(SAISIE!P110="","",SAISIE!O110)</f>
        <v/>
      </c>
      <c r="D1603" s="63" t="str">
        <f>IF(SAISIE!P110="","",SAISIE!E110)</f>
        <v/>
      </c>
      <c r="E1603" s="63" t="str">
        <f>IF(SAISIE!P110="","",SAISIE!F110)</f>
        <v/>
      </c>
      <c r="F1603" s="70" t="str">
        <f>IF(SAISIE!$P110="","",IF(SAISIE!$N110="","",SAISIE!$N110))</f>
        <v/>
      </c>
      <c r="G1603" s="63" t="str">
        <f>IF(SAISIE!P110="","",SAISIE!P110)</f>
        <v/>
      </c>
      <c r="H1603" s="63"/>
      <c r="I1603" s="63" t="str">
        <f>IF(SAISIE!$P110="","",SAISIE!$Q110)</f>
        <v/>
      </c>
      <c r="J1603" s="71" t="str">
        <f>IF(COUNTBLANK(SAISIE!$J$6:$M$6)=4,"",IF(SAISIE!P110="","",IF(SAISIE!J110&gt;0,SAISIE!$J$6,IF(SAISIE!K110&gt;0,SAISIE!$K$6,IF(SAISIE!L110&gt;0,SAISIE!$L$6,IF(SAISIE!M110&gt;0,SAISIE!$M$6,""))))))</f>
        <v/>
      </c>
      <c r="O1603" s="59" t="s">
        <v>50</v>
      </c>
    </row>
    <row r="1604" spans="1:15" x14ac:dyDescent="0.25">
      <c r="A1604" s="63" t="str">
        <f>IF(AND(G1604="",H1604=""),"SUPPR",SAISIE!$B$3)</f>
        <v>SUPPR</v>
      </c>
      <c r="B1604" s="63" t="str">
        <f>IF(SAISIE!G110="","",IF(LEN(SAISIE!B110)=1,CONCATENATE("0",SAISIE!B110,"/",SAISIE!$B$4,"/",SAISIE!$B$5),CONCATENATE(SAISIE!B110,"/",SAISIE!$B$4,"/",SAISIE!$B$5)))</f>
        <v/>
      </c>
      <c r="C1604" s="63" t="str">
        <f>IF(SAISIE!G110="","",SAISIE!$G$8)</f>
        <v/>
      </c>
      <c r="D1604" s="63" t="str">
        <f>IF(SAISIE!G110="","",SAISIE!E110)</f>
        <v/>
      </c>
      <c r="E1604" s="63" t="str">
        <f>IF(SAISIE!G110="","",SAISIE!F110)</f>
        <v/>
      </c>
      <c r="F1604" s="70" t="str">
        <f>IF(SAISIE!$G110="","",IF(SAISIE!$N110="","",SAISIE!$N110))</f>
        <v/>
      </c>
      <c r="G1604" s="63" t="str">
        <f>IF(SAISIE!G110="","",SAISIE!G110)</f>
        <v/>
      </c>
      <c r="H1604" s="63"/>
      <c r="I1604" s="63" t="str">
        <f>IF(SAISIE!$G110="","",SAISIE!$Q110)</f>
        <v/>
      </c>
      <c r="J1604" s="71" t="str">
        <f>IF(COUNTBLANK(SAISIE!$J$6:$M$6)=4,"",IF(SAISIE!G110="","",IF(SAISIE!J110&gt;0,SAISIE!$J$6,IF(SAISIE!K110&gt;0,SAISIE!$K$6,IF(SAISIE!L110&gt;0,SAISIE!$L$6,IF(SAISIE!M110&gt;0,SAISIE!$M$6,""))))))</f>
        <v/>
      </c>
      <c r="O1604" s="59" t="s">
        <v>51</v>
      </c>
    </row>
    <row r="1605" spans="1:15" x14ac:dyDescent="0.25">
      <c r="A1605" s="63" t="str">
        <f>IF(AND(G1605="",H1605=""),"SUPPR",SAISIE!$B$3)</f>
        <v>SUPPR</v>
      </c>
      <c r="B1605" s="63" t="str">
        <f>IF(SAISIE!H110="","",IF(LEN(SAISIE!B110)=1,CONCATENATE("0",SAISIE!B110,"/",SAISIE!$B$4,"/",SAISIE!$B$5),CONCATENATE(SAISIE!B110,"/",SAISIE!$B$4,"/",SAISIE!$B$5)))</f>
        <v/>
      </c>
      <c r="C1605" s="63" t="str">
        <f>IF(SAISIE!H110="","",SAISIE!$H$8)</f>
        <v/>
      </c>
      <c r="D1605" s="63" t="str">
        <f>IF(SAISIE!H110="","",SAISIE!E110)</f>
        <v/>
      </c>
      <c r="E1605" s="63" t="str">
        <f>IF(SAISIE!H110="","",SAISIE!F110)</f>
        <v/>
      </c>
      <c r="F1605" s="70" t="str">
        <f>IF(SAISIE!$H110="","",IF(SAISIE!$N110="","",SAISIE!$N110))</f>
        <v/>
      </c>
      <c r="G1605" s="63" t="str">
        <f>IF(SAISIE!H110="","",SAISIE!H110)</f>
        <v/>
      </c>
      <c r="H1605" s="63"/>
      <c r="I1605" s="63" t="str">
        <f>IF(SAISIE!$H110="","",SAISIE!$Q110)</f>
        <v/>
      </c>
      <c r="J1605" s="71" t="str">
        <f>IF(COUNTBLANK(SAISIE!$J$6:$M$6)=4,"",IF(SAISIE!H110="","",IF(SAISIE!J110&gt;0,SAISIE!$J$6,IF(SAISIE!K110&gt;0,SAISIE!$K$6,IF(SAISIE!L110&gt;0,SAISIE!$L$6,IF(SAISIE!M110&gt;0,SAISIE!$M$6,""))))))</f>
        <v/>
      </c>
      <c r="O1605" s="59" t="s">
        <v>52</v>
      </c>
    </row>
    <row r="1606" spans="1:15" x14ac:dyDescent="0.25">
      <c r="A1606" s="63" t="str">
        <f>IF(AND(G1606="",H1606=""),"SUPPR",SAISIE!$B$3)</f>
        <v>SUPPR</v>
      </c>
      <c r="B1606" s="63" t="str">
        <f>IF(SAISIE!I110="","",IF(LEN(SAISIE!B110)=1,CONCATENATE("0",SAISIE!B110,"/",SAISIE!$B$4,"/",SAISIE!$B$5),CONCATENATE(SAISIE!B110,"/",SAISIE!$B$4,"/",SAISIE!$B$5)))</f>
        <v/>
      </c>
      <c r="C1606" s="63" t="str">
        <f>IF(SAISIE!I110="","",SAISIE!$I$8)</f>
        <v/>
      </c>
      <c r="D1606" s="63" t="str">
        <f>IF(SAISIE!I110="","",SAISIE!E110)</f>
        <v/>
      </c>
      <c r="E1606" s="63" t="str">
        <f>IF(SAISIE!I110="","",SAISIE!F110)</f>
        <v/>
      </c>
      <c r="F1606" s="70" t="str">
        <f>IF(SAISIE!$I110="","",IF(SAISIE!$N110="","",SAISIE!$N110))</f>
        <v/>
      </c>
      <c r="G1606" s="63" t="str">
        <f>IF(SAISIE!I110="","",SAISIE!I110)</f>
        <v/>
      </c>
      <c r="H1606" s="63"/>
      <c r="I1606" s="63" t="str">
        <f>IF(SAISIE!$I110="","",SAISIE!$Q110)</f>
        <v/>
      </c>
      <c r="J1606" s="71" t="str">
        <f>IF(COUNTBLANK(SAISIE!$J$6:$M$6)=4,"",IF(SAISIE!I110="","",IF(SAISIE!J110&gt;0,SAISIE!$J$6,IF(SAISIE!K110&gt;0,SAISIE!$K$6,IF(SAISIE!L110&gt;0,SAISIE!$L$6,IF(SAISIE!M110&gt;0,SAISIE!$M$6,""))))))</f>
        <v/>
      </c>
      <c r="O1606" s="59" t="s">
        <v>53</v>
      </c>
    </row>
    <row r="1607" spans="1:15" x14ac:dyDescent="0.25">
      <c r="A1607" s="63" t="e">
        <f>IF(AND(G1607="",H1607=""),"SUPPR",SAISIE!$B$3)</f>
        <v>#REF!</v>
      </c>
      <c r="B1607" s="63" t="e">
        <f>IF(SAISIE!#REF!="","",IF(LEN(SAISIE!B110)=1,CONCATENATE("0",SAISIE!B110,"/",SAISIE!$B$4,"/",SAISIE!$B$5),CONCATENATE(SAISIE!B110,"/",SAISIE!$B$4,"/",SAISIE!$B$5)))</f>
        <v>#REF!</v>
      </c>
      <c r="C1607" s="63" t="e">
        <f>IF(SAISIE!#REF!="","",SAISIE!#REF!)</f>
        <v>#REF!</v>
      </c>
      <c r="D1607" s="63" t="e">
        <f>IF(SAISIE!#REF!="","",SAISIE!E110)</f>
        <v>#REF!</v>
      </c>
      <c r="E1607" s="63" t="e">
        <f>IF(SAISIE!#REF!="","",SAISIE!F110)</f>
        <v>#REF!</v>
      </c>
      <c r="F1607" s="70" t="e">
        <f>IF(SAISIE!#REF!="","",IF(SAISIE!$N110="","",SAISIE!$N110))</f>
        <v>#REF!</v>
      </c>
      <c r="G1607" s="63" t="e">
        <f>IF(SAISIE!#REF!="","",SAISIE!#REF!)</f>
        <v>#REF!</v>
      </c>
      <c r="H1607" s="63"/>
      <c r="I1607" s="63" t="e">
        <f>IF(SAISIE!#REF!="","",SAISIE!$Q110)</f>
        <v>#REF!</v>
      </c>
      <c r="J1607" s="71" t="str">
        <f>IF(COUNTBLANK(SAISIE!$J$6:$M$6)=4,"",IF(SAISIE!#REF!="","",IF(SAISIE!J110&gt;0,SAISIE!$J$6,IF(SAISIE!K110&gt;0,SAISIE!$K$6,IF(SAISIE!L110&gt;0,SAISIE!$L$6,IF(SAISIE!M110&gt;0,SAISIE!$M$6,""))))))</f>
        <v/>
      </c>
      <c r="O1607" s="59" t="s">
        <v>54</v>
      </c>
    </row>
    <row r="1608" spans="1:15" x14ac:dyDescent="0.25">
      <c r="A1608" s="63" t="e">
        <f>IF(AND(G1608="",H1608=""),"SUPPR",SAISIE!$B$3)</f>
        <v>#REF!</v>
      </c>
      <c r="B1608" s="63" t="e">
        <f>IF(SAISIE!#REF!="","",IF(LEN(SAISIE!B110)=1,CONCATENATE("0",SAISIE!B110,"/",SAISIE!$B$4,"/",SAISIE!$B$5),CONCATENATE(SAISIE!B110,"/",SAISIE!$B$4,"/",SAISIE!$B$5)))</f>
        <v>#REF!</v>
      </c>
      <c r="C1608" s="63" t="e">
        <f>IF(SAISIE!#REF!="","",SAISIE!#REF!)</f>
        <v>#REF!</v>
      </c>
      <c r="D1608" s="63" t="e">
        <f>IF(SAISIE!#REF!="","",SAISIE!E110)</f>
        <v>#REF!</v>
      </c>
      <c r="E1608" s="63" t="e">
        <f>IF(SAISIE!#REF!="","",SAISIE!F110)</f>
        <v>#REF!</v>
      </c>
      <c r="F1608" s="70" t="e">
        <f>IF(SAISIE!#REF!="","",IF(SAISIE!$N110="","",SAISIE!$N110))</f>
        <v>#REF!</v>
      </c>
      <c r="G1608" s="63" t="e">
        <f>IF(SAISIE!#REF!="","",SAISIE!#REF!)</f>
        <v>#REF!</v>
      </c>
      <c r="H1608" s="63"/>
      <c r="I1608" s="63" t="e">
        <f>IF(SAISIE!#REF!="","",SAISIE!$Q110)</f>
        <v>#REF!</v>
      </c>
      <c r="J1608" s="71" t="str">
        <f>IF(COUNTBLANK(SAISIE!$J$6:$M$6)=4,"",IF(SAISIE!#REF!="","",IF(SAISIE!J110&gt;0,SAISIE!$J$6,IF(SAISIE!K110&gt;0,SAISIE!$K$6,IF(SAISIE!L110&gt;0,SAISIE!$L$6,IF(SAISIE!M110&gt;0,SAISIE!$M$6,""))))))</f>
        <v/>
      </c>
      <c r="O1608" s="59" t="s">
        <v>55</v>
      </c>
    </row>
    <row r="1609" spans="1:15" x14ac:dyDescent="0.25">
      <c r="A1609" s="63" t="e">
        <f>IF(AND(G1609="",H1609=""),"SUPPR",SAISIE!$B$3)</f>
        <v>#REF!</v>
      </c>
      <c r="B1609" s="63" t="e">
        <f>IF(SAISIE!#REF!="","",IF(LEN(SAISIE!B110)=1,CONCATENATE("0",SAISIE!B110,"/",SAISIE!$B$4,"/",SAISIE!$B$5),CONCATENATE(SAISIE!B110,"/",SAISIE!$B$4,"/",SAISIE!$B$5)))</f>
        <v>#REF!</v>
      </c>
      <c r="C1609" s="63" t="e">
        <f>IF(SAISIE!#REF!="","",SAISIE!#REF!)</f>
        <v>#REF!</v>
      </c>
      <c r="D1609" s="63" t="e">
        <f>IF(SAISIE!#REF!="","",SAISIE!E110)</f>
        <v>#REF!</v>
      </c>
      <c r="E1609" s="63" t="e">
        <f>IF(SAISIE!#REF!="","",SAISIE!F110)</f>
        <v>#REF!</v>
      </c>
      <c r="F1609" s="70" t="e">
        <f>IF(SAISIE!#REF!="","",IF(SAISIE!$N110="","",SAISIE!$N110))</f>
        <v>#REF!</v>
      </c>
      <c r="G1609" s="63" t="e">
        <f>IF(SAISIE!#REF!="","",SAISIE!#REF!)</f>
        <v>#REF!</v>
      </c>
      <c r="H1609" s="63"/>
      <c r="I1609" s="63" t="e">
        <f>IF(SAISIE!#REF!="","",SAISIE!$Q110)</f>
        <v>#REF!</v>
      </c>
      <c r="J1609" s="71" t="str">
        <f>IF(COUNTBLANK(SAISIE!$J$6:$M$6)=4,"",IF(SAISIE!#REF!="","",IF(SAISIE!J110&gt;0,SAISIE!$J$6,IF(SAISIE!K110&gt;0,SAISIE!$K$6,IF(SAISIE!L110&gt;0,SAISIE!$L$6,IF(SAISIE!M110&gt;0,SAISIE!$M$6,""))))))</f>
        <v/>
      </c>
      <c r="O1609" s="59" t="s">
        <v>56</v>
      </c>
    </row>
    <row r="1610" spans="1:15" x14ac:dyDescent="0.25">
      <c r="A1610" s="63" t="e">
        <f>IF(AND(G1610="",H1610=""),"SUPPR",SAISIE!$B$3)</f>
        <v>#REF!</v>
      </c>
      <c r="B1610" s="63" t="e">
        <f>IF(SAISIE!#REF!="","",IF(LEN(SAISIE!B110)=1,CONCATENATE("0",SAISIE!B110,"/",SAISIE!$B$4,"/",SAISIE!$B$5),CONCATENATE(SAISIE!B110,"/",SAISIE!$B$4,"/",SAISIE!$B$5)))</f>
        <v>#REF!</v>
      </c>
      <c r="C1610" s="63" t="e">
        <f>IF(SAISIE!#REF!="","",SAISIE!#REF!)</f>
        <v>#REF!</v>
      </c>
      <c r="D1610" s="63" t="e">
        <f>IF(SAISIE!#REF!="","",SAISIE!E110)</f>
        <v>#REF!</v>
      </c>
      <c r="E1610" s="63" t="e">
        <f>IF(SAISIE!#REF!="","",SAISIE!F110)</f>
        <v>#REF!</v>
      </c>
      <c r="F1610" s="70" t="e">
        <f>IF(SAISIE!#REF!="","",IF(SAISIE!$N110="","",SAISIE!$N110))</f>
        <v>#REF!</v>
      </c>
      <c r="G1610" s="63" t="e">
        <f>IF(SAISIE!#REF!="","",SAISIE!#REF!)</f>
        <v>#REF!</v>
      </c>
      <c r="H1610" s="63"/>
      <c r="I1610" s="63" t="e">
        <f>IF(SAISIE!#REF!="","",SAISIE!$Q110)</f>
        <v>#REF!</v>
      </c>
      <c r="J1610" s="71" t="str">
        <f>IF(COUNTBLANK(SAISIE!$J$6:$M$6)=4,"",IF(SAISIE!#REF!="","",IF(SAISIE!J110&gt;0,SAISIE!$J$6,IF(SAISIE!K110&gt;0,SAISIE!$K$6,IF(SAISIE!L110&gt;0,SAISIE!$L$6,IF(SAISIE!M110&gt;0,SAISIE!$M$6,""))))))</f>
        <v/>
      </c>
      <c r="O1610" s="59" t="s">
        <v>57</v>
      </c>
    </row>
    <row r="1611" spans="1:15" x14ac:dyDescent="0.25">
      <c r="A1611" s="63" t="e">
        <f>IF(AND(G1611="",H1611=""),"SUPPR",SAISIE!$B$3)</f>
        <v>#REF!</v>
      </c>
      <c r="B1611" s="63" t="e">
        <f>IF(SAISIE!#REF!="","",IF(LEN(SAISIE!B110)=1,CONCATENATE("0",SAISIE!B110,"/",SAISIE!$B$4,"/",SAISIE!$B$5),CONCATENATE(SAISIE!B110,"/",SAISIE!$B$4,"/",SAISIE!$B$5)))</f>
        <v>#REF!</v>
      </c>
      <c r="C1611" s="63" t="e">
        <f>IF(SAISIE!#REF!="","",SAISIE!#REF!)</f>
        <v>#REF!</v>
      </c>
      <c r="D1611" s="63" t="e">
        <f>IF(SAISIE!#REF!="","",SAISIE!E110)</f>
        <v>#REF!</v>
      </c>
      <c r="E1611" s="63" t="e">
        <f>IF(SAISIE!#REF!="","",SAISIE!F110)</f>
        <v>#REF!</v>
      </c>
      <c r="F1611" s="70" t="e">
        <f>IF(SAISIE!#REF!="","",IF(SAISIE!$N110="","",SAISIE!$N110))</f>
        <v>#REF!</v>
      </c>
      <c r="G1611" s="63" t="e">
        <f>IF(SAISIE!#REF!="","",SAISIE!#REF!)</f>
        <v>#REF!</v>
      </c>
      <c r="H1611" s="63"/>
      <c r="I1611" s="63" t="e">
        <f>IF(SAISIE!#REF!="","",SAISIE!$Q110)</f>
        <v>#REF!</v>
      </c>
      <c r="J1611" s="71" t="str">
        <f>IF(COUNTBLANK(SAISIE!$J$6:$M$6)=4,"",IF(SAISIE!#REF!="","",IF(SAISIE!J110&gt;0,SAISIE!$J$6,IF(SAISIE!K110&gt;0,SAISIE!$K$6,IF(SAISIE!L110&gt;0,SAISIE!$L$6,IF(SAISIE!M110&gt;0,SAISIE!$M$6,""))))))</f>
        <v/>
      </c>
      <c r="O1611" s="59" t="s">
        <v>58</v>
      </c>
    </row>
    <row r="1612" spans="1:15" x14ac:dyDescent="0.25">
      <c r="A1612" s="63" t="e">
        <f>IF(AND(G1612="",H1612=""),"SUPPR",SAISIE!$B$3)</f>
        <v>#REF!</v>
      </c>
      <c r="B1612" s="63" t="e">
        <f>IF(SAISIE!#REF!="","",IF(LEN(SAISIE!B110)=1,CONCATENATE("0",SAISIE!B110,"/",SAISIE!$B$4,"/",SAISIE!$B$5),CONCATENATE(SAISIE!B110,"/",SAISIE!$B$4,"/",SAISIE!$B$5)))</f>
        <v>#REF!</v>
      </c>
      <c r="C1612" s="63" t="e">
        <f>IF(SAISIE!#REF!="","",SAISIE!#REF!)</f>
        <v>#REF!</v>
      </c>
      <c r="D1612" s="63" t="e">
        <f>IF(SAISIE!#REF!="","",SAISIE!E110)</f>
        <v>#REF!</v>
      </c>
      <c r="E1612" s="63" t="e">
        <f>IF(SAISIE!#REF!="","",SAISIE!F110)</f>
        <v>#REF!</v>
      </c>
      <c r="F1612" s="70" t="e">
        <f>IF(SAISIE!#REF!="","",IF(SAISIE!$N110="","",SAISIE!$N110))</f>
        <v>#REF!</v>
      </c>
      <c r="G1612" s="63" t="e">
        <f>IF(SAISIE!#REF!="","",SAISIE!#REF!)</f>
        <v>#REF!</v>
      </c>
      <c r="H1612" s="63"/>
      <c r="I1612" s="63" t="e">
        <f>IF(SAISIE!#REF!="","",SAISIE!$Q110)</f>
        <v>#REF!</v>
      </c>
      <c r="J1612" s="71" t="str">
        <f>IF(COUNTBLANK(SAISIE!$J$6:$M$6)=4,"",IF(SAISIE!#REF!="","",IF(SAISIE!J110&gt;0,SAISIE!$J$6,IF(SAISIE!K110&gt;0,SAISIE!$K$6,IF(SAISIE!L110&gt;0,SAISIE!$L$6,IF(SAISIE!M110&gt;0,SAISIE!$M$6,""))))))</f>
        <v/>
      </c>
      <c r="O1612" s="59" t="s">
        <v>59</v>
      </c>
    </row>
    <row r="1613" spans="1:15" x14ac:dyDescent="0.25">
      <c r="A1613" s="63" t="e">
        <f>IF(AND(G1613="",H1613=""),"SUPPR",SAISIE!$B$3)</f>
        <v>#REF!</v>
      </c>
      <c r="B1613" s="63" t="e">
        <f>IF(SAISIE!#REF!="","",IF(LEN(SAISIE!B110)=1,CONCATENATE("0",SAISIE!B110,"/",SAISIE!$B$4,"/",SAISIE!$B$5),CONCATENATE(SAISIE!B110,"/",SAISIE!$B$4,"/",SAISIE!$B$5)))</f>
        <v>#REF!</v>
      </c>
      <c r="C1613" s="63" t="e">
        <f>IF(SAISIE!#REF!="","",SAISIE!#REF!)</f>
        <v>#REF!</v>
      </c>
      <c r="D1613" s="63" t="e">
        <f>IF(SAISIE!#REF!="","",SAISIE!E110)</f>
        <v>#REF!</v>
      </c>
      <c r="E1613" s="63" t="e">
        <f>IF(SAISIE!#REF!="","",SAISIE!F110)</f>
        <v>#REF!</v>
      </c>
      <c r="F1613" s="70" t="e">
        <f>IF(SAISIE!#REF!="","",IF(SAISIE!$N110="","",SAISIE!$N110))</f>
        <v>#REF!</v>
      </c>
      <c r="G1613" s="63" t="e">
        <f>IF(SAISIE!#REF!="","",SAISIE!#REF!)</f>
        <v>#REF!</v>
      </c>
      <c r="H1613" s="63"/>
      <c r="I1613" s="63" t="e">
        <f>IF(SAISIE!#REF!="","",SAISIE!$Q110)</f>
        <v>#REF!</v>
      </c>
      <c r="J1613" s="71" t="str">
        <f>IF(COUNTBLANK(SAISIE!$J$6:$M$6)=4,"",IF(SAISIE!#REF!="","",IF(SAISIE!J110&gt;0,SAISIE!$J$6,IF(SAISIE!K110&gt;0,SAISIE!$K$6,IF(SAISIE!L110&gt;0,SAISIE!$L$6,IF(SAISIE!M110&gt;0,SAISIE!$M$6,""))))))</f>
        <v/>
      </c>
      <c r="O1613" s="59" t="s">
        <v>60</v>
      </c>
    </row>
    <row r="1614" spans="1:15" x14ac:dyDescent="0.25">
      <c r="A1614" s="63" t="str">
        <f>IF(AND(G1614="",H1614=""),"SUPPR",SAISIE!$B$3)</f>
        <v>SUPPR</v>
      </c>
      <c r="B1614" s="63" t="str">
        <f>IF(SAISIE!J110="","",IF(LEN(SAISIE!B110)=1,CONCATENATE("0",SAISIE!B110,"/",SAISIE!$B$4,"/",SAISIE!$B$5),CONCATENATE(SAISIE!B110,"/",SAISIE!$B$4,"/",SAISIE!$B$5)))</f>
        <v/>
      </c>
      <c r="C1614" s="63" t="str">
        <f>IF(SAISIE!J110="","",SAISIE!$J$8)</f>
        <v/>
      </c>
      <c r="D1614" s="63" t="str">
        <f>IF(SAISIE!J110="","",SAISIE!E110)</f>
        <v/>
      </c>
      <c r="E1614" s="63" t="str">
        <f>IF(SAISIE!J110="","",SAISIE!F110)</f>
        <v/>
      </c>
      <c r="F1614" s="70" t="str">
        <f>IF(SAISIE!$J110="","",IF(SAISIE!$N110="","",SAISIE!$N110))</f>
        <v/>
      </c>
      <c r="G1614" s="63" t="str">
        <f>IF(SAISIE!J110="","",SAISIE!J110)</f>
        <v/>
      </c>
      <c r="H1614" s="63"/>
      <c r="I1614" s="72"/>
      <c r="J1614" s="71"/>
      <c r="O1614" s="73"/>
    </row>
    <row r="1615" spans="1:15" x14ac:dyDescent="0.25">
      <c r="A1615" s="63" t="str">
        <f>IF(AND(G1615="",H1615=""),"SUPPR",SAISIE!$B$3)</f>
        <v>SUPPR</v>
      </c>
      <c r="B1615" s="63" t="str">
        <f>IF(SAISIE!K110="","",IF(LEN(SAISIE!B110)=1,CONCATENATE("0",SAISIE!B110,"/",SAISIE!$B$4,"/",SAISIE!$B$5),CONCATENATE(SAISIE!B110,"/",SAISIE!$B$4,"/",SAISIE!$B$5)))</f>
        <v/>
      </c>
      <c r="C1615" s="63" t="str">
        <f>IF(SAISIE!K110="","",SAISIE!$K$8)</f>
        <v/>
      </c>
      <c r="D1615" s="63" t="str">
        <f>IF(SAISIE!K110="","",SAISIE!E110)</f>
        <v/>
      </c>
      <c r="E1615" s="63" t="str">
        <f>IF(SAISIE!K110="","",SAISIE!F110)</f>
        <v/>
      </c>
      <c r="F1615" s="70" t="str">
        <f>IF(SAISIE!$K110="","",IF(SAISIE!$N110="","",SAISIE!$N110))</f>
        <v/>
      </c>
      <c r="G1615" s="63" t="str">
        <f>IF(SAISIE!K110="","",SAISIE!K110)</f>
        <v/>
      </c>
      <c r="H1615" s="63"/>
      <c r="I1615" s="72"/>
      <c r="J1615" s="71"/>
    </row>
    <row r="1616" spans="1:15" x14ac:dyDescent="0.25">
      <c r="A1616" s="63" t="str">
        <f>IF(AND(G1616="",H1616=""),"SUPPR",SAISIE!$B$3)</f>
        <v>SUPPR</v>
      </c>
      <c r="B1616" s="63" t="str">
        <f>IF(SAISIE!L110="","",IF(LEN(SAISIE!B110)=1,CONCATENATE("0",SAISIE!B110,"/",SAISIE!$B$4,"/",SAISIE!$B$5),CONCATENATE(SAISIE!B110,"/",SAISIE!$B$4,"/",SAISIE!$B$5)))</f>
        <v/>
      </c>
      <c r="C1616" s="63" t="str">
        <f>IF(SAISIE!L110="","",SAISIE!$L$8)</f>
        <v/>
      </c>
      <c r="D1616" s="63" t="str">
        <f>IF(SAISIE!L110="","",SAISIE!E110)</f>
        <v/>
      </c>
      <c r="E1616" s="63" t="str">
        <f>IF(SAISIE!L110="","",SAISIE!F110)</f>
        <v/>
      </c>
      <c r="F1616" s="70" t="str">
        <f>IF(SAISIE!$L110="","",IF(SAISIE!$N110="","",SAISIE!$N110))</f>
        <v/>
      </c>
      <c r="G1616" s="63" t="str">
        <f>IF(SAISIE!L110="","",SAISIE!L110)</f>
        <v/>
      </c>
      <c r="H1616" s="63"/>
      <c r="I1616" s="72"/>
      <c r="J1616" s="71"/>
    </row>
    <row r="1617" spans="1:10" x14ac:dyDescent="0.25">
      <c r="A1617" s="63" t="str">
        <f>IF(AND(G1617="",H1617=""),"SUPPR",SAISIE!$B$3)</f>
        <v>SUPPR</v>
      </c>
      <c r="B1617" s="63" t="str">
        <f>IF(SAISIE!M110="","",IF(LEN(SAISIE!B110)=1,CONCATENATE("0",SAISIE!B110,"/",SAISIE!$B$4,"/",SAISIE!$B$5),CONCATENATE(SAISIE!B110,"/",SAISIE!$B$4,"/",SAISIE!$B$5)))</f>
        <v/>
      </c>
      <c r="C1617" s="74" t="str">
        <f>IF(SAISIE!M110="","",SAISIE!$M$8)</f>
        <v/>
      </c>
      <c r="D1617" s="74" t="str">
        <f>IF(SAISIE!M110="","",SAISIE!E110)</f>
        <v/>
      </c>
      <c r="E1617" s="74" t="str">
        <f>IF(SAISIE!M110="","",SAISIE!F110)</f>
        <v/>
      </c>
      <c r="F1617" s="75" t="str">
        <f>IF(SAISIE!$M110="","",IF(SAISIE!$N110="","",SAISIE!$N110))</f>
        <v/>
      </c>
      <c r="G1617" s="74" t="str">
        <f>IF(SAISIE!M110="","",SAISIE!M110)</f>
        <v/>
      </c>
      <c r="H1617" s="76"/>
      <c r="I1617" s="77"/>
      <c r="J1617" s="78"/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SAISIE</vt:lpstr>
      <vt:lpstr>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PAPET Nathan</cp:lastModifiedBy>
  <dcterms:created xsi:type="dcterms:W3CDTF">2026-03-06T09:36:11Z</dcterms:created>
  <dcterms:modified xsi:type="dcterms:W3CDTF">2026-03-06T09:36:11Z</dcterms:modified>
</cp:coreProperties>
</file>